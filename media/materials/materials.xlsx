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307 Materials (Purchasing)\04 Master List\"/>
    </mc:Choice>
  </mc:AlternateContent>
  <xr:revisionPtr revIDLastSave="0" documentId="13_ncr:1_{821FF982-524A-421A-B1A5-AFADFB5587F1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Master List (Backup Mar-16-22)" sheetId="1" state="hidden" r:id="rId1"/>
    <sheet name="Master List" sheetId="3" r:id="rId2"/>
    <sheet name="Contacto-Proveedor" sheetId="6" r:id="rId3"/>
  </sheets>
  <definedNames>
    <definedName name="_xlnm._FilterDatabase" localSheetId="2" hidden="1">'Contacto-Proveedor'!$A$2:$S$2</definedName>
    <definedName name="_xlnm._FilterDatabase" localSheetId="1" hidden="1">'Master List'!$2:$1281</definedName>
    <definedName name="_xlnm._FilterDatabase" localSheetId="0" hidden="1">'Master List (Backup Mar-16-22)'!$A$2:$DF$934</definedName>
    <definedName name="Z_A3C3765C_EA73_48D0_8F3F_74E623E74581_.wvu.Cols" localSheetId="1" hidden="1">'Master List'!$A:$A,'Master List'!$O:$O,'Master List'!#REF!</definedName>
    <definedName name="Z_A3C3765C_EA73_48D0_8F3F_74E623E74581_.wvu.FilterData" localSheetId="1" hidden="1">'Master List'!$A$2:$W$985</definedName>
    <definedName name="Z_A3C3765C_EA73_48D0_8F3F_74E623E74581_.wvu.FilterData" localSheetId="0" hidden="1">'Master List (Backup Mar-16-22)'!$A$2:$DF$934</definedName>
  </definedNames>
  <calcPr calcId="181029"/>
  <customWorkbookViews>
    <customWorkbookView name="Ana.Perez - Personal View" guid="{A3C3765C-EA73-48D0-8F3F-74E623E74581}" mergeInterval="0" personalView="1" maximized="1" xWindow="1" yWindow="1" windowWidth="1920" windowHeight="802" activeSheetId="2"/>
  </customWorkbookViews>
</workbook>
</file>

<file path=xl/calcChain.xml><?xml version="1.0" encoding="utf-8"?>
<calcChain xmlns="http://schemas.openxmlformats.org/spreadsheetml/2006/main">
  <c r="H750" i="3" l="1"/>
  <c r="O357" i="3"/>
  <c r="R735" i="3" l="1"/>
  <c r="O507" i="3"/>
  <c r="Q507" i="3"/>
  <c r="H480" i="3"/>
  <c r="O367" i="3"/>
  <c r="Q367" i="3"/>
  <c r="O162" i="3"/>
  <c r="R337" i="3" l="1"/>
  <c r="O337" i="3"/>
  <c r="O313" i="3"/>
  <c r="R313" i="3"/>
  <c r="R84" i="3"/>
  <c r="O84" i="3"/>
  <c r="Q479" i="3" l="1"/>
  <c r="H479" i="3" s="1"/>
  <c r="R819" i="3"/>
  <c r="R818" i="3"/>
  <c r="Q819" i="3"/>
  <c r="Q818" i="3"/>
  <c r="O210" i="3"/>
  <c r="O171" i="3" l="1"/>
  <c r="R812" i="3"/>
  <c r="R789" i="3"/>
  <c r="R607" i="3"/>
  <c r="H478" i="3"/>
  <c r="O88" i="3"/>
  <c r="O82" i="3"/>
  <c r="Q359" i="3" l="1"/>
  <c r="O359" i="3"/>
  <c r="Q1014" i="3"/>
  <c r="Q58" i="3"/>
  <c r="O58" i="3"/>
  <c r="O365" i="3"/>
  <c r="O335" i="3" l="1"/>
  <c r="O721" i="3"/>
  <c r="O669" i="3"/>
  <c r="O190" i="3"/>
  <c r="R338" i="3"/>
  <c r="O338" i="3" l="1"/>
  <c r="R1236" i="3"/>
  <c r="R625" i="3"/>
  <c r="R636" i="3"/>
  <c r="R619" i="3"/>
  <c r="R621" i="3"/>
  <c r="R632" i="3"/>
  <c r="R629" i="3"/>
  <c r="R637" i="3"/>
  <c r="R618" i="3"/>
  <c r="R627" i="3"/>
  <c r="R635" i="3"/>
  <c r="R617" i="3"/>
  <c r="R675" i="3"/>
  <c r="R616" i="3"/>
  <c r="R626" i="3"/>
  <c r="R624" i="3"/>
  <c r="R638" i="3"/>
  <c r="R620" i="3"/>
  <c r="R685" i="3"/>
  <c r="R684" i="3"/>
  <c r="R658" i="3"/>
  <c r="R657" i="3"/>
  <c r="R631" i="3"/>
  <c r="R1235" i="3"/>
  <c r="R686" i="3"/>
  <c r="R644" i="3"/>
  <c r="R655" i="3"/>
  <c r="R699" i="3"/>
  <c r="R683" i="3"/>
  <c r="R700" i="3"/>
  <c r="R703" i="3"/>
  <c r="Q291" i="3"/>
  <c r="Q262" i="3"/>
  <c r="Q56" i="3"/>
  <c r="R669" i="3" l="1"/>
  <c r="Q399" i="3"/>
  <c r="Q244" i="3"/>
  <c r="R399" i="3"/>
  <c r="R244" i="3"/>
  <c r="O405" i="3" l="1"/>
  <c r="O237" i="3"/>
  <c r="O223" i="3"/>
  <c r="R237" i="3"/>
  <c r="R223" i="3"/>
  <c r="H749" i="3" l="1"/>
  <c r="O360" i="3"/>
  <c r="Q747" i="3" l="1"/>
  <c r="N747" i="3"/>
  <c r="Q731" i="3"/>
  <c r="N731" i="3"/>
  <c r="R82" i="3"/>
  <c r="O415" i="3" l="1"/>
  <c r="Q1016" i="3"/>
  <c r="Q48" i="3"/>
  <c r="H748" i="3"/>
  <c r="H747" i="3"/>
  <c r="M1014" i="3"/>
  <c r="H1015" i="3"/>
  <c r="H1014" i="3"/>
  <c r="H477" i="3"/>
  <c r="H746" i="3"/>
  <c r="N709" i="3"/>
  <c r="Q709" i="3"/>
  <c r="O709" i="3"/>
  <c r="Q745" i="3"/>
  <c r="H745" i="3" s="1"/>
  <c r="N745" i="3"/>
  <c r="Q681" i="3"/>
  <c r="N681" i="3"/>
  <c r="H1229" i="3"/>
  <c r="H1228" i="3"/>
  <c r="H1227" i="3"/>
  <c r="H1226" i="3"/>
  <c r="H1225" i="3"/>
  <c r="H1224" i="3"/>
  <c r="O737" i="3"/>
  <c r="O379" i="3"/>
  <c r="H476" i="3" l="1"/>
  <c r="H475" i="3"/>
  <c r="H474" i="3"/>
  <c r="R424" i="3"/>
  <c r="H1007" i="3" l="1"/>
  <c r="H1205" i="3" l="1"/>
  <c r="K1009" i="3"/>
  <c r="O462" i="3"/>
  <c r="O459" i="3" l="1"/>
  <c r="Q733" i="3"/>
  <c r="N733" i="3"/>
  <c r="N1223" i="3" l="1"/>
  <c r="H1013" i="3"/>
  <c r="R398" i="3"/>
  <c r="H1012" i="3"/>
  <c r="N364" i="3"/>
  <c r="Q364" i="3"/>
  <c r="O408" i="3"/>
  <c r="H744" i="3" l="1"/>
  <c r="Q1223" i="3"/>
  <c r="H1223" i="3" s="1"/>
  <c r="O420" i="3"/>
  <c r="O425" i="3"/>
  <c r="Q743" i="3"/>
  <c r="N743" i="3"/>
  <c r="Q742" i="3"/>
  <c r="N742" i="3"/>
  <c r="O743" i="3"/>
  <c r="O742" i="3"/>
  <c r="H1222" i="3"/>
  <c r="H1221" i="3" l="1"/>
  <c r="H1220" i="3"/>
  <c r="H1204" i="3"/>
  <c r="H473" i="3"/>
  <c r="H1219" i="3"/>
  <c r="H1272" i="3"/>
  <c r="H1203" i="3"/>
  <c r="O433" i="3"/>
  <c r="O471" i="3" l="1"/>
  <c r="Q412" i="3" l="1"/>
  <c r="N412" i="3"/>
  <c r="O412" i="3"/>
  <c r="H1011" i="3"/>
  <c r="Q432" i="3"/>
  <c r="O432" i="3"/>
  <c r="N432" i="3"/>
  <c r="Q741" i="3" l="1"/>
  <c r="N741" i="3"/>
  <c r="Q740" i="3"/>
  <c r="N740" i="3"/>
  <c r="O463" i="3"/>
  <c r="R472" i="3"/>
  <c r="R421" i="3"/>
  <c r="H1218" i="3" l="1"/>
  <c r="H1217" i="3"/>
  <c r="H1216" i="3"/>
  <c r="H472" i="3"/>
  <c r="H1215" i="3" l="1"/>
  <c r="H1214" i="3"/>
  <c r="H1213" i="3"/>
  <c r="Q318" i="3"/>
  <c r="N380" i="3"/>
  <c r="Q380" i="3"/>
  <c r="O380" i="3"/>
  <c r="O708" i="3" l="1"/>
  <c r="Q708" i="3" l="1"/>
  <c r="N708" i="3"/>
  <c r="H471" i="3" l="1"/>
  <c r="H743" i="3"/>
  <c r="H742" i="3"/>
  <c r="H741" i="3"/>
  <c r="H740" i="3"/>
  <c r="N446" i="3"/>
  <c r="Q446" i="3"/>
  <c r="O446" i="3"/>
  <c r="Q453" i="3"/>
  <c r="N453" i="3"/>
  <c r="Q447" i="3"/>
  <c r="N447" i="3"/>
  <c r="Q440" i="3" l="1"/>
  <c r="N440" i="3"/>
  <c r="H1010" i="3" l="1"/>
  <c r="Q460" i="3" l="1"/>
  <c r="N460" i="3"/>
  <c r="O424" i="3" l="1"/>
  <c r="Q468" i="3" l="1"/>
  <c r="N468" i="3"/>
  <c r="R1269" i="3" l="1"/>
  <c r="Q739" i="3"/>
  <c r="N739" i="3"/>
  <c r="R426" i="3" l="1"/>
  <c r="H739" i="3" l="1"/>
  <c r="N401" i="3" l="1"/>
  <c r="Q401" i="3"/>
  <c r="O393" i="3"/>
  <c r="O383" i="3"/>
  <c r="N734" i="3"/>
  <c r="Q734" i="3"/>
  <c r="Q442" i="3"/>
  <c r="N442" i="3"/>
  <c r="Q445" i="3"/>
  <c r="N445" i="3"/>
  <c r="Q444" i="3"/>
  <c r="N444" i="3"/>
  <c r="Q388" i="3"/>
  <c r="N387" i="3" l="1"/>
  <c r="Q387" i="3"/>
  <c r="N415" i="3" l="1"/>
  <c r="R423" i="3" l="1"/>
  <c r="N450" i="3"/>
  <c r="H1271" i="3"/>
  <c r="Q395" i="3" l="1"/>
  <c r="N395" i="3"/>
  <c r="H470" i="3"/>
  <c r="N393" i="3" l="1"/>
  <c r="N390" i="3" l="1"/>
  <c r="O390" i="3"/>
  <c r="H469" i="3"/>
  <c r="O427" i="3"/>
  <c r="H1009" i="3"/>
  <c r="N398" i="3"/>
  <c r="Q398" i="3"/>
  <c r="O426" i="3"/>
  <c r="N399" i="3" l="1"/>
  <c r="O397" i="3" l="1"/>
  <c r="N391" i="3"/>
  <c r="O411" i="3"/>
  <c r="H468" i="3" l="1"/>
  <c r="Q418" i="3" l="1"/>
  <c r="N418" i="3"/>
  <c r="Q378" i="3"/>
  <c r="O386" i="3" l="1"/>
  <c r="Q431" i="3" l="1"/>
  <c r="N431" i="3"/>
  <c r="Q461" i="3" l="1"/>
  <c r="N461" i="3"/>
  <c r="Q406" i="3"/>
  <c r="Q464" i="3"/>
  <c r="N464" i="3"/>
  <c r="H467" i="3" l="1"/>
  <c r="H466" i="3"/>
  <c r="H465" i="3"/>
  <c r="R407" i="3"/>
  <c r="R417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R1270" i="3"/>
  <c r="H1270" i="3" s="1"/>
  <c r="H1269" i="3" l="1"/>
  <c r="Q738" i="3"/>
  <c r="H738" i="3" s="1"/>
  <c r="N738" i="3"/>
  <c r="R438" i="3"/>
  <c r="R437" i="3"/>
  <c r="R435" i="3"/>
  <c r="R434" i="3"/>
  <c r="R336" i="3"/>
  <c r="R314" i="3"/>
  <c r="Q438" i="3" l="1"/>
  <c r="Q437" i="3"/>
  <c r="Q435" i="3"/>
  <c r="Q434" i="3"/>
  <c r="Q436" i="3"/>
  <c r="N436" i="3"/>
  <c r="H737" i="3"/>
  <c r="H408" i="3"/>
  <c r="H736" i="3"/>
  <c r="Q430" i="3" l="1"/>
  <c r="N430" i="3"/>
  <c r="Q429" i="3"/>
  <c r="N429" i="3"/>
  <c r="Q419" i="3"/>
  <c r="N419" i="3"/>
  <c r="Q414" i="3"/>
  <c r="N414" i="3"/>
  <c r="N433" i="3"/>
  <c r="N397" i="3"/>
  <c r="H735" i="3"/>
  <c r="H438" i="3" l="1"/>
  <c r="H437" i="3"/>
  <c r="H436" i="3"/>
  <c r="H434" i="3"/>
  <c r="H435" i="3"/>
  <c r="H433" i="3" l="1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7" i="3" l="1"/>
  <c r="H406" i="3"/>
  <c r="H405" i="3"/>
  <c r="H404" i="3"/>
  <c r="H403" i="3"/>
  <c r="H402" i="3"/>
  <c r="H401" i="3"/>
  <c r="H400" i="3"/>
  <c r="H399" i="3"/>
  <c r="H398" i="3"/>
  <c r="H397" i="3"/>
  <c r="H396" i="3"/>
  <c r="H734" i="3" l="1"/>
  <c r="H395" i="3" l="1"/>
  <c r="H394" i="3" l="1"/>
  <c r="H393" i="3"/>
  <c r="H733" i="3" l="1"/>
  <c r="H732" i="3" l="1"/>
  <c r="H392" i="3"/>
  <c r="H391" i="3" l="1"/>
  <c r="H390" i="3"/>
  <c r="H389" i="3"/>
  <c r="H388" i="3"/>
  <c r="H387" i="3"/>
  <c r="H386" i="3"/>
  <c r="H385" i="3" l="1"/>
  <c r="H731" i="3" l="1"/>
  <c r="H730" i="3"/>
  <c r="H729" i="3"/>
  <c r="H728" i="3"/>
  <c r="H727" i="3"/>
  <c r="H726" i="3"/>
  <c r="H725" i="3"/>
  <c r="H724" i="3"/>
  <c r="H723" i="3"/>
  <c r="H1202" i="3" l="1"/>
  <c r="H384" i="3"/>
  <c r="H383" i="3"/>
  <c r="H382" i="3"/>
  <c r="H381" i="3"/>
  <c r="H380" i="3"/>
  <c r="H379" i="3"/>
  <c r="H378" i="3"/>
  <c r="H377" i="3"/>
  <c r="H376" i="3"/>
  <c r="H375" i="3" l="1"/>
  <c r="H374" i="3"/>
  <c r="H373" i="3"/>
  <c r="H372" i="3" l="1"/>
  <c r="H722" i="3"/>
  <c r="H1236" i="3"/>
  <c r="H720" i="3"/>
  <c r="H719" i="3"/>
  <c r="H718" i="3"/>
  <c r="H717" i="3"/>
  <c r="H716" i="3"/>
  <c r="H715" i="3"/>
  <c r="H714" i="3"/>
  <c r="H713" i="3"/>
  <c r="H712" i="3"/>
  <c r="H711" i="3"/>
  <c r="H371" i="3"/>
  <c r="H721" i="3"/>
  <c r="H1008" i="3"/>
  <c r="H370" i="3"/>
  <c r="H1200" i="3" l="1"/>
  <c r="H1199" i="3"/>
  <c r="H1198" i="3"/>
  <c r="H369" i="3"/>
  <c r="H368" i="3"/>
  <c r="H367" i="3"/>
  <c r="H710" i="3"/>
  <c r="H366" i="3" l="1"/>
  <c r="H365" i="3" l="1"/>
  <c r="H709" i="3"/>
  <c r="H708" i="3"/>
  <c r="H364" i="3"/>
  <c r="H1197" i="3"/>
  <c r="H1140" i="3"/>
  <c r="H1128" i="3"/>
  <c r="H1006" i="3"/>
  <c r="H363" i="3"/>
  <c r="H707" i="3"/>
  <c r="H704" i="3"/>
  <c r="H362" i="3"/>
  <c r="H1235" i="3"/>
  <c r="H1234" i="3"/>
  <c r="H9" i="3"/>
  <c r="H10" i="3"/>
  <c r="H122" i="3"/>
  <c r="H281" i="3"/>
  <c r="H524" i="3"/>
  <c r="H525" i="3"/>
  <c r="H526" i="3"/>
  <c r="H527" i="3"/>
  <c r="H528" i="3"/>
  <c r="H529" i="3"/>
  <c r="H530" i="3"/>
  <c r="H532" i="3"/>
  <c r="H533" i="3"/>
  <c r="H534" i="3"/>
  <c r="H535" i="3"/>
  <c r="H536" i="3"/>
  <c r="H537" i="3"/>
  <c r="H538" i="3"/>
  <c r="H539" i="3"/>
  <c r="H540" i="3"/>
  <c r="H542" i="3"/>
  <c r="H543" i="3"/>
  <c r="H544" i="3"/>
  <c r="H545" i="3"/>
  <c r="H548" i="3"/>
  <c r="H550" i="3"/>
  <c r="H551" i="3"/>
  <c r="H554" i="3"/>
  <c r="H555" i="3"/>
  <c r="H556" i="3"/>
  <c r="H557" i="3"/>
  <c r="H559" i="3"/>
  <c r="H560" i="3"/>
  <c r="H561" i="3"/>
  <c r="H562" i="3"/>
  <c r="H563" i="3"/>
  <c r="H564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6" i="3"/>
  <c r="H597" i="3"/>
  <c r="H598" i="3"/>
  <c r="H599" i="3"/>
  <c r="H609" i="3"/>
  <c r="H661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5" i="3"/>
  <c r="H766" i="3"/>
  <c r="H767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36" i="3"/>
  <c r="H838" i="3"/>
  <c r="H839" i="3"/>
  <c r="H871" i="3"/>
  <c r="H970" i="3"/>
  <c r="H974" i="3"/>
  <c r="H975" i="3"/>
  <c r="H1022" i="3"/>
  <c r="H1023" i="3"/>
  <c r="H1026" i="3"/>
  <c r="H1105" i="3"/>
  <c r="H1106" i="3"/>
  <c r="H1107" i="3"/>
  <c r="H1108" i="3"/>
  <c r="H1141" i="3"/>
  <c r="H1142" i="3"/>
  <c r="H1143" i="3"/>
  <c r="H1144" i="3"/>
  <c r="H1145" i="3"/>
  <c r="H1149" i="3"/>
  <c r="H1164" i="3"/>
  <c r="H1165" i="3"/>
  <c r="H1167" i="3"/>
  <c r="H1168" i="3"/>
  <c r="H1169" i="3"/>
  <c r="H1170" i="3"/>
  <c r="H1171" i="3"/>
  <c r="H1184" i="3"/>
  <c r="H1231" i="3"/>
  <c r="H879" i="3"/>
  <c r="H695" i="3"/>
  <c r="H16" i="3"/>
  <c r="H660" i="3"/>
  <c r="H1074" i="3"/>
  <c r="H1075" i="3"/>
  <c r="H1076" i="3"/>
  <c r="H1077" i="3"/>
  <c r="H1078" i="3"/>
  <c r="H18" i="3"/>
  <c r="H15" i="3"/>
  <c r="H17" i="3"/>
  <c r="H659" i="3"/>
  <c r="H488" i="3"/>
  <c r="H606" i="3"/>
  <c r="H770" i="3"/>
  <c r="H788" i="3"/>
  <c r="H805" i="3"/>
  <c r="H811" i="3"/>
  <c r="H91" i="3"/>
  <c r="H101" i="3"/>
  <c r="H634" i="3"/>
  <c r="H271" i="3"/>
  <c r="H518" i="3"/>
  <c r="H519" i="3"/>
  <c r="H782" i="3"/>
  <c r="H1098" i="3"/>
  <c r="H1099" i="3"/>
  <c r="H1103" i="3"/>
  <c r="H1027" i="3"/>
  <c r="H1028" i="3"/>
  <c r="H1030" i="3"/>
  <c r="H1032" i="3"/>
  <c r="H1044" i="3"/>
  <c r="H6" i="3"/>
  <c r="H1118" i="3"/>
  <c r="H1119" i="3"/>
  <c r="H1233" i="3"/>
  <c r="H180" i="3"/>
  <c r="H181" i="3"/>
  <c r="H183" i="3"/>
  <c r="H186" i="3"/>
  <c r="H245" i="3"/>
  <c r="H125" i="3"/>
  <c r="H126" i="3"/>
  <c r="H203" i="3"/>
  <c r="H335" i="3"/>
  <c r="H358" i="3"/>
  <c r="H623" i="3"/>
  <c r="H630" i="3"/>
  <c r="H633" i="3"/>
  <c r="H643" i="3"/>
  <c r="H645" i="3"/>
  <c r="H646" i="3"/>
  <c r="H647" i="3"/>
  <c r="H648" i="3"/>
  <c r="H649" i="3"/>
  <c r="H650" i="3"/>
  <c r="H651" i="3"/>
  <c r="H652" i="3"/>
  <c r="H656" i="3"/>
  <c r="H674" i="3"/>
  <c r="H678" i="3"/>
  <c r="H679" i="3"/>
  <c r="H680" i="3"/>
  <c r="H681" i="3"/>
  <c r="H687" i="3"/>
  <c r="H688" i="3"/>
  <c r="H694" i="3"/>
  <c r="H696" i="3"/>
  <c r="H697" i="3"/>
  <c r="H698" i="3"/>
  <c r="H705" i="3"/>
  <c r="H71" i="3"/>
  <c r="H72" i="3"/>
  <c r="H254" i="3"/>
  <c r="H282" i="3"/>
  <c r="H815" i="3"/>
  <c r="H121" i="3"/>
  <c r="H190" i="3"/>
  <c r="H252" i="3"/>
  <c r="H192" i="3"/>
  <c r="H301" i="3"/>
  <c r="H304" i="3"/>
  <c r="H310" i="3"/>
  <c r="H5" i="3"/>
  <c r="H20" i="3"/>
  <c r="H45" i="3"/>
  <c r="H47" i="3"/>
  <c r="H48" i="3"/>
  <c r="H52" i="3"/>
  <c r="H140" i="3"/>
  <c r="H195" i="3"/>
  <c r="H198" i="3"/>
  <c r="H201" i="3"/>
  <c r="H207" i="3"/>
  <c r="H211" i="3"/>
  <c r="H217" i="3"/>
  <c r="H229" i="3"/>
  <c r="H231" i="3"/>
  <c r="H233" i="3"/>
  <c r="H333" i="3"/>
  <c r="H90" i="3"/>
  <c r="H987" i="3"/>
  <c r="H988" i="3"/>
  <c r="H546" i="3"/>
  <c r="H547" i="3"/>
  <c r="H179" i="3"/>
  <c r="H673" i="3"/>
  <c r="H75" i="3"/>
  <c r="H196" i="3"/>
  <c r="H283" i="3"/>
  <c r="H676" i="3"/>
  <c r="H834" i="3"/>
  <c r="H849" i="3"/>
  <c r="H850" i="3"/>
  <c r="H979" i="3"/>
  <c r="H980" i="3"/>
  <c r="H981" i="3"/>
  <c r="H982" i="3"/>
  <c r="H983" i="3"/>
  <c r="H984" i="3"/>
  <c r="H985" i="3"/>
  <c r="H986" i="3"/>
  <c r="H1177" i="3"/>
  <c r="H1178" i="3"/>
  <c r="H1180" i="3"/>
  <c r="H1189" i="3"/>
  <c r="H1191" i="3"/>
  <c r="H1201" i="3"/>
  <c r="H65" i="3"/>
  <c r="H66" i="3"/>
  <c r="H124" i="3"/>
  <c r="H222" i="3"/>
  <c r="H223" i="3"/>
  <c r="H237" i="3"/>
  <c r="H243" i="3"/>
  <c r="H1029" i="3"/>
  <c r="H1039" i="3"/>
  <c r="H1040" i="3"/>
  <c r="H1041" i="3"/>
  <c r="H1042" i="3"/>
  <c r="H977" i="3"/>
  <c r="H240" i="3"/>
  <c r="H242" i="3"/>
  <c r="H689" i="3"/>
  <c r="H690" i="3"/>
  <c r="H862" i="3"/>
  <c r="H863" i="3"/>
  <c r="H864" i="3"/>
  <c r="H865" i="3"/>
  <c r="H127" i="3"/>
  <c r="H134" i="3"/>
  <c r="H151" i="3"/>
  <c r="H154" i="3"/>
  <c r="H221" i="3"/>
  <c r="H152" i="3"/>
  <c r="H193" i="3"/>
  <c r="H234" i="3"/>
  <c r="H293" i="3"/>
  <c r="H294" i="3"/>
  <c r="H300" i="3"/>
  <c r="H318" i="3"/>
  <c r="H354" i="3"/>
  <c r="H247" i="3"/>
  <c r="H669" i="3"/>
  <c r="H208" i="3"/>
  <c r="H73" i="3"/>
  <c r="H218" i="3"/>
  <c r="H1001" i="3"/>
  <c r="H1002" i="3"/>
  <c r="H1003" i="3"/>
  <c r="H641" i="3"/>
  <c r="H642" i="3"/>
  <c r="H653" i="3"/>
  <c r="H654" i="3"/>
  <c r="H244" i="3"/>
  <c r="H1061" i="3"/>
  <c r="H1084" i="3"/>
  <c r="H1085" i="3"/>
  <c r="H1124" i="3"/>
  <c r="H1125" i="3"/>
  <c r="H509" i="3"/>
  <c r="H510" i="3"/>
  <c r="H511" i="3"/>
  <c r="H512" i="3"/>
  <c r="H513" i="3"/>
  <c r="H514" i="3"/>
  <c r="H515" i="3"/>
  <c r="H516" i="3"/>
  <c r="H517" i="3"/>
  <c r="H776" i="3"/>
  <c r="H777" i="3"/>
  <c r="H778" i="3"/>
  <c r="H779" i="3"/>
  <c r="H844" i="3"/>
  <c r="H495" i="3"/>
  <c r="H496" i="3"/>
  <c r="H497" i="3"/>
  <c r="H498" i="3"/>
  <c r="H845" i="3"/>
  <c r="H280" i="3"/>
  <c r="H279" i="3"/>
  <c r="H831" i="3"/>
  <c r="H872" i="3"/>
  <c r="H1018" i="3"/>
  <c r="H1147" i="3"/>
  <c r="H1148" i="3"/>
  <c r="H1162" i="3"/>
  <c r="H1163" i="3"/>
  <c r="H764" i="3"/>
  <c r="H89" i="3"/>
  <c r="H175" i="3"/>
  <c r="H1129" i="3"/>
  <c r="H843" i="3"/>
  <c r="H194" i="3"/>
  <c r="H14" i="3"/>
  <c r="H19" i="3"/>
  <c r="H24" i="3"/>
  <c r="H25" i="3"/>
  <c r="H26" i="3"/>
  <c r="H27" i="3"/>
  <c r="H28" i="3"/>
  <c r="H215" i="3"/>
  <c r="H74" i="3"/>
  <c r="H77" i="3"/>
  <c r="H79" i="3"/>
  <c r="H133" i="3"/>
  <c r="H160" i="3"/>
  <c r="H169" i="3"/>
  <c r="H334" i="3"/>
  <c r="H1181" i="3"/>
  <c r="H213" i="3"/>
  <c r="H50" i="3"/>
  <c r="H57" i="3"/>
  <c r="H1100" i="3"/>
  <c r="H1104" i="3"/>
  <c r="H858" i="3"/>
  <c r="H828" i="3"/>
  <c r="H829" i="3"/>
  <c r="H830" i="3"/>
  <c r="H832" i="3"/>
  <c r="H833" i="3"/>
  <c r="H69" i="3"/>
  <c r="H13" i="3"/>
  <c r="H46" i="3"/>
  <c r="H132" i="3"/>
  <c r="H55" i="3"/>
  <c r="H138" i="3"/>
  <c r="H59" i="3"/>
  <c r="H60" i="3"/>
  <c r="H172" i="3"/>
  <c r="H70" i="3"/>
  <c r="H106" i="3"/>
  <c r="H111" i="3"/>
  <c r="H112" i="3"/>
  <c r="H113" i="3"/>
  <c r="H204" i="3"/>
  <c r="H136" i="3"/>
  <c r="H137" i="3"/>
  <c r="H216" i="3"/>
  <c r="H139" i="3"/>
  <c r="H144" i="3"/>
  <c r="H145" i="3"/>
  <c r="H287" i="3"/>
  <c r="H177" i="3"/>
  <c r="H288" i="3"/>
  <c r="H311" i="3"/>
  <c r="H225" i="3"/>
  <c r="H226" i="3"/>
  <c r="H228" i="3"/>
  <c r="H230" i="3"/>
  <c r="H232" i="3"/>
  <c r="H257" i="3"/>
  <c r="H258" i="3"/>
  <c r="H259" i="3"/>
  <c r="H312" i="3"/>
  <c r="H315" i="3"/>
  <c r="H302" i="3"/>
  <c r="H352" i="3"/>
  <c r="H355" i="3"/>
  <c r="H356" i="3"/>
  <c r="H357" i="3"/>
  <c r="H338" i="3"/>
  <c r="H360" i="3"/>
  <c r="H508" i="3"/>
  <c r="H780" i="3"/>
  <c r="H781" i="3"/>
  <c r="H78" i="3"/>
  <c r="H99" i="3"/>
  <c r="H1036" i="3"/>
  <c r="H313" i="3"/>
  <c r="H275" i="3"/>
  <c r="H285" i="3"/>
  <c r="H286" i="3"/>
  <c r="H671" i="3"/>
  <c r="H691" i="3"/>
  <c r="H692" i="3"/>
  <c r="H693" i="3"/>
  <c r="H1080" i="3"/>
  <c r="H1134" i="3"/>
  <c r="H1159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73" i="3"/>
  <c r="H1274" i="3"/>
  <c r="H852" i="3"/>
  <c r="H853" i="3"/>
  <c r="H854" i="3"/>
  <c r="H859" i="3"/>
  <c r="H314" i="3"/>
  <c r="H143" i="3"/>
  <c r="H235" i="3"/>
  <c r="H682" i="3"/>
  <c r="H167" i="3"/>
  <c r="H336" i="3"/>
  <c r="H607" i="3"/>
  <c r="H789" i="3"/>
  <c r="H812" i="3"/>
  <c r="H505" i="3"/>
  <c r="H506" i="3"/>
  <c r="H786" i="3"/>
  <c r="H809" i="3"/>
  <c r="H813" i="3"/>
  <c r="H821" i="3"/>
  <c r="H822" i="3"/>
  <c r="H823" i="3"/>
  <c r="H109" i="3"/>
  <c r="H337" i="3"/>
  <c r="H837" i="3"/>
  <c r="H297" i="3"/>
  <c r="H840" i="3"/>
  <c r="H841" i="3"/>
  <c r="H1275" i="3"/>
  <c r="H1276" i="3"/>
  <c r="H1277" i="3"/>
  <c r="H989" i="3"/>
  <c r="H67" i="3"/>
  <c r="H857" i="3"/>
  <c r="H861" i="3"/>
  <c r="H81" i="3"/>
  <c r="H87" i="3"/>
  <c r="H162" i="3"/>
  <c r="H266" i="3"/>
  <c r="H267" i="3"/>
  <c r="H824" i="3"/>
  <c r="H826" i="3"/>
  <c r="H1033" i="3"/>
  <c r="H1035" i="3"/>
  <c r="H1037" i="3"/>
  <c r="H1038" i="3"/>
  <c r="H611" i="3"/>
  <c r="H612" i="3"/>
  <c r="H613" i="3"/>
  <c r="H614" i="3"/>
  <c r="H615" i="3"/>
  <c r="H119" i="3"/>
  <c r="H171" i="3"/>
  <c r="H1051" i="3"/>
  <c r="H1087" i="3"/>
  <c r="H1088" i="3"/>
  <c r="H1089" i="3"/>
  <c r="H1090" i="3"/>
  <c r="H1091" i="3"/>
  <c r="H1206" i="3"/>
  <c r="H199" i="3"/>
  <c r="H210" i="3"/>
  <c r="H83" i="3"/>
  <c r="H86" i="3"/>
  <c r="H967" i="3"/>
  <c r="H317" i="3"/>
  <c r="H1097" i="3"/>
  <c r="H968" i="3"/>
  <c r="H165" i="3"/>
  <c r="H166" i="3"/>
  <c r="H973" i="3"/>
  <c r="H995" i="3"/>
  <c r="H996" i="3"/>
  <c r="H290" i="3"/>
  <c r="H605" i="3"/>
  <c r="H787" i="3"/>
  <c r="H810" i="3"/>
  <c r="H817" i="3"/>
  <c r="H1267" i="3"/>
  <c r="H261" i="3"/>
  <c r="H209" i="3"/>
  <c r="H212" i="3"/>
  <c r="H867" i="3"/>
  <c r="H869" i="3"/>
  <c r="H870" i="3"/>
  <c r="H873" i="3"/>
  <c r="H874" i="3"/>
  <c r="H875" i="3"/>
  <c r="H876" i="3"/>
  <c r="H877" i="3"/>
  <c r="H878" i="3"/>
  <c r="H880" i="3"/>
  <c r="H881" i="3"/>
  <c r="H882" i="3"/>
  <c r="H883" i="3"/>
  <c r="H884" i="3"/>
  <c r="H885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1019" i="3"/>
  <c r="H1020" i="3"/>
  <c r="H1021" i="3"/>
  <c r="H1192" i="3"/>
  <c r="H1126" i="3"/>
  <c r="H889" i="3"/>
  <c r="H890" i="3"/>
  <c r="H1127" i="3"/>
  <c r="H1193" i="3"/>
  <c r="H1194" i="3"/>
  <c r="H1209" i="3"/>
  <c r="H1268" i="3"/>
  <c r="H306" i="3"/>
  <c r="H1064" i="3"/>
  <c r="H1065" i="3"/>
  <c r="H1066" i="3"/>
  <c r="H1067" i="3"/>
  <c r="H11" i="3"/>
  <c r="H268" i="3"/>
  <c r="H159" i="3"/>
  <c r="H481" i="3"/>
  <c r="H482" i="3"/>
  <c r="H483" i="3"/>
  <c r="H484" i="3"/>
  <c r="H485" i="3"/>
  <c r="H486" i="3"/>
  <c r="H487" i="3"/>
  <c r="H58" i="3"/>
  <c r="H521" i="3"/>
  <c r="H299" i="3"/>
  <c r="H147" i="3"/>
  <c r="H197" i="3"/>
  <c r="H246" i="3"/>
  <c r="H289" i="3"/>
  <c r="H295" i="3"/>
  <c r="H303" i="3"/>
  <c r="H309" i="3"/>
  <c r="H326" i="3"/>
  <c r="H329" i="3"/>
  <c r="H141" i="3"/>
  <c r="H347" i="3"/>
  <c r="H163" i="3"/>
  <c r="H178" i="3"/>
  <c r="H188" i="3"/>
  <c r="H348" i="3"/>
  <c r="H219" i="3"/>
  <c r="H220" i="3"/>
  <c r="H351" i="3"/>
  <c r="H990" i="3"/>
  <c r="H991" i="3"/>
  <c r="H835" i="3"/>
  <c r="H307" i="3"/>
  <c r="H43" i="3"/>
  <c r="H305" i="3"/>
  <c r="H992" i="3"/>
  <c r="H993" i="3"/>
  <c r="H1278" i="3"/>
  <c r="H1279" i="3"/>
  <c r="H1280" i="3"/>
  <c r="H1281" i="3"/>
  <c r="H1135" i="3"/>
  <c r="H1136" i="3"/>
  <c r="H1137" i="3"/>
  <c r="H1138" i="3"/>
  <c r="H1139" i="3"/>
  <c r="H158" i="3"/>
  <c r="H161" i="3"/>
  <c r="H249" i="3"/>
  <c r="H503" i="3"/>
  <c r="H783" i="3"/>
  <c r="H806" i="3"/>
  <c r="H816" i="3"/>
  <c r="H1190" i="3"/>
  <c r="H238" i="3"/>
  <c r="H308" i="3"/>
  <c r="H670" i="3"/>
  <c r="H191" i="3"/>
  <c r="H224" i="3"/>
  <c r="H1230" i="3"/>
  <c r="H1232" i="3"/>
  <c r="H969" i="3"/>
  <c r="H168" i="3"/>
  <c r="H663" i="3"/>
  <c r="H998" i="3"/>
  <c r="H214" i="3"/>
  <c r="H666" i="3"/>
  <c r="H667" i="3"/>
  <c r="H668" i="3"/>
  <c r="H856" i="3"/>
  <c r="H522" i="3"/>
  <c r="H523" i="3"/>
  <c r="H610" i="3"/>
  <c r="H135" i="3"/>
  <c r="H236" i="3"/>
  <c r="H3" i="3"/>
  <c r="H40" i="3"/>
  <c r="H54" i="3"/>
  <c r="H85" i="3"/>
  <c r="H100" i="3"/>
  <c r="H116" i="3"/>
  <c r="H117" i="3"/>
  <c r="H49" i="3"/>
  <c r="H80" i="3"/>
  <c r="H130" i="3"/>
  <c r="H131" i="3"/>
  <c r="H200" i="3"/>
  <c r="H202" i="3"/>
  <c r="H205" i="3"/>
  <c r="H227" i="3"/>
  <c r="H622" i="3"/>
  <c r="H628" i="3"/>
  <c r="H120" i="3"/>
  <c r="H274" i="3"/>
  <c r="H1117" i="3"/>
  <c r="H342" i="3"/>
  <c r="H1146" i="3"/>
  <c r="H1152" i="3"/>
  <c r="H343" i="3"/>
  <c r="H344" i="3"/>
  <c r="H349" i="3"/>
  <c r="H276" i="3"/>
  <c r="H277" i="3"/>
  <c r="H278" i="3"/>
  <c r="H350" i="3"/>
  <c r="H489" i="3"/>
  <c r="H490" i="3"/>
  <c r="H491" i="3"/>
  <c r="H492" i="3"/>
  <c r="H493" i="3"/>
  <c r="H494" i="3"/>
  <c r="H499" i="3"/>
  <c r="H500" i="3"/>
  <c r="H501" i="3"/>
  <c r="H502" i="3"/>
  <c r="H603" i="3"/>
  <c r="H604" i="3"/>
  <c r="H771" i="3"/>
  <c r="H772" i="3"/>
  <c r="H701" i="3"/>
  <c r="H291" i="3"/>
  <c r="H31" i="3"/>
  <c r="H98" i="3"/>
  <c r="H170" i="3"/>
  <c r="H173" i="3"/>
  <c r="H187" i="3"/>
  <c r="H189" i="3"/>
  <c r="H702" i="3"/>
  <c r="H994" i="3"/>
  <c r="H263" i="3"/>
  <c r="H269" i="3"/>
  <c r="H270" i="3"/>
  <c r="H1120" i="3"/>
  <c r="H1121" i="3"/>
  <c r="H1122" i="3"/>
  <c r="H1123" i="3"/>
  <c r="H4" i="3"/>
  <c r="H7" i="3"/>
  <c r="H12" i="3"/>
  <c r="H21" i="3"/>
  <c r="H22" i="3"/>
  <c r="H23" i="3"/>
  <c r="H29" i="3"/>
  <c r="H30" i="3"/>
  <c r="H32" i="3"/>
  <c r="H33" i="3"/>
  <c r="H34" i="3"/>
  <c r="H35" i="3"/>
  <c r="H36" i="3"/>
  <c r="H37" i="3"/>
  <c r="H38" i="3"/>
  <c r="H39" i="3"/>
  <c r="H41" i="3"/>
  <c r="H42" i="3"/>
  <c r="H44" i="3"/>
  <c r="H51" i="3"/>
  <c r="H53" i="3"/>
  <c r="H56" i="3"/>
  <c r="H61" i="3"/>
  <c r="H62" i="3"/>
  <c r="H63" i="3"/>
  <c r="H64" i="3"/>
  <c r="H68" i="3"/>
  <c r="H76" i="3"/>
  <c r="H999" i="3"/>
  <c r="H92" i="3"/>
  <c r="H93" i="3"/>
  <c r="H94" i="3"/>
  <c r="H95" i="3"/>
  <c r="H96" i="3"/>
  <c r="H97" i="3"/>
  <c r="H1000" i="3"/>
  <c r="H102" i="3"/>
  <c r="H103" i="3"/>
  <c r="H104" i="3"/>
  <c r="H105" i="3"/>
  <c r="H107" i="3"/>
  <c r="H108" i="3"/>
  <c r="H114" i="3"/>
  <c r="H115" i="3"/>
  <c r="H507" i="3"/>
  <c r="H818" i="3"/>
  <c r="H118" i="3"/>
  <c r="H819" i="3"/>
  <c r="H123" i="3"/>
  <c r="H148" i="3"/>
  <c r="H149" i="3"/>
  <c r="H150" i="3"/>
  <c r="H155" i="3"/>
  <c r="H156" i="3"/>
  <c r="H164" i="3"/>
  <c r="H182" i="3"/>
  <c r="H248" i="3"/>
  <c r="H250" i="3"/>
  <c r="H251" i="3"/>
  <c r="H253" i="3"/>
  <c r="H255" i="3"/>
  <c r="H256" i="3"/>
  <c r="H260" i="3"/>
  <c r="H264" i="3"/>
  <c r="H265" i="3"/>
  <c r="H272" i="3"/>
  <c r="H273" i="3"/>
  <c r="H184" i="3"/>
  <c r="H296" i="3"/>
  <c r="H860" i="3"/>
  <c r="H851" i="3"/>
  <c r="H855" i="3"/>
  <c r="H886" i="3"/>
  <c r="H887" i="3"/>
  <c r="H888" i="3"/>
  <c r="H185" i="3"/>
  <c r="H129" i="3"/>
  <c r="H298" i="3"/>
  <c r="H552" i="3"/>
  <c r="H553" i="3"/>
  <c r="H558" i="3"/>
  <c r="H602" i="3"/>
  <c r="H206" i="3"/>
  <c r="H639" i="3"/>
  <c r="H640" i="3"/>
  <c r="H827" i="3"/>
  <c r="H608" i="3"/>
  <c r="H531" i="3"/>
  <c r="H541" i="3"/>
  <c r="H595" i="3"/>
  <c r="H792" i="3"/>
  <c r="H814" i="3"/>
  <c r="H847" i="3"/>
  <c r="H848" i="3"/>
  <c r="H1185" i="3"/>
  <c r="H1049" i="3"/>
  <c r="H1050" i="3"/>
  <c r="H1053" i="3"/>
  <c r="H1054" i="3"/>
  <c r="H1055" i="3"/>
  <c r="H1056" i="3"/>
  <c r="H1057" i="3"/>
  <c r="H1058" i="3"/>
  <c r="H1060" i="3"/>
  <c r="H768" i="3"/>
  <c r="H1207" i="3"/>
  <c r="H825" i="3"/>
  <c r="H1034" i="3"/>
  <c r="H128" i="3"/>
  <c r="H110" i="3"/>
  <c r="H1017" i="3"/>
  <c r="H791" i="3"/>
  <c r="H1109" i="3"/>
  <c r="H1110" i="3"/>
  <c r="H1111" i="3"/>
  <c r="H1112" i="3"/>
  <c r="H1113" i="3"/>
  <c r="H1114" i="3"/>
  <c r="H1115" i="3"/>
  <c r="H1130" i="3"/>
  <c r="H1045" i="3"/>
  <c r="H683" i="3"/>
  <c r="H684" i="3"/>
  <c r="H685" i="3"/>
  <c r="H504" i="3"/>
  <c r="H549" i="3"/>
  <c r="H784" i="3"/>
  <c r="H785" i="3"/>
  <c r="H807" i="3"/>
  <c r="H808" i="3"/>
  <c r="H686" i="3"/>
  <c r="H284" i="3"/>
  <c r="H699" i="3"/>
  <c r="H703" i="3"/>
  <c r="H1132" i="3"/>
  <c r="H1172" i="3"/>
  <c r="H1173" i="3"/>
  <c r="H997" i="3"/>
  <c r="H262" i="3"/>
  <c r="H842" i="3"/>
  <c r="H1166" i="3"/>
  <c r="H565" i="3"/>
  <c r="H600" i="3"/>
  <c r="H601" i="3"/>
  <c r="H672" i="3"/>
  <c r="H769" i="3"/>
  <c r="H773" i="3"/>
  <c r="H774" i="3"/>
  <c r="H775" i="3"/>
  <c r="H142" i="3"/>
  <c r="H146" i="3"/>
  <c r="H153" i="3"/>
  <c r="H157" i="3"/>
  <c r="H174" i="3"/>
  <c r="H176" i="3"/>
  <c r="H239" i="3"/>
  <c r="H241" i="3"/>
  <c r="H677" i="3"/>
  <c r="H868" i="3"/>
  <c r="H1116" i="3"/>
  <c r="H866" i="3"/>
  <c r="H971" i="3"/>
  <c r="H976" i="3"/>
  <c r="H978" i="3"/>
  <c r="H972" i="3"/>
  <c r="H616" i="3"/>
  <c r="H617" i="3"/>
  <c r="H618" i="3"/>
  <c r="H619" i="3"/>
  <c r="H620" i="3"/>
  <c r="H621" i="3"/>
  <c r="H624" i="3"/>
  <c r="H625" i="3"/>
  <c r="H626" i="3"/>
  <c r="H627" i="3"/>
  <c r="H629" i="3"/>
  <c r="H631" i="3"/>
  <c r="H632" i="3"/>
  <c r="H635" i="3"/>
  <c r="H636" i="3"/>
  <c r="H637" i="3"/>
  <c r="H638" i="3"/>
  <c r="H644" i="3"/>
  <c r="H655" i="3"/>
  <c r="H657" i="3"/>
  <c r="H658" i="3"/>
  <c r="H675" i="3"/>
  <c r="H339" i="3"/>
  <c r="H340" i="3"/>
  <c r="H341" i="3"/>
  <c r="H345" i="3"/>
  <c r="H346" i="3"/>
  <c r="H700" i="3"/>
  <c r="H316" i="3"/>
  <c r="H1062" i="3"/>
  <c r="H1063" i="3"/>
  <c r="H1101" i="3"/>
  <c r="H1102" i="3"/>
  <c r="H1131" i="3"/>
  <c r="H1133" i="3"/>
  <c r="H1156" i="3"/>
  <c r="H1157" i="3"/>
  <c r="H1031" i="3"/>
  <c r="H1052" i="3"/>
  <c r="H1079" i="3"/>
  <c r="H1150" i="3"/>
  <c r="H1151" i="3"/>
  <c r="H1005" i="3"/>
  <c r="H1174" i="3"/>
  <c r="H1175" i="3"/>
  <c r="H1182" i="3"/>
  <c r="H1183" i="3"/>
  <c r="H332" i="3"/>
  <c r="H1187" i="3"/>
  <c r="H1047" i="3"/>
  <c r="H1004" i="3"/>
  <c r="H1196" i="3"/>
  <c r="H1195" i="3"/>
  <c r="H359" i="3"/>
  <c r="H361" i="3"/>
  <c r="H706" i="3"/>
  <c r="H846" i="3"/>
  <c r="H1188" i="3"/>
  <c r="H790" i="3"/>
  <c r="H1179" i="3"/>
  <c r="H292" i="3"/>
  <c r="H520" i="3"/>
  <c r="H664" i="3"/>
  <c r="H665" i="3"/>
  <c r="H662" i="3"/>
  <c r="H1176" i="3"/>
  <c r="H353" i="3"/>
  <c r="H1048" i="3"/>
  <c r="H1092" i="3"/>
  <c r="H1093" i="3"/>
  <c r="H1094" i="3"/>
  <c r="H1095" i="3"/>
  <c r="H1096" i="3"/>
  <c r="H8" i="3"/>
  <c r="H1153" i="3" l="1"/>
  <c r="H82" i="3"/>
  <c r="H84" i="3"/>
  <c r="H1160" i="3"/>
  <c r="H1086" i="3"/>
  <c r="H1083" i="3"/>
  <c r="H1082" i="3"/>
  <c r="H1059" i="3"/>
  <c r="H1046" i="3"/>
  <c r="H1043" i="3"/>
  <c r="H1025" i="3"/>
  <c r="H1068" i="3"/>
  <c r="H1069" i="3"/>
  <c r="H1081" i="3"/>
  <c r="H331" i="3" l="1"/>
  <c r="H323" i="3"/>
  <c r="H1212" i="3"/>
  <c r="H1161" i="3" l="1"/>
  <c r="H1073" i="3" l="1"/>
  <c r="H1072" i="3"/>
  <c r="H1211" i="3"/>
  <c r="H322" i="3"/>
  <c r="H327" i="3"/>
  <c r="H328" i="3"/>
  <c r="H325" i="3"/>
  <c r="H321" i="3"/>
  <c r="H330" i="3"/>
  <c r="H324" i="3"/>
  <c r="H320" i="3"/>
  <c r="H319" i="3"/>
  <c r="H820" i="3" l="1"/>
  <c r="H1070" i="3" l="1"/>
  <c r="H1071" i="3"/>
  <c r="H1158" i="3"/>
  <c r="H1155" i="3"/>
  <c r="H1154" i="3"/>
  <c r="H1186" i="3"/>
  <c r="H1208" i="3"/>
  <c r="H1210" i="3"/>
  <c r="H1024" i="3"/>
  <c r="H88" i="3" l="1"/>
  <c r="G934" i="1" l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W859" i="1"/>
  <c r="U859" i="1"/>
  <c r="G859" i="1" s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37" i="1"/>
  <c r="G836" i="1"/>
  <c r="G835" i="1"/>
  <c r="G834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X811" i="1"/>
  <c r="V811" i="1"/>
  <c r="G811" i="1" s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X590" i="1"/>
  <c r="V590" i="1"/>
  <c r="G590" i="1" s="1"/>
  <c r="X589" i="1"/>
  <c r="V589" i="1"/>
  <c r="G589" i="1" s="1"/>
  <c r="G588" i="1"/>
  <c r="G587" i="1"/>
  <c r="G586" i="1"/>
  <c r="G585" i="1"/>
  <c r="W584" i="1"/>
  <c r="U584" i="1"/>
  <c r="G584" i="1" s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7" i="1"/>
  <c r="G566" i="1"/>
  <c r="G565" i="1"/>
  <c r="G563" i="1"/>
  <c r="G562" i="1"/>
  <c r="G561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497" i="1"/>
  <c r="G496" i="1"/>
  <c r="G495" i="1"/>
  <c r="G494" i="1"/>
  <c r="X493" i="1"/>
  <c r="V493" i="1"/>
  <c r="G493" i="1" s="1"/>
  <c r="X492" i="1"/>
  <c r="V492" i="1"/>
  <c r="G492" i="1" s="1"/>
  <c r="X491" i="1"/>
  <c r="V491" i="1"/>
  <c r="G491" i="1" s="1"/>
  <c r="X490" i="1"/>
  <c r="V490" i="1"/>
  <c r="G490" i="1" s="1"/>
  <c r="G489" i="1"/>
  <c r="G488" i="1"/>
  <c r="G487" i="1"/>
  <c r="N486" i="1"/>
  <c r="G486" i="1"/>
  <c r="G485" i="1"/>
  <c r="G484" i="1"/>
  <c r="G483" i="1"/>
  <c r="G482" i="1"/>
  <c r="G481" i="1"/>
  <c r="G480" i="1"/>
  <c r="G479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6" i="1"/>
  <c r="G285" i="1"/>
  <c r="X284" i="1"/>
  <c r="G284" i="1"/>
  <c r="G283" i="1"/>
  <c r="G282" i="1"/>
  <c r="G281" i="1"/>
  <c r="G280" i="1"/>
  <c r="G279" i="1"/>
  <c r="G278" i="1"/>
  <c r="G276" i="1"/>
  <c r="G275" i="1"/>
  <c r="G274" i="1"/>
  <c r="G273" i="1"/>
  <c r="G272" i="1"/>
  <c r="G271" i="1"/>
  <c r="G270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2" i="1"/>
  <c r="G241" i="1"/>
  <c r="G240" i="1"/>
  <c r="X239" i="1"/>
  <c r="V239" i="1"/>
  <c r="G239" i="1" s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3" i="1"/>
  <c r="G222" i="1"/>
  <c r="G221" i="1"/>
  <c r="G220" i="1"/>
  <c r="G219" i="1"/>
  <c r="G218" i="1"/>
  <c r="G217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U125" i="1"/>
  <c r="G125" i="1" s="1"/>
  <c r="G124" i="1"/>
  <c r="G123" i="1"/>
  <c r="G122" i="1"/>
  <c r="G121" i="1"/>
  <c r="G120" i="1"/>
  <c r="G119" i="1"/>
  <c r="G118" i="1"/>
  <c r="G117" i="1"/>
  <c r="G116" i="1"/>
  <c r="G115" i="1"/>
  <c r="G114" i="1"/>
  <c r="X113" i="1"/>
  <c r="V113" i="1"/>
  <c r="G113" i="1" s="1"/>
  <c r="G112" i="1"/>
  <c r="G111" i="1"/>
  <c r="W110" i="1"/>
  <c r="U110" i="1"/>
  <c r="G110" i="1" s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X90" i="1"/>
  <c r="V90" i="1"/>
  <c r="G90" i="1" s="1"/>
  <c r="X89" i="1"/>
  <c r="W89" i="1"/>
  <c r="U89" i="1"/>
  <c r="G89" i="1" s="1"/>
  <c r="I89" i="1"/>
  <c r="G88" i="1"/>
  <c r="G87" i="1"/>
  <c r="G86" i="1"/>
  <c r="G85" i="1"/>
  <c r="X84" i="1"/>
  <c r="V84" i="1"/>
  <c r="G84" i="1" s="1"/>
  <c r="G83" i="1"/>
  <c r="V82" i="1"/>
  <c r="G82" i="1" s="1"/>
  <c r="G81" i="1"/>
  <c r="G80" i="1"/>
  <c r="G79" i="1"/>
  <c r="G78" i="1"/>
  <c r="G77" i="1"/>
  <c r="G76" i="1"/>
  <c r="G75" i="1"/>
  <c r="G74" i="1"/>
  <c r="X73" i="1"/>
  <c r="G73" i="1"/>
  <c r="X72" i="1"/>
  <c r="G72" i="1"/>
  <c r="G71" i="1"/>
  <c r="G70" i="1"/>
  <c r="G69" i="1"/>
  <c r="G68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19" i="1"/>
  <c r="G18" i="1"/>
  <c r="G17" i="1"/>
  <c r="G16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Ana.Perez</author>
    <author>Guillermo.Reyes</author>
  </authors>
  <commentList>
    <comment ref="O6" authorId="0" shapeId="0" xr:uid="{216BA0DD-4B3C-4F9B-B9A3-4CCBB6A4680B}">
      <text>
        <r>
          <rPr>
            <b/>
            <sz val="9"/>
            <color indexed="81"/>
            <rFont val="Tahoma"/>
            <family val="2"/>
          </rPr>
          <t xml:space="preserve">FORMERRA
</t>
        </r>
      </text>
    </comment>
    <comment ref="O40" authorId="0" shapeId="0" xr:uid="{0C7A3B3E-DA8B-444C-AAF8-166C5F5021FE}">
      <text>
        <r>
          <rPr>
            <b/>
            <sz val="9"/>
            <color indexed="81"/>
            <rFont val="Tahoma"/>
            <family val="2"/>
          </rPr>
          <t>3/7 SABIC MOQ 3903 lbs
Reunión con Benjamin SBD, se aprueba cambio con Nexeo</t>
        </r>
      </text>
    </comment>
    <comment ref="O71" authorId="0" shapeId="0" xr:uid="{8227CB6C-5932-4926-9FB4-F74B1CFD887C}">
      <text>
        <r>
          <rPr>
            <b/>
            <sz val="9"/>
            <color indexed="81"/>
            <rFont val="Tahoma"/>
            <family val="2"/>
          </rPr>
          <t>MOQ 3300 LBS</t>
        </r>
      </text>
    </comment>
    <comment ref="O82" authorId="0" shapeId="0" xr:uid="{FE429003-3334-4AB2-80C0-E364BAACBC07}">
      <text>
        <r>
          <rPr>
            <b/>
            <sz val="9"/>
            <color indexed="81"/>
            <rFont val="Tahoma"/>
            <family val="2"/>
          </rPr>
          <t>Directo con KINGFA, SK recolectando en china
Normal $9,000 usd recolección / MOQ</t>
        </r>
      </text>
    </comment>
    <comment ref="R82" authorId="0" shapeId="0" xr:uid="{6C26A099-3393-4EBB-BEDB-CAB6F051792F}">
      <text>
        <r>
          <rPr>
            <b/>
            <sz val="9"/>
            <color indexed="81"/>
            <rFont val="Tahoma"/>
            <family val="2"/>
          </rPr>
          <t>Costo de tramite aduanero</t>
        </r>
      </text>
    </comment>
    <comment ref="R84" authorId="0" shapeId="0" xr:uid="{C7A8CA66-B794-4201-AB78-D9FC0B66CBBC}">
      <text>
        <r>
          <rPr>
            <b/>
            <sz val="9"/>
            <color indexed="81"/>
            <rFont val="Tahoma"/>
            <family val="2"/>
          </rPr>
          <t>Trámite aduanero</t>
        </r>
      </text>
    </comment>
    <comment ref="O85" authorId="0" shapeId="0" xr:uid="{7EE97238-90E7-403E-A402-D2BEF3A9438D}">
      <text>
        <r>
          <rPr>
            <b/>
            <sz val="9"/>
            <color indexed="81"/>
            <rFont val="Tahoma"/>
            <family val="2"/>
          </rPr>
          <t>SABIC</t>
        </r>
      </text>
    </comment>
    <comment ref="O88" authorId="0" shapeId="0" xr:uid="{DC0DE562-2432-48A9-AA51-485A805F0E64}">
      <text>
        <r>
          <rPr>
            <b/>
            <sz val="9"/>
            <color indexed="81"/>
            <rFont val="Tahoma"/>
            <family val="2"/>
          </rPr>
          <t>Directo con KINGFA, SK recolectando en china
Normal $9,000 usd recolección / MOQ</t>
        </r>
      </text>
    </comment>
    <comment ref="R88" authorId="0" shapeId="0" xr:uid="{20B5C7BB-2D19-4192-B543-DF76A539C569}">
      <text>
        <r>
          <rPr>
            <b/>
            <sz val="9"/>
            <color indexed="81"/>
            <rFont val="Tahoma"/>
            <family val="2"/>
          </rPr>
          <t>Costo de tramite aduanero</t>
        </r>
      </text>
    </comment>
    <comment ref="O95" authorId="0" shapeId="0" xr:uid="{AD47269E-4D3D-40BE-9120-F33E3E940A9D}">
      <text>
        <r>
          <rPr>
            <b/>
            <sz val="9"/>
            <color indexed="81"/>
            <rFont val="Tahoma"/>
            <family val="2"/>
          </rPr>
          <t>SABIC MCQ 1100 LBS</t>
        </r>
      </text>
    </comment>
    <comment ref="O105" authorId="0" shapeId="0" xr:uid="{B5642C6A-4B1C-4A97-A5BE-3EF66D859C85}">
      <text>
        <r>
          <rPr>
            <b/>
            <sz val="9"/>
            <color indexed="81"/>
            <rFont val="Tahoma"/>
            <family val="2"/>
          </rPr>
          <t>SABIC MOQ 4400 LBS</t>
        </r>
      </text>
    </comment>
    <comment ref="O116" authorId="0" shapeId="0" xr:uid="{45ADE4D7-333F-4F05-9066-379CF5A33313}">
      <text>
        <r>
          <rPr>
            <b/>
            <sz val="9"/>
            <color indexed="81"/>
            <rFont val="Tahoma"/>
            <family val="2"/>
          </rPr>
          <t>MOQ 40,476.45 LB</t>
        </r>
      </text>
    </comment>
    <comment ref="O172" authorId="0" shapeId="0" xr:uid="{64A62A87-E4D0-47F7-8349-3A72E455A30B}">
      <text>
        <r>
          <rPr>
            <b/>
            <sz val="9"/>
            <color indexed="81"/>
            <rFont val="Tahoma"/>
            <family val="2"/>
          </rPr>
          <t>Distribuidor FORMERRA</t>
        </r>
      </text>
    </comment>
    <comment ref="O175" authorId="0" shapeId="0" xr:uid="{96049FF7-FA58-4559-8D5D-0074548EAA90}">
      <text>
        <r>
          <rPr>
            <b/>
            <sz val="9"/>
            <color indexed="81"/>
            <rFont val="Tahoma"/>
            <family val="2"/>
          </rPr>
          <t>Precio con ENTEC sin credito y 24 semanas de LT</t>
        </r>
      </text>
    </comment>
    <comment ref="O190" authorId="0" shapeId="0" xr:uid="{14A315FC-B04E-456E-8ADD-09B0A616C484}">
      <text>
        <r>
          <rPr>
            <b/>
            <sz val="9"/>
            <color indexed="81"/>
            <rFont val="Tahoma"/>
            <family val="2"/>
          </rPr>
          <t>Ballyhoo</t>
        </r>
      </text>
    </comment>
    <comment ref="O215" authorId="0" shapeId="0" xr:uid="{9384F566-63D8-4A7C-BD8E-E12061601BFD}">
      <text>
        <r>
          <rPr>
            <b/>
            <sz val="9"/>
            <color indexed="81"/>
            <rFont val="Tahoma"/>
            <family val="2"/>
          </rPr>
          <t>MOQ 353 LBS</t>
        </r>
      </text>
    </comment>
    <comment ref="R244" authorId="0" shapeId="0" xr:uid="{A66FCC70-CB26-4FB4-8199-FD51340B5F81}">
      <text>
        <r>
          <rPr>
            <b/>
            <sz val="9"/>
            <color indexed="81"/>
            <rFont val="Tahoma"/>
            <family val="2"/>
          </rPr>
          <t>Freigh $250/MOQ
0.05 Importacion</t>
        </r>
      </text>
    </comment>
    <comment ref="N252" authorId="0" shapeId="0" xr:uid="{7CD6E0FC-C1DC-4905-99E9-AB7B1553B4B3}">
      <text>
        <r>
          <rPr>
            <b/>
            <sz val="9"/>
            <color indexed="81"/>
            <rFont val="Tahoma"/>
            <family val="2"/>
          </rPr>
          <t>MOQ 6400 con BASF</t>
        </r>
      </text>
    </comment>
    <comment ref="O288" authorId="0" shapeId="0" xr:uid="{8795A0D5-E6BF-418B-8265-63E6454F8FA3}">
      <text>
        <r>
          <rPr>
            <b/>
            <sz val="9"/>
            <color indexed="81"/>
            <rFont val="Tahoma"/>
            <family val="2"/>
          </rPr>
          <t>wt FORMERRA MOQ 2204 LBS</t>
        </r>
      </text>
    </comment>
    <comment ref="O309" authorId="0" shapeId="0" xr:uid="{D5C6C7E0-4B3C-401D-A0AF-DE4DA8F44FDC}">
      <text>
        <r>
          <rPr>
            <b/>
            <sz val="9"/>
            <color indexed="81"/>
            <rFont val="Tahoma"/>
            <family val="2"/>
          </rPr>
          <t>MOQ 55 LBS</t>
        </r>
      </text>
    </comment>
    <comment ref="R310" authorId="0" shapeId="0" xr:uid="{11F23697-EA35-4893-9B16-92DADD71E4F6}">
      <text>
        <r>
          <rPr>
            <b/>
            <sz val="9"/>
            <color indexed="81"/>
            <rFont val="Tahoma"/>
            <family val="2"/>
          </rPr>
          <t>Se considero en base al $ total de importacion entre MOQ 55 lb, revisado con el Ing Alanis</t>
        </r>
      </text>
    </comment>
    <comment ref="R313" authorId="0" shapeId="0" xr:uid="{F7EE5B6E-A084-483E-9EEB-9DC0C0EB38BB}">
      <text>
        <r>
          <rPr>
            <b/>
            <sz val="9"/>
            <color indexed="81"/>
            <rFont val="Tahoma"/>
            <family val="2"/>
          </rPr>
          <t>Trámite aduanero</t>
        </r>
      </text>
    </comment>
    <comment ref="R319" authorId="0" shapeId="0" xr:uid="{FC43ADB7-6538-4D06-A93B-2438BC976E6D}">
      <text>
        <r>
          <rPr>
            <b/>
            <sz val="9"/>
            <color indexed="81"/>
            <rFont val="Tahoma"/>
            <family val="2"/>
          </rPr>
          <t>6/24 Fleje $2150 entre cantidad recolectada</t>
        </r>
      </text>
    </comment>
    <comment ref="R320" authorId="0" shapeId="0" xr:uid="{B5AA5639-A902-4160-A798-6A87178B3808}">
      <text>
        <r>
          <rPr>
            <b/>
            <sz val="9"/>
            <color indexed="81"/>
            <rFont val="Tahoma"/>
            <family val="2"/>
          </rPr>
          <t>10/10 Fleje $2150 entre cantidad recolectada</t>
        </r>
      </text>
    </comment>
    <comment ref="R321" authorId="0" shapeId="0" xr:uid="{B14D3B86-73D4-48E0-BD55-FB4EA9B2E06A}">
      <text>
        <r>
          <rPr>
            <b/>
            <sz val="9"/>
            <color indexed="81"/>
            <rFont val="Tahoma"/>
            <family val="2"/>
          </rPr>
          <t>6/24 Fleje $2150 entre cantidad recolectada</t>
        </r>
      </text>
    </comment>
    <comment ref="R322" authorId="0" shapeId="0" xr:uid="{0AA6D50F-298E-446F-9564-B711BC7E41CD}">
      <text>
        <r>
          <rPr>
            <b/>
            <sz val="9"/>
            <color indexed="81"/>
            <rFont val="Tahoma"/>
            <family val="2"/>
          </rPr>
          <t>6/24 Fleje $2150 entre cantidad recolectada</t>
        </r>
      </text>
    </comment>
    <comment ref="R323" authorId="0" shapeId="0" xr:uid="{DB0AF8BD-CDF9-4D5E-9A05-457030E06354}">
      <text>
        <r>
          <rPr>
            <b/>
            <sz val="9"/>
            <color indexed="81"/>
            <rFont val="Tahoma"/>
            <family val="2"/>
          </rPr>
          <t>6/24 Fleje $2150 entre cantidad recolectada</t>
        </r>
      </text>
    </comment>
    <comment ref="R324" authorId="0" shapeId="0" xr:uid="{579F05CE-D72C-4846-B242-37F24DE6D022}">
      <text>
        <r>
          <rPr>
            <b/>
            <sz val="9"/>
            <color indexed="81"/>
            <rFont val="Tahoma"/>
            <family val="2"/>
          </rPr>
          <t>10/10 Ultimo flete $2150 entre la cantidad recolectada 3306 lbs</t>
        </r>
      </text>
    </comment>
    <comment ref="R325" authorId="0" shapeId="0" xr:uid="{7B0B0BB0-123B-4A2D-A8E8-5B5699744DBE}">
      <text>
        <r>
          <rPr>
            <b/>
            <sz val="9"/>
            <color indexed="81"/>
            <rFont val="Tahoma"/>
            <family val="2"/>
          </rPr>
          <t>6/24 Fleje $2150 entre cantidad recolectada</t>
        </r>
      </text>
    </comment>
    <comment ref="R327" authorId="0" shapeId="0" xr:uid="{D67F0A7C-0979-4081-A60A-62CEC80735AB}">
      <text>
        <r>
          <rPr>
            <b/>
            <sz val="9"/>
            <color indexed="81"/>
            <rFont val="Tahoma"/>
            <family val="2"/>
          </rPr>
          <t>6/24 Fleje $2150 entre cantidad recolectada</t>
        </r>
      </text>
    </comment>
    <comment ref="R328" authorId="0" shapeId="0" xr:uid="{13BBB765-66CD-49A7-973C-9A368C7E5321}">
      <text>
        <r>
          <rPr>
            <b/>
            <sz val="9"/>
            <color indexed="81"/>
            <rFont val="Tahoma"/>
            <family val="2"/>
          </rPr>
          <t>6/24 Fleje $2150 entre cantidad recolectada</t>
        </r>
      </text>
    </comment>
    <comment ref="R330" authorId="0" shapeId="0" xr:uid="{58AED6B6-A79E-4DD5-B83A-31F91960275C}">
      <text>
        <r>
          <rPr>
            <b/>
            <sz val="9"/>
            <color indexed="81"/>
            <rFont val="Tahoma"/>
            <family val="2"/>
          </rPr>
          <t>6/24 Fleje $2150 entre cantidad recolectada</t>
        </r>
      </text>
    </comment>
    <comment ref="R331" authorId="0" shapeId="0" xr:uid="{34476887-8B6D-40FA-96C3-3B317FF69D69}">
      <text>
        <r>
          <rPr>
            <b/>
            <sz val="9"/>
            <color indexed="81"/>
            <rFont val="Tahoma"/>
            <family val="2"/>
          </rPr>
          <t>6/24 Fleje $2150 entre cantidad recolectada</t>
        </r>
      </text>
    </comment>
    <comment ref="M332" authorId="0" shapeId="0" xr:uid="{A4BEC066-9ACA-4307-9AA9-6400347AF7A1}">
      <text>
        <r>
          <rPr>
            <b/>
            <sz val="9"/>
            <color indexed="81"/>
            <rFont val="Tahoma"/>
            <family val="2"/>
          </rPr>
          <t>Lead time normal 12 semanas
Lead time aereo 4 semanas</t>
        </r>
      </text>
    </comment>
    <comment ref="O332" authorId="0" shapeId="0" xr:uid="{A81F4FB6-8CE8-4EA4-BCEF-6E4BAA254420}">
      <text>
        <r>
          <rPr>
            <b/>
            <sz val="9"/>
            <color indexed="81"/>
            <rFont val="Tahoma"/>
            <family val="2"/>
          </rPr>
          <t>Precio anterior, con envio maritimo</t>
        </r>
      </text>
    </comment>
    <comment ref="Q332" authorId="0" shapeId="0" xr:uid="{382AA72C-2FDF-4E1F-871F-DF835E7D872C}">
      <text>
        <r>
          <rPr>
            <b/>
            <sz val="9"/>
            <color indexed="81"/>
            <rFont val="Tahoma"/>
            <family val="2"/>
          </rPr>
          <t>Precio actual incliuye flete aereo</t>
        </r>
      </text>
    </comment>
    <comment ref="R333" authorId="0" shapeId="0" xr:uid="{63338B91-1516-4EAA-96C9-CF548FEDA733}">
      <text>
        <r>
          <rPr>
            <b/>
            <sz val="9"/>
            <color indexed="81"/>
            <rFont val="Tahoma"/>
            <family val="2"/>
          </rPr>
          <t>10/10 Flete $16,900 pesos entre la cantidad recolectada</t>
        </r>
      </text>
    </comment>
    <comment ref="R337" authorId="0" shapeId="0" xr:uid="{4D01E363-129C-4D20-8F54-B5FBDA4D994E}">
      <text>
        <r>
          <rPr>
            <b/>
            <sz val="9"/>
            <color indexed="81"/>
            <rFont val="Tahoma"/>
            <family val="2"/>
          </rPr>
          <t>Trámite aduanero</t>
        </r>
      </text>
    </comment>
    <comment ref="R338" authorId="0" shapeId="0" xr:uid="{ABDED107-58E5-4499-958E-855DE309383B}">
      <text>
        <r>
          <rPr>
            <b/>
            <sz val="9"/>
            <color indexed="81"/>
            <rFont val="Tahoma"/>
            <family val="2"/>
          </rPr>
          <t>9/4 Ultimo flete $9500 usd entre la  cantidad recolecada 39683 lbs</t>
        </r>
      </text>
    </comment>
    <comment ref="O358" authorId="0" shapeId="0" xr:uid="{EFEE9F4A-BFAD-489E-86E9-A778775F2D64}">
      <text>
        <r>
          <rPr>
            <b/>
            <sz val="9"/>
            <color indexed="81"/>
            <rFont val="Tahoma"/>
            <family val="2"/>
          </rPr>
          <t>Precio colocado en Apodaca</t>
        </r>
      </text>
    </comment>
    <comment ref="R358" authorId="0" shapeId="0" xr:uid="{814ED4DF-1457-4A62-BFBC-62335993756F}">
      <text>
        <r>
          <rPr>
            <b/>
            <sz val="9"/>
            <color indexed="81"/>
            <rFont val="Tahoma"/>
            <family val="2"/>
          </rPr>
          <t>8/8 Flete $3227 entre la cantidad recolectada 6613 lbs</t>
        </r>
      </text>
    </comment>
    <comment ref="O360" authorId="0" shapeId="0" xr:uid="{83AB83F9-A088-42CF-BF37-36642C6B6C98}">
      <text>
        <r>
          <rPr>
            <b/>
            <sz val="9"/>
            <color indexed="81"/>
            <rFont val="Tahoma"/>
            <family val="2"/>
          </rPr>
          <t>ENTEC distribuidor</t>
        </r>
      </text>
    </comment>
    <comment ref="O376" authorId="0" shapeId="0" xr:uid="{08CF0C79-A988-4945-95BE-ABB49E7EF5E0}">
      <text>
        <r>
          <rPr>
            <b/>
            <sz val="9"/>
            <color indexed="81"/>
            <rFont val="Tahoma"/>
            <family val="2"/>
          </rPr>
          <t>wt cliente</t>
        </r>
      </text>
    </comment>
    <comment ref="O380" authorId="0" shapeId="0" xr:uid="{B588E003-4AD0-4E8A-BE1E-2A7B44C34707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O384" authorId="0" shapeId="0" xr:uid="{7DCF8A9C-CBCB-46FD-B2A5-BA95AAED6611}">
      <text>
        <r>
          <rPr>
            <b/>
            <sz val="9"/>
            <color indexed="81"/>
            <rFont val="Tahoma"/>
            <family val="2"/>
          </rPr>
          <t>Chase P</t>
        </r>
      </text>
    </comment>
    <comment ref="O386" authorId="0" shapeId="0" xr:uid="{2A278B66-6812-4DE7-AB0D-4620F6265DB5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O390" authorId="0" shapeId="0" xr:uid="{4FC0364A-4681-445D-913E-EE2369F80BB8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O398" authorId="0" shapeId="0" xr:uid="{650B5BBC-9222-48DB-9E38-129EFFF46750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R398" authorId="0" shapeId="0" xr:uid="{FC2427F9-1806-4FB0-A603-DC7294843B2C}">
      <text>
        <r>
          <rPr>
            <b/>
            <sz val="9"/>
            <color indexed="81"/>
            <rFont val="Tahoma"/>
            <family val="2"/>
          </rPr>
          <t>Recolección + Importacion</t>
        </r>
      </text>
    </comment>
    <comment ref="R399" authorId="0" shapeId="0" xr:uid="{4C0ED4C7-B129-40A2-95E6-62EB3F053614}">
      <text>
        <r>
          <rPr>
            <b/>
            <sz val="9"/>
            <color indexed="81"/>
            <rFont val="Tahoma"/>
            <family val="2"/>
          </rPr>
          <t>Freigh $250/MOQ
0.05 Importacion</t>
        </r>
      </text>
    </comment>
    <comment ref="N404" authorId="0" shapeId="0" xr:uid="{BB259237-F473-4FD7-81F3-EF44595BE3F3}">
      <text>
        <r>
          <rPr>
            <b/>
            <sz val="9"/>
            <color indexed="81"/>
            <rFont val="Tahoma"/>
            <family val="2"/>
          </rPr>
          <t>Minimo</t>
        </r>
      </text>
    </comment>
    <comment ref="O408" authorId="0" shapeId="0" xr:uid="{A3266EE6-FF83-4C1E-85A8-085CECCF0700}">
      <text>
        <r>
          <rPr>
            <b/>
            <sz val="9"/>
            <color indexed="81"/>
            <rFont val="Tahoma"/>
            <family val="2"/>
          </rPr>
          <t>Precio de Albea + recolección</t>
        </r>
      </text>
    </comment>
    <comment ref="O412" authorId="0" shapeId="0" xr:uid="{066F00BA-6655-481F-94BA-03F8F010F465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R421" authorId="0" shapeId="0" xr:uid="{881B2F08-82C7-4BC5-B459-DA272D1A1480}">
      <text>
        <r>
          <rPr>
            <b/>
            <sz val="9"/>
            <color indexed="81"/>
            <rFont val="Tahoma"/>
            <family val="2"/>
          </rPr>
          <t>DHL + Importacion</t>
        </r>
      </text>
    </comment>
    <comment ref="R423" authorId="0" shapeId="0" xr:uid="{6E0C1E3A-9E8D-4B9A-8C8C-B09408B508C0}">
      <text>
        <r>
          <rPr>
            <b/>
            <sz val="9"/>
            <color indexed="81"/>
            <rFont val="Tahoma"/>
            <family val="2"/>
          </rPr>
          <t xml:space="preserve">Tarifa, material de china </t>
        </r>
      </text>
    </comment>
    <comment ref="R424" authorId="0" shapeId="0" xr:uid="{DD4E02EA-F040-4627-9045-364A2BB85193}">
      <text>
        <r>
          <rPr>
            <b/>
            <sz val="9"/>
            <color indexed="81"/>
            <rFont val="Tahoma"/>
            <family val="2"/>
          </rPr>
          <t>Envio + Importacion</t>
        </r>
      </text>
    </comment>
    <comment ref="O426" authorId="0" shapeId="0" xr:uid="{EC033674-5F22-42C6-AF3C-E67716F8BB9D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O427" authorId="0" shapeId="0" xr:uid="{3C47FFC7-36DC-4D17-A769-8213F2293973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O428" authorId="0" shapeId="0" xr:uid="{711FAD2A-0EA4-42E1-8169-9BCD34BB9366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O433" authorId="0" shapeId="0" xr:uid="{6D0FAD6D-E382-43F0-9497-6D0092A1E9E9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O449" authorId="0" shapeId="0" xr:uid="{961E5F4F-3B34-4A0B-85C4-2F81F6737E98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O457" authorId="0" shapeId="0" xr:uid="{1C5A340B-EAF6-4A1E-ACB1-84A243A6C162}">
      <text>
        <r>
          <rPr>
            <b/>
            <sz val="9"/>
            <color indexed="81"/>
            <rFont val="Tahoma"/>
            <family val="2"/>
          </rPr>
          <t>Serendipity MOQ 2205 lbs</t>
        </r>
      </text>
    </comment>
    <comment ref="O463" authorId="0" shapeId="0" xr:uid="{599B74C7-AEF3-4B64-865C-5F93ED723EB9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B465" authorId="0" shapeId="0" xr:uid="{ABFDD761-E711-4921-B0E2-E5026779715C}">
      <text>
        <r>
          <rPr>
            <b/>
            <sz val="9"/>
            <color indexed="81"/>
            <rFont val="Tahoma"/>
            <family val="2"/>
          </rPr>
          <t>Reemplazada por 1109394</t>
        </r>
      </text>
    </comment>
    <comment ref="O471" authorId="0" shapeId="0" xr:uid="{2B27EEAA-EC5E-4526-8D19-052A72A25788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R472" authorId="0" shapeId="0" xr:uid="{114C2748-1F4E-476F-94C6-21FC1D07FA99}">
      <text>
        <r>
          <rPr>
            <b/>
            <sz val="9"/>
            <color indexed="81"/>
            <rFont val="Tahoma"/>
            <family val="2"/>
          </rPr>
          <t>3900 recoleccion</t>
        </r>
      </text>
    </comment>
    <comment ref="O507" authorId="0" shapeId="0" xr:uid="{2D216AB6-C249-4CB6-A051-1A643E555FD9}">
      <text>
        <r>
          <rPr>
            <b/>
            <sz val="9"/>
            <color indexed="81"/>
            <rFont val="Tahoma"/>
            <family val="2"/>
          </rPr>
          <t>Unitario + 16iva + envio $450/MOQ</t>
        </r>
      </text>
    </comment>
    <comment ref="Q507" authorId="0" shapeId="0" xr:uid="{37814933-518C-459C-B51C-F53F03F3347E}">
      <text>
        <r>
          <rPr>
            <b/>
            <sz val="9"/>
            <color indexed="81"/>
            <rFont val="Tahoma"/>
            <family val="2"/>
          </rPr>
          <t>Unitario + 16iva</t>
        </r>
      </text>
    </comment>
    <comment ref="R507" authorId="0" shapeId="0" xr:uid="{F3FB7F20-690E-4012-8705-9CF02D35A25F}">
      <text>
        <r>
          <rPr>
            <b/>
            <sz val="9"/>
            <color indexed="81"/>
            <rFont val="Tahoma"/>
            <family val="2"/>
          </rPr>
          <t>Recoleccion $295/MOQ</t>
        </r>
      </text>
    </comment>
    <comment ref="R607" authorId="0" shapeId="0" xr:uid="{6817AE27-41C4-4F9E-880E-B11BE5AF558D}">
      <text>
        <r>
          <rPr>
            <b/>
            <sz val="9"/>
            <color indexed="81"/>
            <rFont val="Tahoma"/>
            <family val="2"/>
          </rPr>
          <t>16% + envio</t>
        </r>
      </text>
    </comment>
    <comment ref="R616" authorId="0" shapeId="0" xr:uid="{3A49EB85-1D6A-4353-9612-5E443BE1F02F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17" authorId="0" shapeId="0" xr:uid="{76CAD608-0013-4CC6-9D63-C7B87274D55B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18" authorId="0" shapeId="0" xr:uid="{CEB46667-B1C5-4312-9070-DB4AD797BC84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19" authorId="0" shapeId="0" xr:uid="{B0D3E32F-E6C8-4537-AD75-586BE206931C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20" authorId="0" shapeId="0" xr:uid="{FAAA31BA-0D1B-40E6-A19C-4DE64400E08D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21" authorId="0" shapeId="0" xr:uid="{39F78E7D-0DDC-4A6A-BA53-4CCFBC8CDAED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24" authorId="0" shapeId="0" xr:uid="{391CBF22-3F75-447E-9C5A-362E5A113CAD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25" authorId="0" shapeId="0" xr:uid="{AA7F8A49-0F60-4506-A0D5-4D3B91127708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26" authorId="0" shapeId="0" xr:uid="{CF88671D-71DF-4270-9072-EC930B07F514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27" authorId="0" shapeId="0" xr:uid="{329E5B29-E5FC-4C08-BD14-D55F8D883000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29" authorId="0" shapeId="0" xr:uid="{EB5066D0-112D-4D4D-AB37-AB7692538B09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31" authorId="0" shapeId="0" xr:uid="{5FC9C4EB-CABD-4349-9490-95F066590897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32" authorId="0" shapeId="0" xr:uid="{F043AAD3-5F80-4A93-BBAB-35CA3762D227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35" authorId="0" shapeId="0" xr:uid="{7231385B-0C30-4B42-983A-8E018F84AE1B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36" authorId="0" shapeId="0" xr:uid="{AAC0D304-28B7-430F-AC8F-A835629835F7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37" authorId="0" shapeId="0" xr:uid="{DBABA067-FE8C-4779-B892-D3AAF2AE1BD4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38" authorId="0" shapeId="0" xr:uid="{80A07A11-07FC-44CC-B560-8900D1B3EBEA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44" authorId="0" shapeId="0" xr:uid="{C7194D4A-E8F5-4A64-8797-A312F7952A06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55" authorId="0" shapeId="0" xr:uid="{8FCF4300-AC6A-489F-AF7B-886ADE2EC09E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57" authorId="0" shapeId="0" xr:uid="{AA2ABFC7-03E2-4C75-8540-FE8DD175328A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58" authorId="0" shapeId="0" xr:uid="{2F047E6F-7B67-45EB-BB01-7CC1ED788CC7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69" authorId="0" shapeId="0" xr:uid="{FE3E2BE4-8262-4F22-B490-4AB618F630CB}">
      <text>
        <r>
          <rPr>
            <b/>
            <sz val="9"/>
            <color indexed="81"/>
            <rFont val="Tahoma"/>
            <family val="2"/>
          </rPr>
          <t>Freigh 300/MOQ
Importacion .05</t>
        </r>
      </text>
    </comment>
    <comment ref="R675" authorId="0" shapeId="0" xr:uid="{D5B81607-DAB9-4D0E-BE29-5EE610D487EC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83" authorId="0" shapeId="0" xr:uid="{7C21E611-6003-4311-A131-15C3E793B157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84" authorId="0" shapeId="0" xr:uid="{A27F05AC-924F-4E17-9DF5-FDE354F9DCE5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85" authorId="0" shapeId="0" xr:uid="{AF258408-582A-4A3A-B103-4B713796F89D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86" authorId="0" shapeId="0" xr:uid="{22A849A3-F974-4C57-B213-61CB7A9CFA75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99" authorId="0" shapeId="0" xr:uid="{8EB94EF9-D9D9-490E-9E44-216821745BF3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700" authorId="0" shapeId="0" xr:uid="{6BB75251-280C-4368-A49D-2C1A8886BEB7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703" authorId="0" shapeId="0" xr:uid="{5B1A0AF0-FB93-47DF-BDD8-B67BD237971B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O708" authorId="0" shapeId="0" xr:uid="{2C9A3411-7EF2-4AF4-AAB9-144110EA233C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O714" authorId="0" shapeId="0" xr:uid="{C0D3CEF3-781E-4D28-BE3F-9C102A3C1F35}">
      <text>
        <r>
          <rPr>
            <b/>
            <sz val="9"/>
            <color indexed="81"/>
            <rFont val="Tahoma"/>
            <family val="2"/>
          </rPr>
          <t>MOQ 50 LBS</t>
        </r>
      </text>
    </comment>
    <comment ref="O722" authorId="0" shapeId="0" xr:uid="{E70D40DA-11A8-4939-A628-20D0102068BA}">
      <text>
        <r>
          <rPr>
            <b/>
            <sz val="9"/>
            <color indexed="81"/>
            <rFont val="Tahoma"/>
            <family val="2"/>
          </rPr>
          <t>MOQ 50 LBS</t>
        </r>
      </text>
    </comment>
    <comment ref="O737" authorId="0" shapeId="0" xr:uid="{F9FA7666-B6C6-4F93-A816-F5D7FBB5732F}">
      <text>
        <r>
          <rPr>
            <b/>
            <sz val="9"/>
            <color indexed="81"/>
            <rFont val="Tahoma"/>
            <family val="2"/>
          </rPr>
          <t>Precio del cliente + recoleccion</t>
        </r>
      </text>
    </comment>
    <comment ref="R789" authorId="0" shapeId="0" xr:uid="{72B9FE7C-C63F-47B5-90F8-9DFF24C82AF9}">
      <text>
        <r>
          <rPr>
            <b/>
            <sz val="9"/>
            <color indexed="81"/>
            <rFont val="Tahoma"/>
            <family val="2"/>
          </rPr>
          <t>16% + envio</t>
        </r>
      </text>
    </comment>
    <comment ref="R812" authorId="0" shapeId="0" xr:uid="{F73ABC66-5411-42C6-9440-1FFDF14BD1CF}">
      <text>
        <r>
          <rPr>
            <b/>
            <sz val="9"/>
            <color indexed="81"/>
            <rFont val="Tahoma"/>
            <family val="2"/>
          </rPr>
          <t>16% + envio</t>
        </r>
      </text>
    </comment>
    <comment ref="Q818" authorId="0" shapeId="0" xr:uid="{C08141A3-E569-49C5-A931-718B9429599A}">
      <text>
        <r>
          <rPr>
            <b/>
            <sz val="9"/>
            <color indexed="81"/>
            <rFont val="Tahoma"/>
            <family val="2"/>
          </rPr>
          <t>Precio unitario
+
16%</t>
        </r>
      </text>
    </comment>
    <comment ref="R818" authorId="0" shapeId="0" xr:uid="{99C80244-8989-4989-B415-1E9F8644A80B}">
      <text>
        <r>
          <rPr>
            <b/>
            <sz val="9"/>
            <color indexed="81"/>
            <rFont val="Tahoma"/>
            <family val="2"/>
          </rPr>
          <t>Envio + 16%</t>
        </r>
      </text>
    </comment>
    <comment ref="Q819" authorId="0" shapeId="0" xr:uid="{094DD992-D541-40D3-A68C-55401F402D24}">
      <text>
        <r>
          <rPr>
            <b/>
            <sz val="9"/>
            <color indexed="81"/>
            <rFont val="Tahoma"/>
            <family val="2"/>
          </rPr>
          <t>Precio unitario
+
16%</t>
        </r>
      </text>
    </comment>
    <comment ref="R819" authorId="0" shapeId="0" xr:uid="{86186CFF-AC8E-4F93-B52A-EE8D7A932486}">
      <text>
        <r>
          <rPr>
            <b/>
            <sz val="9"/>
            <color indexed="81"/>
            <rFont val="Tahoma"/>
            <family val="2"/>
          </rPr>
          <t>Envio + 16%</t>
        </r>
      </text>
    </comment>
    <comment ref="N820" authorId="0" shapeId="0" xr:uid="{CAAD8F64-83B6-4CB2-B01E-D657AF40B0E0}">
      <text>
        <r>
          <rPr>
            <b/>
            <sz val="9"/>
            <color indexed="81"/>
            <rFont val="Tahoma"/>
            <family val="2"/>
          </rPr>
          <t>Cajas de 720 pcs</t>
        </r>
      </text>
    </comment>
    <comment ref="R820" authorId="0" shapeId="0" xr:uid="{634FAC49-B56F-4F7D-B1B1-6DA27CC1DE85}">
      <text>
        <r>
          <rPr>
            <b/>
            <sz val="9"/>
            <color indexed="81"/>
            <rFont val="Tahoma"/>
            <family val="2"/>
          </rPr>
          <t>4/17 Costo recoleccion $195 entre la cantidad recolectada 8640 lbs</t>
        </r>
      </text>
    </comment>
    <comment ref="R837" authorId="0" shapeId="0" xr:uid="{66C3378A-C023-4FD5-ADF7-9617EEF80BFC}">
      <text>
        <r>
          <rPr>
            <b/>
            <sz val="9"/>
            <color indexed="81"/>
            <rFont val="Tahoma"/>
            <family val="2"/>
          </rPr>
          <t>6/10 Ultimo envio $210 USD entre cantidad enviada 20k pcs</t>
        </r>
      </text>
    </comment>
    <comment ref="R840" authorId="0" shapeId="0" xr:uid="{D6A8B09A-E275-4927-9C2D-74A9E755169A}">
      <text>
        <r>
          <rPr>
            <b/>
            <sz val="9"/>
            <color indexed="81"/>
            <rFont val="Tahoma"/>
            <family val="2"/>
          </rPr>
          <t>8/5 Ultimo envio $520 entre la cantidad enviada 32k pcs</t>
        </r>
      </text>
    </comment>
    <comment ref="Q994" authorId="0" shapeId="0" xr:uid="{8EE12A6A-DBA3-4CEA-9934-DB73279B17B2}">
      <text>
        <r>
          <rPr>
            <b/>
            <sz val="9"/>
            <color indexed="81"/>
            <rFont val="Tahoma"/>
            <family val="2"/>
          </rPr>
          <t>Precio de Spirol</t>
        </r>
      </text>
    </comment>
    <comment ref="R998" authorId="0" shapeId="0" xr:uid="{B152F240-2431-4A17-8F55-D5E0EE359EC9}">
      <text>
        <r>
          <rPr>
            <b/>
            <sz val="9"/>
            <color indexed="81"/>
            <rFont val="Tahoma"/>
            <family val="2"/>
          </rPr>
          <t>21 Marzo
Ultima recoleccion HOU $1600 USD</t>
        </r>
      </text>
    </comment>
    <comment ref="R999" authorId="0" shapeId="0" xr:uid="{AA095AFE-D106-4017-BB41-3830E60F21A3}">
      <text>
        <r>
          <rPr>
            <b/>
            <sz val="9"/>
            <color indexed="81"/>
            <rFont val="Tahoma"/>
            <family val="2"/>
          </rPr>
          <t>Enero 2025 $2300 USD</t>
        </r>
      </text>
    </comment>
    <comment ref="R1000" authorId="0" shapeId="0" xr:uid="{B151E010-33D7-4679-9FB0-25F52F09F029}">
      <text>
        <r>
          <rPr>
            <b/>
            <sz val="9"/>
            <color indexed="81"/>
            <rFont val="Tahoma"/>
            <family val="2"/>
          </rPr>
          <t>Febrero 2025 $1890 USD</t>
        </r>
      </text>
    </comment>
    <comment ref="O1002" authorId="0" shapeId="0" xr:uid="{CB8BE4A6-9516-4381-BAE8-4DF973EB4257}">
      <text>
        <r>
          <rPr>
            <b/>
            <sz val="9"/>
            <color indexed="81"/>
            <rFont val="Tahoma"/>
            <family val="2"/>
          </rPr>
          <t>Este precio es de Seward Screw, LLC MOQ 40K pcs</t>
        </r>
      </text>
    </comment>
    <comment ref="O1003" authorId="0" shapeId="0" xr:uid="{7CECEA3C-2E8D-4453-BFE0-D06FC520E887}">
      <text>
        <r>
          <rPr>
            <b/>
            <sz val="9"/>
            <color indexed="81"/>
            <rFont val="Tahoma"/>
            <family val="2"/>
          </rPr>
          <t>Este precio era con Novatechnologies</t>
        </r>
      </text>
    </comment>
    <comment ref="O1014" authorId="0" shapeId="0" xr:uid="{3CB4AADD-D99F-4B55-8321-992731985A7C}">
      <text>
        <r>
          <rPr>
            <b/>
            <sz val="9"/>
            <color indexed="81"/>
            <rFont val="Tahoma"/>
            <family val="2"/>
          </rPr>
          <t>wt JCI Reynosa</t>
        </r>
      </text>
    </comment>
    <comment ref="O1015" authorId="0" shapeId="0" xr:uid="{BEC718A9-062D-48D1-923D-4F7E990B10BF}">
      <text>
        <r>
          <rPr>
            <b/>
            <sz val="9"/>
            <color indexed="81"/>
            <rFont val="Tahoma"/>
            <family val="2"/>
          </rPr>
          <t>Wt JCI Reynosa</t>
        </r>
      </text>
    </comment>
    <comment ref="R1068" authorId="1" shapeId="0" xr:uid="{31157636-2EC6-40CE-B972-D52837923EC0}">
      <text>
        <r>
          <rPr>
            <b/>
            <sz val="9"/>
            <color indexed="81"/>
            <rFont val="Tahoma"/>
            <family val="2"/>
          </rPr>
          <t>Guillermo.Reyes:</t>
        </r>
        <r>
          <rPr>
            <sz val="9"/>
            <color indexed="81"/>
            <rFont val="Tahoma"/>
            <family val="2"/>
          </rPr>
          <t xml:space="preserve">
IVA 16%.</t>
        </r>
      </text>
    </comment>
    <comment ref="R1069" authorId="1" shapeId="0" xr:uid="{507A0DBD-4171-4B92-A7E8-401089200043}">
      <text>
        <r>
          <rPr>
            <b/>
            <sz val="9"/>
            <color indexed="81"/>
            <rFont val="Tahoma"/>
            <family val="2"/>
          </rPr>
          <t>Guillermo.Reyes:</t>
        </r>
        <r>
          <rPr>
            <sz val="9"/>
            <color indexed="81"/>
            <rFont val="Tahoma"/>
            <family val="2"/>
          </rPr>
          <t xml:space="preserve">
IVA 16%.</t>
        </r>
      </text>
    </comment>
    <comment ref="R1153" authorId="1" shapeId="0" xr:uid="{4625A057-F576-4C87-8E96-B97036BEE336}">
      <text>
        <r>
          <rPr>
            <b/>
            <sz val="9"/>
            <color indexed="81"/>
            <rFont val="Tahoma"/>
            <family val="2"/>
          </rPr>
          <t>Guillermo.Reyes:</t>
        </r>
        <r>
          <rPr>
            <sz val="9"/>
            <color indexed="81"/>
            <rFont val="Tahoma"/>
            <family val="2"/>
          </rPr>
          <t xml:space="preserve">
IVA 8%</t>
        </r>
      </text>
    </comment>
    <comment ref="R1154" authorId="1" shapeId="0" xr:uid="{2CC0FFC1-4A7B-4382-A8D8-C46BBF38D479}">
      <text>
        <r>
          <rPr>
            <b/>
            <sz val="9"/>
            <color indexed="81"/>
            <rFont val="Tahoma"/>
            <family val="2"/>
          </rPr>
          <t>Guillermo.Reyes:</t>
        </r>
        <r>
          <rPr>
            <sz val="9"/>
            <color indexed="81"/>
            <rFont val="Tahoma"/>
            <family val="2"/>
          </rPr>
          <t xml:space="preserve">
IVA 8%</t>
        </r>
      </text>
    </comment>
    <comment ref="R1155" authorId="1" shapeId="0" xr:uid="{C9A47D68-786E-4DB6-A49A-A2EC1960BC45}">
      <text>
        <r>
          <rPr>
            <b/>
            <sz val="9"/>
            <color indexed="81"/>
            <rFont val="Tahoma"/>
            <family val="2"/>
          </rPr>
          <t>Guillermo.Reyes:</t>
        </r>
        <r>
          <rPr>
            <sz val="9"/>
            <color indexed="81"/>
            <rFont val="Tahoma"/>
            <family val="2"/>
          </rPr>
          <t xml:space="preserve">
IVA 8%</t>
        </r>
      </text>
    </comment>
    <comment ref="R1158" authorId="1" shapeId="0" xr:uid="{B8869AA1-14D8-41F5-9C38-5717E4AD3698}">
      <text>
        <r>
          <rPr>
            <b/>
            <sz val="9"/>
            <color indexed="81"/>
            <rFont val="Tahoma"/>
            <family val="2"/>
          </rPr>
          <t>Guillermo.Reyes:</t>
        </r>
        <r>
          <rPr>
            <sz val="9"/>
            <color indexed="81"/>
            <rFont val="Tahoma"/>
            <family val="2"/>
          </rPr>
          <t xml:space="preserve">
IVA 8%</t>
        </r>
      </text>
    </comment>
    <comment ref="R1161" authorId="1" shapeId="0" xr:uid="{F321675A-68FB-4FE9-BAEB-224A981A25AD}">
      <text>
        <r>
          <rPr>
            <b/>
            <sz val="9"/>
            <color indexed="81"/>
            <rFont val="Tahoma"/>
            <family val="2"/>
          </rPr>
          <t>Guillermo.Reyes:</t>
        </r>
        <r>
          <rPr>
            <sz val="9"/>
            <color indexed="81"/>
            <rFont val="Tahoma"/>
            <family val="2"/>
          </rPr>
          <t xml:space="preserve">
IVA 16%</t>
        </r>
      </text>
    </comment>
    <comment ref="D1203" authorId="0" shapeId="0" xr:uid="{376D89F6-9D49-4863-B354-2A2D89F7AA1D}">
      <text>
        <r>
          <rPr>
            <b/>
            <sz val="9"/>
            <color indexed="81"/>
            <rFont val="Tahoma"/>
            <family val="2"/>
          </rPr>
          <t>Original Label Rect 84.30 mm X 123.05 mm Clear PE</t>
        </r>
      </text>
    </comment>
    <comment ref="R1235" authorId="0" shapeId="0" xr:uid="{ABD4532D-15DF-4D18-AC04-0A5C01B6BA0B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1236" authorId="0" shapeId="0" xr:uid="{C7DC06AA-D1FC-49FB-8470-881F0B1328B0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Ana.Perez</author>
  </authors>
  <commentList>
    <comment ref="I75" authorId="0" shapeId="0" xr:uid="{68040AE1-7565-4A2B-BF30-6BCA1B429857}">
      <text>
        <r>
          <rPr>
            <b/>
            <sz val="9"/>
            <color indexed="81"/>
            <rFont val="Tahoma"/>
            <family val="2"/>
          </rPr>
          <t>ARC es distribuidor, pero cuenta con las certificaciones del proveedor del material</t>
        </r>
      </text>
    </comment>
    <comment ref="J75" authorId="0" shapeId="0" xr:uid="{C22FCA15-4E8C-4EE7-AD9C-21DF7BEA2DEA}">
      <text>
        <r>
          <rPr>
            <b/>
            <sz val="9"/>
            <color indexed="81"/>
            <rFont val="Tahoma"/>
            <family val="2"/>
          </rPr>
          <t>ARC es distribuidor, pero cuenta con las certificaciones del proveedor del material</t>
        </r>
      </text>
    </comment>
    <comment ref="L75" authorId="0" shapeId="0" xr:uid="{471ED0BD-5D02-4B81-A54A-D5A4EDF61E04}">
      <text>
        <r>
          <rPr>
            <b/>
            <sz val="9"/>
            <color indexed="81"/>
            <rFont val="Tahoma"/>
            <family val="2"/>
          </rPr>
          <t>ARC es distribuidor, pero cuenta con las certificaciones del proveedor del material</t>
        </r>
      </text>
    </comment>
  </commentList>
</comments>
</file>

<file path=xl/sharedStrings.xml><?xml version="1.0" encoding="utf-8"?>
<sst xmlns="http://schemas.openxmlformats.org/spreadsheetml/2006/main" count="23134" uniqueCount="2698">
  <si>
    <t>Last Update</t>
  </si>
  <si>
    <t>PART No.</t>
  </si>
  <si>
    <t>TYPE</t>
  </si>
  <si>
    <t>DESCRIPTION:</t>
  </si>
  <si>
    <t>FAMILY</t>
  </si>
  <si>
    <t>SUPPLIER</t>
  </si>
  <si>
    <t>UNIT</t>
  </si>
  <si>
    <t>Standard price</t>
  </si>
  <si>
    <t>LEAD TIME (In Weeks)</t>
  </si>
  <si>
    <t>MOQ</t>
  </si>
  <si>
    <t>55 LB</t>
  </si>
  <si>
    <t>550 LB</t>
  </si>
  <si>
    <t>1100 LB</t>
  </si>
  <si>
    <t>2200 LB</t>
  </si>
  <si>
    <t>3200 LB</t>
  </si>
  <si>
    <t>4400 LB</t>
  </si>
  <si>
    <t>6400 LB</t>
  </si>
  <si>
    <t>8800 LB</t>
  </si>
  <si>
    <t>Purchase Price</t>
  </si>
  <si>
    <t>Shipping Cost</t>
  </si>
  <si>
    <t>Actual Purchase Price</t>
  </si>
  <si>
    <t>Contract Price</t>
  </si>
  <si>
    <t>STD PACk</t>
  </si>
  <si>
    <t>CUSTOMER</t>
  </si>
  <si>
    <t>ACTIVE</t>
  </si>
  <si>
    <t>AUTOMOTIVE (Y/N)</t>
  </si>
  <si>
    <t>PPAP STATUS</t>
  </si>
  <si>
    <t>CONTACT</t>
  </si>
  <si>
    <t>PHONE #</t>
  </si>
  <si>
    <t>E-MAIL</t>
  </si>
  <si>
    <t>RESIN</t>
  </si>
  <si>
    <t xml:space="preserve">LEXAN 500-739-SP    BK                                                               </t>
  </si>
  <si>
    <t>PC</t>
  </si>
  <si>
    <t>SABIC</t>
  </si>
  <si>
    <t>LB</t>
  </si>
  <si>
    <t>Y</t>
  </si>
  <si>
    <t>BLACK &amp; DECKER</t>
  </si>
  <si>
    <t>N</t>
  </si>
  <si>
    <t>N/A</t>
  </si>
  <si>
    <t>CRISTINA VARGAS</t>
  </si>
  <si>
    <t>01-55-1105-6746</t>
  </si>
  <si>
    <t>Cristina.Vargas@sabic-ip.com</t>
  </si>
  <si>
    <t xml:space="preserve">CYCOLOY C1200HF-701 BK                                              </t>
  </si>
  <si>
    <t>PC/ABS</t>
  </si>
  <si>
    <t>REVAIR</t>
  </si>
  <si>
    <t>ULTRAMID B3ZG6 BK30564</t>
  </si>
  <si>
    <t>NYLON 6</t>
  </si>
  <si>
    <t>BASF</t>
  </si>
  <si>
    <t xml:space="preserve">ZYTEL 101L BK B 009                                                      </t>
  </si>
  <si>
    <t>NYLON 66</t>
  </si>
  <si>
    <t>JOSE LUIS CHAVEZ</t>
  </si>
  <si>
    <t>(81) 83006051</t>
  </si>
  <si>
    <t>joseluis.chavez@polyone.com</t>
  </si>
  <si>
    <t xml:space="preserve">LEXAN PC 121R-701                                                                </t>
  </si>
  <si>
    <t>Obsolete</t>
  </si>
  <si>
    <t>SHINETSU</t>
  </si>
  <si>
    <t>CLEAR POLYETHYLENE CHEVRON 9700450000</t>
  </si>
  <si>
    <t>--</t>
  </si>
  <si>
    <t>EATON</t>
  </si>
  <si>
    <t xml:space="preserve">CLEAR LUSTRAN ABS LNX LSTR </t>
  </si>
  <si>
    <t>GRIVORY GV5H NATURAL  (50% GLASS FILLED AMORPHOUS NYLON)</t>
  </si>
  <si>
    <t>CYCOLOY LG9000-798 BK</t>
  </si>
  <si>
    <t>TRW / CEQUENT</t>
  </si>
  <si>
    <t>CYCOLOY C1000HF - GY5969</t>
  </si>
  <si>
    <t>TRW</t>
  </si>
  <si>
    <t>LUSTRAN 648 PD64890400060/5007</t>
  </si>
  <si>
    <t>ABS</t>
  </si>
  <si>
    <t>LUIS MONCADA</t>
  </si>
  <si>
    <t>844 419 1959</t>
  </si>
  <si>
    <t>Luis.Moncada@PolyOne.com</t>
  </si>
  <si>
    <t>LEXAN 241R-701 BLACK</t>
  </si>
  <si>
    <t>EMU PLASTICS</t>
  </si>
  <si>
    <t>CYCOLOY MC8002 100 (Natural)</t>
  </si>
  <si>
    <t>AFX (Sabic)</t>
  </si>
  <si>
    <t>AFX</t>
  </si>
  <si>
    <t>LUSTRAN ABS PG298</t>
  </si>
  <si>
    <t>AMILAN CM1011G15-B2</t>
  </si>
  <si>
    <t>PA 6 15% GF</t>
  </si>
  <si>
    <t>AFX (Toray)</t>
  </si>
  <si>
    <t>167A EBONY GMP PVC 037 (AFX P/N: 11126885HF)</t>
  </si>
  <si>
    <t>PVC</t>
  </si>
  <si>
    <t>AFX (Nexeo/Comtrex)</t>
  </si>
  <si>
    <t>LEXAN 241-416 AMBER</t>
  </si>
  <si>
    <t xml:space="preserve">PETRA 130FR  BK-112 ES006                                                           </t>
  </si>
  <si>
    <t>PET</t>
  </si>
  <si>
    <t>NORYL PX0 871-50551 BROWN</t>
  </si>
  <si>
    <t>PPE+PS</t>
  </si>
  <si>
    <t>kg</t>
  </si>
  <si>
    <t>499 KG</t>
  </si>
  <si>
    <t>TRW/METHODE</t>
  </si>
  <si>
    <t>NORYL PX0 871-701 BK</t>
  </si>
  <si>
    <t>NORYL PX0 871 780 GRAY</t>
  </si>
  <si>
    <t xml:space="preserve">499 KG </t>
  </si>
  <si>
    <t>LEXAN 241-616 RED</t>
  </si>
  <si>
    <t>LEXAN 241 GN3194X GREEN TRANSLUCENT</t>
  </si>
  <si>
    <t xml:space="preserve">LEXAN 241-216 BLUE </t>
  </si>
  <si>
    <t>LEXAN 241-42096 AMBER</t>
  </si>
  <si>
    <t>LEXAN 241-82078 WHITE CLEAR</t>
  </si>
  <si>
    <t xml:space="preserve">LEXAN 241R-112 </t>
  </si>
  <si>
    <t>GRAY RESIN ULTRAMID 8333GHI GY5723 (ULTRA B3ZG6 GY 5723)</t>
  </si>
  <si>
    <t>RTP 300 SC-201230 WHITE</t>
  </si>
  <si>
    <t>RTP</t>
  </si>
  <si>
    <t>VALEO</t>
  </si>
  <si>
    <t>JORGE MALDONADO</t>
  </si>
  <si>
    <t>(81) 1807-4508</t>
  </si>
  <si>
    <t>jmaldonado@rtpcompany.com</t>
  </si>
  <si>
    <t>LEXAN 141-WH8H037X</t>
  </si>
  <si>
    <t xml:space="preserve">LEXAN 241-314 GREEN </t>
  </si>
  <si>
    <t>LEXAN 241RC-616 RED</t>
  </si>
  <si>
    <t>LEXAN 241RC-416 AMBER</t>
  </si>
  <si>
    <t>LEXAN 241R-216 BLUE</t>
  </si>
  <si>
    <t>LEXAN 241R-82078 WHITE</t>
  </si>
  <si>
    <t>LEXAN 241RC-42096 TRANSLUCENT AMBER (ORANGE)</t>
  </si>
  <si>
    <t>LEXAN  241R-627 RED</t>
  </si>
  <si>
    <t xml:space="preserve">CYCOLAC MG38 BK4500- ES006                                                      </t>
  </si>
  <si>
    <t>CYCOLAC MG37EPX-GP (Color:GY4A087)</t>
  </si>
  <si>
    <t>ZANINI</t>
  </si>
  <si>
    <t>CYCOLAC MG37EPX-GP (Color: 3510 Grey)</t>
  </si>
  <si>
    <t>PC-G20-7001 BLACK</t>
  </si>
  <si>
    <t>PC 20%GF</t>
  </si>
  <si>
    <t>POLYMER RESOURCES</t>
  </si>
  <si>
    <t>JHONSON CONTROLS</t>
  </si>
  <si>
    <t>STEVE FABRIZIUS</t>
  </si>
  <si>
    <t xml:space="preserve">913-747-8007 </t>
  </si>
  <si>
    <t>sfabrizius@prlresins.com</t>
  </si>
  <si>
    <t xml:space="preserve">NYPEL 6033G BK ES006                                                    </t>
  </si>
  <si>
    <t xml:space="preserve">ZYTEL HTN51G35HSL BK083 -                                                 </t>
  </si>
  <si>
    <t>PPA</t>
  </si>
  <si>
    <t xml:space="preserve">NATURAL ULTRAMID 8234G NAT ES000                        </t>
  </si>
  <si>
    <t xml:space="preserve">CAPRON 8333GBD YL5853C - ES283                               </t>
  </si>
  <si>
    <t xml:space="preserve">DELRIN 100ST  BK602                                                               </t>
  </si>
  <si>
    <t>POM</t>
  </si>
  <si>
    <t>PROMAPLAST</t>
  </si>
  <si>
    <t>LAURA VILLAREAL</t>
  </si>
  <si>
    <t>(81) 8142 0762</t>
  </si>
  <si>
    <t>lvillareal@promaplast.com</t>
  </si>
  <si>
    <t xml:space="preserve">DELRIN 500P BK 602                                                              </t>
  </si>
  <si>
    <t>LUBRICOMP YL-4030 NAT  YL003C -NA8D027</t>
  </si>
  <si>
    <t>TPE</t>
  </si>
  <si>
    <t xml:space="preserve">ULTRAMID 8233G BK 102   ES006                                  </t>
  </si>
  <si>
    <t>PA 6 33%</t>
  </si>
  <si>
    <t>FORECAST</t>
  </si>
  <si>
    <t xml:space="preserve">XENOY 5220U 8934 ES009 (Charcoal Gray)                  </t>
  </si>
  <si>
    <t>PC/PBT</t>
  </si>
  <si>
    <t xml:space="preserve">XENOY 5220U YW 6A028                                                      </t>
  </si>
  <si>
    <t xml:space="preserve">POLYPROPILENE (PP) PP7000 BLACK                                   </t>
  </si>
  <si>
    <t>PP</t>
  </si>
  <si>
    <t>ALEJANDRO MERCADO</t>
  </si>
  <si>
    <t>210-870-9178</t>
  </si>
  <si>
    <t>Alejandro.Mercado@polyone.com</t>
  </si>
  <si>
    <t xml:space="preserve">NORYL GTX 830 1710 BK - ES006 </t>
  </si>
  <si>
    <t>PA6/PPO</t>
  </si>
  <si>
    <t xml:space="preserve">TERLURAN HI-10 BK ES006                                                      </t>
  </si>
  <si>
    <t>XENOY 5220U BK 1066</t>
  </si>
  <si>
    <t xml:space="preserve">ZYTEL 70G33L  BK031BLACK                                     </t>
  </si>
  <si>
    <t>NYLON 66 33% GF</t>
  </si>
  <si>
    <t xml:space="preserve">ZYTEL 70G33L NC 010 (NATURAL)                              </t>
  </si>
  <si>
    <t>Xenoy 5220U ES397 BTI ORANGE</t>
  </si>
  <si>
    <t xml:space="preserve">1100 LB </t>
  </si>
  <si>
    <t>Xenoy 522OU-BL1A569 Blue</t>
  </si>
  <si>
    <t>XENOY 5220U-RD6D170 RED</t>
  </si>
  <si>
    <t>XENOY X4850-BK1067 BLACK</t>
  </si>
  <si>
    <t>ZANINI (VW)</t>
  </si>
  <si>
    <t>AUTRON 600 HI YL21</t>
  </si>
  <si>
    <t>BOILN</t>
  </si>
  <si>
    <t>JASON LIU</t>
  </si>
  <si>
    <t>86 (0)512 5895 6098</t>
  </si>
  <si>
    <t>jason.liu@boiln.com</t>
  </si>
  <si>
    <t>AUTRON 600 HI BK92</t>
  </si>
  <si>
    <t>B&amp;D</t>
  </si>
  <si>
    <t>SAMPLE</t>
  </si>
  <si>
    <t>INFINO AE-3063I K24678</t>
  </si>
  <si>
    <t>LOTTE ADVANCED MATERIALS</t>
  </si>
  <si>
    <t xml:space="preserve">DAVID LOPEZ </t>
  </si>
  <si>
    <t>(81)1357 4325</t>
  </si>
  <si>
    <t>david.lopez@lottechem.com</t>
  </si>
  <si>
    <t>VALOX 357U-BK1066</t>
  </si>
  <si>
    <t xml:space="preserve">ZYTEL  ST 801 AHS BK 010                                            </t>
  </si>
  <si>
    <t>ZYTEL 70G13-HS1-L BK 031</t>
  </si>
  <si>
    <t>NYLON 6 13% GF</t>
  </si>
  <si>
    <t>VERSAFLEX OM6160-9 BLACK ES0006</t>
  </si>
  <si>
    <t>TPU</t>
  </si>
  <si>
    <t>MARSHA MALONE</t>
  </si>
  <si>
    <t>1-843-637-1616</t>
  </si>
  <si>
    <t>marsha.malone@polyone.com</t>
  </si>
  <si>
    <t>VERSAFLEX OM6059-9 BLACK</t>
  </si>
  <si>
    <t>y</t>
  </si>
  <si>
    <t>QR-1015 BK</t>
  </si>
  <si>
    <t>CITADEL / ALPS</t>
  </si>
  <si>
    <t>ALPS</t>
  </si>
  <si>
    <t>CITLALLI SALGADO</t>
  </si>
  <si>
    <t>899-921-0800 Ext. 2001</t>
  </si>
  <si>
    <t>citlalli.salgado@alpsautomotive.com</t>
  </si>
  <si>
    <t xml:space="preserve">POLYLAC PA-757 BK                                                                  </t>
  </si>
  <si>
    <t>ENTEC</t>
  </si>
  <si>
    <t>JAKE WALKER</t>
  </si>
  <si>
    <t xml:space="preserve">407-717-1717 </t>
  </si>
  <si>
    <t xml:space="preserve">JWalker@EntecResins.com </t>
  </si>
  <si>
    <t xml:space="preserve">CYCOLAC MGX53P  Silver  ES023                                         </t>
  </si>
  <si>
    <t>CYCOLAC Z48 BK 4051</t>
  </si>
  <si>
    <t>TERLURAN GP 22 BK</t>
  </si>
  <si>
    <t>WYATT STINE</t>
  </si>
  <si>
    <t>(404) 788-5963 </t>
  </si>
  <si>
    <t>WStine@EntecResins.com</t>
  </si>
  <si>
    <t>MAGNUM 342EZ ABS REPROSED BK</t>
  </si>
  <si>
    <t>GLOBAL PLASTICS</t>
  </si>
  <si>
    <t>SAINT GOBAIN</t>
  </si>
  <si>
    <t>ALBERTO GARCIA</t>
  </si>
  <si>
    <t>(81) 8351-0774, </t>
  </si>
  <si>
    <t>agarciaflores@prodigy.net.mx</t>
  </si>
  <si>
    <t>TERLURAN GP 22 NATURAL (HIGH GLOSS)</t>
  </si>
  <si>
    <t>TERLURAN HI-10 NR</t>
  </si>
  <si>
    <t>HF-0660I /C83807</t>
  </si>
  <si>
    <t>HP-126 FM KS2890LA GRAY</t>
  </si>
  <si>
    <t xml:space="preserve">KINGFA </t>
  </si>
  <si>
    <t>DAVID ESTRADA (JCI)</t>
  </si>
  <si>
    <t xml:space="preserve">HF-0660I/F44296_E Red </t>
  </si>
  <si>
    <t>HP-126 FM KS3407BK</t>
  </si>
  <si>
    <t>CYCOLAC FR15U NA1000</t>
  </si>
  <si>
    <t xml:space="preserve">LEXAN 101 111 NAT                                                                </t>
  </si>
  <si>
    <t>GUNN PLASTICS</t>
  </si>
  <si>
    <t>KELLY JARAMILLO</t>
  </si>
  <si>
    <t>(203)899-1660</t>
  </si>
  <si>
    <t>gunnplastics@aol.com</t>
  </si>
  <si>
    <t>MAKROLON 2805 550115 NAT</t>
  </si>
  <si>
    <t>BAYER</t>
  </si>
  <si>
    <t>RICARDO IZQUIERDO</t>
  </si>
  <si>
    <t>+52.55.5.72.83</t>
  </si>
  <si>
    <t>ricardo.izquierdo.ri@bayerbms.com</t>
  </si>
  <si>
    <t>MAKROLON 2407 020003 WHITE</t>
  </si>
  <si>
    <t>ALBIS</t>
  </si>
  <si>
    <t>LEXAN 3413 R 131 NAT</t>
  </si>
  <si>
    <t>LEXAN 141R-701 BK</t>
  </si>
  <si>
    <t>LEXAN 121R - 112 CLEAR</t>
  </si>
  <si>
    <t>KIMBALL</t>
  </si>
  <si>
    <t>LEXAN 141R 112 CLEAR</t>
  </si>
  <si>
    <t>LEXAN 940 701 BK</t>
  </si>
  <si>
    <t>LEXAN 940 701534 BK</t>
  </si>
  <si>
    <t>8/12 weeks</t>
  </si>
  <si>
    <t>0399X 75177 C BK</t>
  </si>
  <si>
    <t>PC REGRINDED FOR JIGS</t>
  </si>
  <si>
    <t>LEXAN HF 1110 R - 111</t>
  </si>
  <si>
    <t>PREH</t>
  </si>
  <si>
    <t>MAKROLON 2805 300005 RED</t>
  </si>
  <si>
    <t>MELINDA WITTE</t>
  </si>
  <si>
    <t>281-207-5467</t>
  </si>
  <si>
    <t xml:space="preserve"> melinda.witte@albis.com</t>
  </si>
  <si>
    <t>LEXAN 3412R 131 NAT</t>
  </si>
  <si>
    <t>LEXAN 143 GP 062110 CLEAR</t>
  </si>
  <si>
    <t>LEXAN 121R  WH8C308X</t>
  </si>
  <si>
    <t>LEXAN 141-111  CLEAR</t>
  </si>
  <si>
    <t>MAKROLON 3105-901510 Black</t>
  </si>
  <si>
    <t>LEXAN 143R-111 NATURAL CLEAR</t>
  </si>
  <si>
    <t>LEXAN 103R-71505 ES225 - SMOKE GRAY</t>
  </si>
  <si>
    <t xml:space="preserve">MAKROLON 2407 020083 TRANSLUCENT WHITE </t>
  </si>
  <si>
    <t>MANABU ISHIGURO</t>
  </si>
  <si>
    <t>(956) 627-2033</t>
  </si>
  <si>
    <t xml:space="preserve"> Manabu_Ishiguro@kanematsu-am.com</t>
  </si>
  <si>
    <t>LUPILON MB2213R BK</t>
  </si>
  <si>
    <t>PC+ABS</t>
  </si>
  <si>
    <t>MAKROLON 2407 NATURAL</t>
  </si>
  <si>
    <t>CREATIONS</t>
  </si>
  <si>
    <t>BAYBLEND FR3005HF-901510 BLACK</t>
  </si>
  <si>
    <t>FLEXTRONICS</t>
  </si>
  <si>
    <t xml:space="preserve">BAYBLEND FR3005HF-200221 ORANGE </t>
  </si>
  <si>
    <t>CYCOLOY CX7240U-701 BLACK</t>
  </si>
  <si>
    <t>CYCOLOY C1200HF-YW8001S</t>
  </si>
  <si>
    <t>CYCOLOY C2950-YW8001S</t>
  </si>
  <si>
    <t>CYCOLOY C2950-701</t>
  </si>
  <si>
    <t>CYCOLOY C1200HF-100 NATURAL</t>
  </si>
  <si>
    <t>LUPOY NS5000C BLACK</t>
  </si>
  <si>
    <t>LG CHEM</t>
  </si>
  <si>
    <t>SEOYON</t>
  </si>
  <si>
    <t>CYCOLOY C6200 WH8049</t>
  </si>
  <si>
    <t>CELANEX 3200 ED3002 BLK</t>
  </si>
  <si>
    <t>PBT 15% GF</t>
  </si>
  <si>
    <t>CHANNEL PRIME</t>
  </si>
  <si>
    <t>ZANINI (NISSAN)</t>
  </si>
  <si>
    <t>ANGEL SALDAÑA</t>
  </si>
  <si>
    <t>(+55) 2624 0089</t>
  </si>
  <si>
    <t>asaldana@channelpa.com</t>
  </si>
  <si>
    <t>ASAFOR 78 HT BLACK</t>
  </si>
  <si>
    <t>SOFTER</t>
  </si>
  <si>
    <t>TEXCO</t>
  </si>
  <si>
    <t>CEQUENT</t>
  </si>
  <si>
    <t>JOHNY SOLIS</t>
  </si>
  <si>
    <t xml:space="preserve">972-722-3926 </t>
  </si>
  <si>
    <t>jsolis@texcoresin.com</t>
  </si>
  <si>
    <t>PULSE 2000 EZ BLACK</t>
  </si>
  <si>
    <t>ITW</t>
  </si>
  <si>
    <t xml:space="preserve">DELRIN 511P - 402 BK                                                           </t>
  </si>
  <si>
    <t>DELRIN M590 NC010</t>
  </si>
  <si>
    <t>SOMFY</t>
  </si>
  <si>
    <t>DELRIN 500P NC 010</t>
  </si>
  <si>
    <t>CELCON M270 BK</t>
  </si>
  <si>
    <t>HOSTAFORM C13021 BK14</t>
  </si>
  <si>
    <t>Requested</t>
  </si>
  <si>
    <t>HOSTAFORM C130021 BK14 (CONSIG)</t>
  </si>
  <si>
    <t>Mercado, Alejandro (GRP)/ SALOMON HERNANDEZ</t>
  </si>
  <si>
    <t>1 210 231 0912/  (818)81420762</t>
  </si>
  <si>
    <t>Alejandro.Mercado@polyone.com/shernandez@promaplast.com</t>
  </si>
  <si>
    <t>DELRIN 570 NATURAL NC000</t>
  </si>
  <si>
    <t xml:space="preserve">DELRIN 525GR NC000 </t>
  </si>
  <si>
    <t>DELRIN 100P NC010</t>
  </si>
  <si>
    <t>DELRIN 577 BK000</t>
  </si>
  <si>
    <t>ULTRAFORM 2320-003 NATURAL ACETAL</t>
  </si>
  <si>
    <t>ULTRAFORM 2320-003 BK120</t>
  </si>
  <si>
    <t>NEXEO</t>
  </si>
  <si>
    <t>ADOLFO PEREIRA</t>
  </si>
  <si>
    <t>956-541-2828 (Cell: 956-371-5382)</t>
  </si>
  <si>
    <t>apereira@nexeosolutions.com</t>
  </si>
  <si>
    <t xml:space="preserve">CELCON WR90Z CD32403 BLACK </t>
  </si>
  <si>
    <t>DURACON M90-44 -CF2001 NATURAL</t>
  </si>
  <si>
    <t>MARTIN GODINEZ</t>
  </si>
  <si>
    <t>DELRIN 500P RED</t>
  </si>
  <si>
    <t>DELRIN 500P YELLOW</t>
  </si>
  <si>
    <t>VALOX 420 BK 1066 30% GF</t>
  </si>
  <si>
    <t>PBT</t>
  </si>
  <si>
    <t>VALOX 430 BK 1066 33% GF</t>
  </si>
  <si>
    <t>VALOX 420 SEO BK 1066</t>
  </si>
  <si>
    <t>VALOX 310-BK 1066</t>
  </si>
  <si>
    <t>CELANEX 3200 15% GF</t>
  </si>
  <si>
    <t>ARNITE TV4 230 NAT</t>
  </si>
  <si>
    <t>CHASE PLASTICS</t>
  </si>
  <si>
    <t>MARCO TORRES</t>
  </si>
  <si>
    <t>210-488-6095</t>
  </si>
  <si>
    <t>mtorres@chaseplastics.com</t>
  </si>
  <si>
    <t>CELANEX 1462Z ED-BK225 BLACK</t>
  </si>
  <si>
    <t>PBT 30% GF</t>
  </si>
  <si>
    <t>TRICO</t>
  </si>
  <si>
    <t>NORMA RESENDEZ</t>
  </si>
  <si>
    <t>norma.resendez@tricoproducts.com</t>
  </si>
  <si>
    <t>CELANEX 3200-2 EF2001 NATURAL</t>
  </si>
  <si>
    <t>VALOX DR51-BK1066</t>
  </si>
  <si>
    <t>VALOX DR51-1001 NATURAL</t>
  </si>
  <si>
    <t xml:space="preserve">RPP20EC12BK                                                                              </t>
  </si>
  <si>
    <t>NISSAN</t>
  </si>
  <si>
    <t>1,100 Lb</t>
  </si>
  <si>
    <t>KATHLEEN PASSAFUME</t>
  </si>
  <si>
    <t xml:space="preserve">615-220-7100 </t>
  </si>
  <si>
    <t>k_passafume@nitco-us.com</t>
  </si>
  <si>
    <t xml:space="preserve">PPJ3HSA40BK                                                                              </t>
  </si>
  <si>
    <t>MITSUI</t>
  </si>
  <si>
    <t>IVONNE GONZALES</t>
  </si>
  <si>
    <t xml:space="preserve">(55) 52-84-05-93 </t>
  </si>
  <si>
    <t>I.Gonzalez@mitsui.com</t>
  </si>
  <si>
    <t xml:space="preserve">PP/CO  PROFAX  SB891 NAT                                                 </t>
  </si>
  <si>
    <t>JAVIER GUTIERREZ</t>
  </si>
  <si>
    <t xml:space="preserve">(55) 55310855 </t>
  </si>
  <si>
    <t>JMGutierrez@EntecResins.com</t>
  </si>
  <si>
    <t>RPP20EC79 GRAY</t>
  </si>
  <si>
    <t>PP LPP10BD07HB - BK</t>
  </si>
  <si>
    <t>PP CP AP6106HS NAT L</t>
  </si>
  <si>
    <t xml:space="preserve"> PP COMPOUND 5450 </t>
  </si>
  <si>
    <t>GPP20CS91 HB BK FERREX</t>
  </si>
  <si>
    <t>LPP20BC07HB</t>
  </si>
  <si>
    <t>PRO-FAX SL559M NATURAL</t>
  </si>
  <si>
    <t>INDELPRO</t>
  </si>
  <si>
    <t>ALBEA</t>
  </si>
  <si>
    <t>JUAN PABLO ALANIS GARZA</t>
  </si>
  <si>
    <t>01-81 8748 2916</t>
  </si>
  <si>
    <t>jalanis@indelpro.com</t>
  </si>
  <si>
    <t>BLACK PP7210U X3B1CF PP (50803097-00)</t>
  </si>
  <si>
    <t>POLYONE / SPARTECH</t>
  </si>
  <si>
    <t>CELSTRAN PP-GF50-0453P10/10 BLACK</t>
  </si>
  <si>
    <t>INTEVA</t>
  </si>
  <si>
    <t>RTP 199 X 70836 B BLACK</t>
  </si>
  <si>
    <t>FPP5A30HCYL59</t>
  </si>
  <si>
    <t>INEOS H12E-00 PP</t>
  </si>
  <si>
    <t>RTP 128 Z Z-705488 DK BLUE</t>
  </si>
  <si>
    <t>TBD</t>
  </si>
  <si>
    <t>PRO-FAX 7523 NAT</t>
  </si>
  <si>
    <t>PP/CP</t>
  </si>
  <si>
    <t>CELSTRAN PP-GF40-0414 BLACK</t>
  </si>
  <si>
    <t>JOSH WRIGHT</t>
  </si>
  <si>
    <t>832-509-6714</t>
  </si>
  <si>
    <t>jwright@entecresins.com</t>
  </si>
  <si>
    <t xml:space="preserve">HYTREL 5526 NATURAL                                                       </t>
  </si>
  <si>
    <t>TPC</t>
  </si>
  <si>
    <t xml:space="preserve">SANTOPRENE 201-73 NAT  ES000                                         </t>
  </si>
  <si>
    <t>TPV</t>
  </si>
  <si>
    <t>POLYSTYRENE IMPACT EMPERA 433 NAT</t>
  </si>
  <si>
    <t>BIC</t>
  </si>
  <si>
    <t xml:space="preserve">SANTOPRENE 221-55 NAT                                                    </t>
  </si>
  <si>
    <t>ASHLAND</t>
  </si>
  <si>
    <t>SANTOPRENE 111-45 BK</t>
  </si>
  <si>
    <t>CYCOLOY C6200-701</t>
  </si>
  <si>
    <t>SANTOPRENE 8221-55M300</t>
  </si>
  <si>
    <t>APEX 1008 BK</t>
  </si>
  <si>
    <t>TEKNORAPEX</t>
  </si>
  <si>
    <t>EDUARDO DE LA GARZA</t>
  </si>
  <si>
    <t>81 8057 3993</t>
  </si>
  <si>
    <t>egarza@teknorapex.com</t>
  </si>
  <si>
    <t xml:space="preserve">APEX 1008 YELLOW 476H </t>
  </si>
  <si>
    <t>SANTOPRENE 101-55 BK 55 A TPE</t>
  </si>
  <si>
    <t>FIBERFIL J60/20/E4 BK223</t>
  </si>
  <si>
    <t>SANTOPRENE 121-50M100</t>
  </si>
  <si>
    <t>RTP 2800 B-45A NATURAL</t>
  </si>
  <si>
    <t>SANTOPRENE 103-50 BLACK</t>
  </si>
  <si>
    <t>FLEX R70-304 CLEAR</t>
  </si>
  <si>
    <t>PERELES</t>
  </si>
  <si>
    <t>BETH PEDE</t>
  </si>
  <si>
    <t>beth.pede@pereles.com</t>
  </si>
  <si>
    <t>TEXIN 250DE NATURAL</t>
  </si>
  <si>
    <t>LUBRICOMP YP003 NATURAL</t>
  </si>
  <si>
    <t>SANTOPRENE 101-87 BLACK</t>
  </si>
  <si>
    <t xml:space="preserve">ULTRAMID B3ZG6 GY 7639                                                 </t>
  </si>
  <si>
    <t xml:space="preserve">ULTRAMID B3ZG6 RD 7583                                                 </t>
  </si>
  <si>
    <t>ULTRAMID 1503-2 BK</t>
  </si>
  <si>
    <t xml:space="preserve">ULTRAMID B3ZG6 GY 5723                                                 </t>
  </si>
  <si>
    <t xml:space="preserve">FP62E33HB-BK                    </t>
  </si>
  <si>
    <t>AKULON J-3/15/MF25 BK 9165 55B DSM SAP #9695</t>
  </si>
  <si>
    <t>ULTRAMID B3ZG6 GY 7723 ES-160 'MOWER GRAY'</t>
  </si>
  <si>
    <t>ZYTEL 73G15 HSL BK363 15% GF</t>
  </si>
  <si>
    <t>ZYTEL 101L NC010</t>
  </si>
  <si>
    <t>ZYTEL 70G33HS1L BK031</t>
  </si>
  <si>
    <t>NYLON</t>
  </si>
  <si>
    <t>ZYTEL ST 801 W NC010</t>
  </si>
  <si>
    <t>SCHULAMID 6GF 15 HI CHARCOAL 96.7700 LS</t>
  </si>
  <si>
    <t>SCHULAMID</t>
  </si>
  <si>
    <t>ULTRAMID B3ZG6 GB 16616-N  (Yellow) ES283 CAD FREE</t>
  </si>
  <si>
    <t xml:space="preserve">FP64E33HBBK  </t>
  </si>
  <si>
    <t>CITADEL</t>
  </si>
  <si>
    <t>DEBI SMITH</t>
  </si>
  <si>
    <t>dsmith@citadelplastics.com</t>
  </si>
  <si>
    <t>FP64E33GY218</t>
  </si>
  <si>
    <t>MATRIXX</t>
  </si>
  <si>
    <t>FP63E33HB-BK</t>
  </si>
  <si>
    <t>ULTRAMID B3EG6-BK 00564</t>
  </si>
  <si>
    <t>FP63E33HB-(NATURAL)</t>
  </si>
  <si>
    <t>ULTRAMID B3ZG6 - NATURAL</t>
  </si>
  <si>
    <t>RTP 205 FR BLACK</t>
  </si>
  <si>
    <t xml:space="preserve">NYLON 6 </t>
  </si>
  <si>
    <t>NA</t>
  </si>
  <si>
    <t>AMATEK</t>
  </si>
  <si>
    <t>GRILAMID TR90 NATURAL</t>
  </si>
  <si>
    <t>NYLON 12</t>
  </si>
  <si>
    <t>ZYTEL 70G33HS1L NC010</t>
  </si>
  <si>
    <t>NYLON 66 30%</t>
  </si>
  <si>
    <t>JOSE LUIS VAZQUEZ</t>
  </si>
  <si>
    <t>01-(81) 83006051</t>
  </si>
  <si>
    <t xml:space="preserve"> joseluis.chavez@polyone.com</t>
  </si>
  <si>
    <t>ULTRAMID B3ZG6 RD7920</t>
  </si>
  <si>
    <t>CPP5C25ULBK - 25% TF - PP</t>
  </si>
  <si>
    <t>CITADEL/MATRIXX</t>
  </si>
  <si>
    <t>812-253-5238</t>
  </si>
  <si>
    <t>DURETHAN  BKV50H2.0 901510 BK</t>
  </si>
  <si>
    <t>PA 6, 50 % GF</t>
  </si>
  <si>
    <t>AMODEL AT-6130 HS BK324</t>
  </si>
  <si>
    <t>AKULON K224-G3 BK9384</t>
  </si>
  <si>
    <t>NYLON 6 15% GF</t>
  </si>
  <si>
    <t>PEMARON 260G6 HI YL28</t>
  </si>
  <si>
    <t xml:space="preserve">899 9213253 </t>
  </si>
  <si>
    <t>martin.godinez@sbdinc.com</t>
  </si>
  <si>
    <t>PEMARON 260G6 HI 91BK</t>
  </si>
  <si>
    <t xml:space="preserve">ZYTEL  ST801/1101F BLENDED 10% ST 801 90% 101 F </t>
  </si>
  <si>
    <t>ZYTEL 70G13L-BKB297</t>
  </si>
  <si>
    <t xml:space="preserve">ZYTEL 73G15HSLBK363                                     </t>
  </si>
  <si>
    <t xml:space="preserve">ZYTEL HTN51G35HSL BKB083                                              </t>
  </si>
  <si>
    <t>ZYTEL 101F BKB009</t>
  </si>
  <si>
    <t>ULTRAMID B3S BK00464</t>
  </si>
  <si>
    <t>AMY WEBER</t>
  </si>
  <si>
    <t xml:space="preserve">281-299-7128 </t>
  </si>
  <si>
    <t>aweber@amcopolymers.com</t>
  </si>
  <si>
    <t>ZYTEL  ST801AW NC010</t>
  </si>
  <si>
    <t>ULTRAMID B3WG5 UNCOLORED</t>
  </si>
  <si>
    <t>NYLON 6 25%</t>
  </si>
  <si>
    <t>ZYTEL 101L GYB1000</t>
  </si>
  <si>
    <t>JCI</t>
  </si>
  <si>
    <t>ULTRAMID 8333GHI GY7779</t>
  </si>
  <si>
    <t>DURETHAN BKV30H2.0 901510</t>
  </si>
  <si>
    <t>NYLON 6 30%</t>
  </si>
  <si>
    <t>8992-059513</t>
  </si>
  <si>
    <t>martin.godinez@valeo.com</t>
  </si>
  <si>
    <t>1015GX78V BLACK</t>
  </si>
  <si>
    <t>NYLON 6 GF33%</t>
  </si>
  <si>
    <t>RTP 4499 X 99781 BLACK</t>
  </si>
  <si>
    <t xml:space="preserve">RTP COMPANY </t>
  </si>
  <si>
    <t>LUBRICOMP RAL22S-BK1A851</t>
  </si>
  <si>
    <t>DESMOPAN 455 NAT</t>
  </si>
  <si>
    <t>SEE COMMENT</t>
  </si>
  <si>
    <t>AMODEL AS-1133 HS NAT</t>
  </si>
  <si>
    <t>CHROMA RP23097 WHITE</t>
  </si>
  <si>
    <t>CHROMA</t>
  </si>
  <si>
    <t>PAT SPECIALE</t>
  </si>
  <si>
    <t>815/759-2168</t>
  </si>
  <si>
    <t>pspeciale@chromacolors.com</t>
  </si>
  <si>
    <t>CYCOLAC X17 4051 BK</t>
  </si>
  <si>
    <t>CYCOLAC X15-4176YS</t>
  </si>
  <si>
    <t>CYCOLAC X17 33269US</t>
  </si>
  <si>
    <t>CYCOLAC X15-87934 US</t>
  </si>
  <si>
    <t>ULTRAMID BU50I BK-106</t>
  </si>
  <si>
    <t xml:space="preserve">BASF  </t>
  </si>
  <si>
    <t>XENOY X4820  YW3D010 Dewalt Yellow  ES283</t>
  </si>
  <si>
    <t>VERSOLLAN OM1255NX-9 Black ES006.</t>
  </si>
  <si>
    <t>LEXAN 121R - 111 CLEAR</t>
  </si>
  <si>
    <t>DELPHI</t>
  </si>
  <si>
    <t>CYCOLOY LG9000-BK 1065S</t>
  </si>
  <si>
    <t>LUSTRAN H801 / HH 1891 WHITE</t>
  </si>
  <si>
    <t>Karla Lombardi</t>
  </si>
  <si>
    <t>909-803-2531</t>
  </si>
  <si>
    <t>karla.lombardi@polyone.com</t>
  </si>
  <si>
    <t>BAYBLEND T65 XF BK 901510</t>
  </si>
  <si>
    <t>909-803-2532</t>
  </si>
  <si>
    <t>POCAN B7375 NAT</t>
  </si>
  <si>
    <t>CYCOLAC X15-1000 NAT</t>
  </si>
  <si>
    <t>S&amp;P OPTALIC GO 100 BEIGE</t>
  </si>
  <si>
    <t>MATERIALS GROUP</t>
  </si>
  <si>
    <t>PLEXIGLAS V825-100 ACRYLIC</t>
  </si>
  <si>
    <t>ACRYLIC</t>
  </si>
  <si>
    <t>TELCH</t>
  </si>
  <si>
    <t>RTP 2500A UV S-32777 IVORY</t>
  </si>
  <si>
    <t>LEXAN 3413R-739BK</t>
  </si>
  <si>
    <t>LEXAN 143R YW6146 YELLOW</t>
  </si>
  <si>
    <t>INNOPRENE 2400JB (Jet Black)</t>
  </si>
  <si>
    <t>TPV (EPDM+PP)</t>
  </si>
  <si>
    <t>KUMHO POLYCHEM</t>
  </si>
  <si>
    <t>S&amp;T MOTIV</t>
  </si>
  <si>
    <t xml:space="preserve">DH KIM </t>
  </si>
  <si>
    <t>82-51-635-4801</t>
  </si>
  <si>
    <t>asianchem@korea.com</t>
  </si>
  <si>
    <t>INNOPRENE 2400C (Cocoa)</t>
  </si>
  <si>
    <t>THERMORUN TT914CNP (Natural)</t>
  </si>
  <si>
    <t>TPO (EPDM + PP)</t>
  </si>
  <si>
    <t>MITSUBISHI CHEMICALS</t>
  </si>
  <si>
    <t>Mike Gragtsman</t>
  </si>
  <si>
    <t>(864) 982-2167</t>
  </si>
  <si>
    <t>Mike_Gragtmans@m-chem.com</t>
  </si>
  <si>
    <t>THERMORUN TT914J -- JB 600R (JET BLACK)</t>
  </si>
  <si>
    <t>KANG YU SIL</t>
  </si>
  <si>
    <t>82-51-509-2379</t>
  </si>
  <si>
    <t>spice0605@sntmotiv.com</t>
  </si>
  <si>
    <t>THERMORUN TT914J -- 642H (VERY DARK PEWTER)</t>
  </si>
  <si>
    <t>PRIMALLOY A1500NS BENBL-2998</t>
  </si>
  <si>
    <t xml:space="preserve">NORYL N300X-701 </t>
  </si>
  <si>
    <t>PPE</t>
  </si>
  <si>
    <t>NORYL N300X-873</t>
  </si>
  <si>
    <t>NORYL FN170-70931 DARK GRAY</t>
  </si>
  <si>
    <t>Radilon AUSX200 333 NER</t>
  </si>
  <si>
    <t>RADICI</t>
  </si>
  <si>
    <t>SCOTT KNOOP</t>
  </si>
  <si>
    <t xml:space="preserve">(330) 336-7611 </t>
  </si>
  <si>
    <t>scott.knoop@radicigroup.com</t>
  </si>
  <si>
    <t>Radilon A HS 372 M NER</t>
  </si>
  <si>
    <t>RADILON A.HSK.372M.NER</t>
  </si>
  <si>
    <t>PA66</t>
  </si>
  <si>
    <t>JORGE PINTO</t>
  </si>
  <si>
    <t xml:space="preserve">045-442-1818409  </t>
  </si>
  <si>
    <t>jorge.pinto@radicigroup.com</t>
  </si>
  <si>
    <t>Akulon K224-PG8</t>
  </si>
  <si>
    <t>PA6-40%GF</t>
  </si>
  <si>
    <t>DSM Engineering</t>
  </si>
  <si>
    <t>Daniel Garcia</t>
  </si>
  <si>
    <t xml:space="preserve">+52 668  817 0677 </t>
  </si>
  <si>
    <t>Daniel.Garcia@DSM.COM</t>
  </si>
  <si>
    <t>Akulon J-3/15 BK9384 55B</t>
  </si>
  <si>
    <t>DSM / CHANNEL PRIME</t>
  </si>
  <si>
    <t>EA</t>
  </si>
  <si>
    <t>LEXAN 143R 3A029X UV LONITE</t>
  </si>
  <si>
    <t>VERSALLOY XL 9070X-9 (BLACK)</t>
  </si>
  <si>
    <t>STARPRENE 350</t>
  </si>
  <si>
    <t>STANLEY BLACK &amp; DECKER</t>
  </si>
  <si>
    <t>STARPRENE 360 BLACK</t>
  </si>
  <si>
    <t>SUNSTAR</t>
  </si>
  <si>
    <t>ECHO CHEN</t>
  </si>
  <si>
    <t>86-755-8463-8000</t>
  </si>
  <si>
    <t>echochen@sunstar.cn</t>
  </si>
  <si>
    <t>PAINT</t>
  </si>
  <si>
    <t>NW79-1078</t>
  </si>
  <si>
    <t>MUSASHI</t>
  </si>
  <si>
    <t>GP79-1719</t>
  </si>
  <si>
    <t>LP79-13146 BLACK INK</t>
  </si>
  <si>
    <t>UNP79-15633</t>
  </si>
  <si>
    <t>SILVER PAINT P79-K30651</t>
  </si>
  <si>
    <t>SILVER PAINT GP79-K30650</t>
  </si>
  <si>
    <t>SILVER PAINT P79-K30649</t>
  </si>
  <si>
    <t>BLACK PAINT L-3X1  2LL9505031</t>
  </si>
  <si>
    <t>AKZONOBEL</t>
  </si>
  <si>
    <t>30 GALL</t>
  </si>
  <si>
    <t>JOEL VIVIEROS</t>
  </si>
  <si>
    <t xml:space="preserve">52 81 13 65 30 00 </t>
  </si>
  <si>
    <t xml:space="preserve">joel.viveros@akzonobel.com </t>
  </si>
  <si>
    <t>SATIN NICKEL PAINT 318LE51168</t>
  </si>
  <si>
    <t>GM</t>
  </si>
  <si>
    <t>RED SPOT</t>
  </si>
  <si>
    <t>10 GALL</t>
  </si>
  <si>
    <t>JULIA THURMAN</t>
  </si>
  <si>
    <t xml:space="preserve">812.428.9186   </t>
  </si>
  <si>
    <t>JEThurman@redspot.com</t>
  </si>
  <si>
    <t>CLEAR</t>
  </si>
  <si>
    <t>PAINT CLEAR COAT 318LE51637</t>
  </si>
  <si>
    <t>DARK GRAY METALLIC PAINT 318LE102A</t>
  </si>
  <si>
    <t>PAINT CLEAR COAT 318LE103</t>
  </si>
  <si>
    <t>BASE</t>
  </si>
  <si>
    <t>BASE COAT SATIN NICKEL (318LE163A)</t>
  </si>
  <si>
    <t>PAINT CLEAR COAT FOR 318LE163 (318LE166)</t>
  </si>
  <si>
    <t>Refined Silver WA50LU-527Q – 2K Urethane (MC 99MP-N)</t>
  </si>
  <si>
    <t>DHAKE</t>
  </si>
  <si>
    <t>Graphite Silver WA50LU-558Q – 2K Urethane (MC 100MP-N)</t>
  </si>
  <si>
    <t>Catalyst (90% Solids) (C-17)</t>
  </si>
  <si>
    <t>THINNER</t>
  </si>
  <si>
    <t>Thinner (DB # 19)</t>
  </si>
  <si>
    <t>BLACK LOW GLOSS URETHANE PAINT 318LE50001</t>
  </si>
  <si>
    <t>39 KG</t>
  </si>
  <si>
    <t>TRANSLUCENT WHITE ABRAS, RESIST URETH PAINT 318LE50311BB</t>
  </si>
  <si>
    <t>318LE20760 - BLACK LOW GLOSS ABRASION RESISTANT</t>
  </si>
  <si>
    <t>Eaton - Rockers</t>
  </si>
  <si>
    <t>KG</t>
  </si>
  <si>
    <t>10 gal</t>
  </si>
  <si>
    <t>Carrillo,Patricia</t>
  </si>
  <si>
    <t>(812) 428-9100</t>
  </si>
  <si>
    <t>PCarrillo@redspot.com</t>
  </si>
  <si>
    <t>318LE51254 - WHITE TRANSLUCENT (Daylight White)</t>
  </si>
  <si>
    <t>SF-2000 WK PUG043407 BLACK</t>
  </si>
  <si>
    <t>NOROO BEE</t>
  </si>
  <si>
    <t>16.2KG</t>
  </si>
  <si>
    <t>PPG OMNI MTK COLOR SILVER MET.(926000)</t>
  </si>
  <si>
    <t>SUMINISTROS INDUSTRIALES SAMO</t>
  </si>
  <si>
    <t>LT</t>
  </si>
  <si>
    <t>SAUL MONTES</t>
  </si>
  <si>
    <t>smontes@sisamo.com.mx</t>
  </si>
  <si>
    <t>PAINT 05011308 - Gray</t>
  </si>
  <si>
    <t>GIS</t>
  </si>
  <si>
    <t>GAL</t>
  </si>
  <si>
    <t>318LE375 EBONY BLACK BASECOAT UAWAWHA</t>
  </si>
  <si>
    <t>318LE1120 SILVER MOUNTAIN</t>
  </si>
  <si>
    <t>ACRYTHANE 1000-E  BQM1</t>
  </si>
  <si>
    <t>Nissan (Zanini) - Exterior</t>
  </si>
  <si>
    <t>DAI NIPPON</t>
  </si>
  <si>
    <t>4 WEEKS</t>
  </si>
  <si>
    <t>18 Kg (39.6 lbs)</t>
  </si>
  <si>
    <t>1 Can (18 Kg)</t>
  </si>
  <si>
    <t>Judith Sanchez Reyna</t>
  </si>
  <si>
    <t>(465) 967 24 54 al 57</t>
  </si>
  <si>
    <t xml:space="preserve"> jsanchez@dainippon.com.mx</t>
  </si>
  <si>
    <t>ACRYTHANE 1000-E BA20</t>
  </si>
  <si>
    <t>08 ACRYTHANE 1000-E BB17</t>
  </si>
  <si>
    <t>ACRYTHANE 1000-E BK23</t>
  </si>
  <si>
    <t>ACRYTHANE 1000-E BKH3</t>
  </si>
  <si>
    <t>ACRYTHANE 1000-E BK36</t>
  </si>
  <si>
    <t>ACRYTHANE-E 1000 RBK</t>
  </si>
  <si>
    <t>ACRYTHANE 1250 CLEAR</t>
  </si>
  <si>
    <t>ACRYTHANE 95D BLACK (Chrome Plated)</t>
  </si>
  <si>
    <t>4800LE47B - JET BLACK 600R</t>
  </si>
  <si>
    <t>303LE88 - MIDDLE COAT PAINT</t>
  </si>
  <si>
    <t>UV720</t>
  </si>
  <si>
    <t>UV7200</t>
  </si>
  <si>
    <t>UV CLEAR LOW GLOSS XPC70030</t>
  </si>
  <si>
    <t>PPG</t>
  </si>
  <si>
    <t>UV CLEAR LOW GLOSS XPC70031</t>
  </si>
  <si>
    <t>CLEAR COAT N78100</t>
  </si>
  <si>
    <t xml:space="preserve">COSMO LOGO BADGE NOKIA BLACK LITE TOP COAT </t>
  </si>
  <si>
    <t>COSMO LOGO BADGE NOKIA BLAK LITE BASE COAT</t>
  </si>
  <si>
    <t>COSMO LOGO BADGE NOKIA BLACK LITE PAD PRINT</t>
  </si>
  <si>
    <t>COSMO XPRESS MUSIC BLACK TOP COAT</t>
  </si>
  <si>
    <t>CSOMO XPRESS MUSIC BLACK PAD PRINT</t>
  </si>
  <si>
    <t>COSMO BASE COAT BLACK</t>
  </si>
  <si>
    <t>PIGMENT</t>
  </si>
  <si>
    <t>PIGMENT HIPET 9200 HV FOR HONDA</t>
  </si>
  <si>
    <t>COSMO LOGO BADGE NOKIA VIVO WHITE</t>
  </si>
  <si>
    <t>SCARLETT NUMERIC KEY BASE COATED  *** OBSOLETE ***</t>
  </si>
  <si>
    <t>COSMO LOGO BADGE VIVO WHITE TOP COAT</t>
  </si>
  <si>
    <t>NUMERIC KEY LASER * O´HARA *** OBSOLETE ***</t>
  </si>
  <si>
    <t>SCARLETT NUMERIC KEY LASER ECHING</t>
  </si>
  <si>
    <t>COSMO LOGO BADGE CLARO WHITE SMALL PAD PRINT</t>
  </si>
  <si>
    <t>COSMO LOGO BADGE CLARO WHITE SMALL TOP COAT</t>
  </si>
  <si>
    <t>NUMERIC KEY TOP COAT *O´HARA*</t>
  </si>
  <si>
    <t>SCARLET NUMERIC KEY TOP COAT</t>
  </si>
  <si>
    <t xml:space="preserve">SILICA OK-412  </t>
  </si>
  <si>
    <t xml:space="preserve">COSMO XPRESS BLACK BASE COAT </t>
  </si>
  <si>
    <t>CLEAR COAT TM159-0015</t>
  </si>
  <si>
    <t>CLEAR COAT TM167-0030</t>
  </si>
  <si>
    <t>CLEAR COAT TM173-0001</t>
  </si>
  <si>
    <t>CLEAR COAT TM167-0020</t>
  </si>
  <si>
    <t>BECKERS</t>
  </si>
  <si>
    <t xml:space="preserve">Gall </t>
  </si>
  <si>
    <t>RISDOM</t>
  </si>
  <si>
    <t>CLEAR COAT TM167-0091P</t>
  </si>
  <si>
    <t>Gall</t>
  </si>
  <si>
    <t>PY BLUE INK REFLEX 520</t>
  </si>
  <si>
    <t>SEMI MATE CLEAR COAT D8117</t>
  </si>
  <si>
    <t>TP 218/E50 INK [ COATING ]</t>
  </si>
  <si>
    <t xml:space="preserve">TP 218/B50 INK [ TINTA AZUL ] </t>
  </si>
  <si>
    <t>INK-B N50 NT BLACK C-MIX 2000 1302N50</t>
  </si>
  <si>
    <t>TRANS TECH</t>
  </si>
  <si>
    <t>ARMANDO PALOMO</t>
  </si>
  <si>
    <t>630.752.4000</t>
  </si>
  <si>
    <t>apalomo@itwtranstech.com</t>
  </si>
  <si>
    <t>INK-B Y50 NT GOLDEN YELLOW C-MIX 2000 1302Y50</t>
  </si>
  <si>
    <t>TP 218/M50 INK [ TINTA MAGENTA ]</t>
  </si>
  <si>
    <t>TP 218/O50 INK [ TINTA ORANGE ]</t>
  </si>
  <si>
    <t>TP 218/Y30 INK [ TINTA PRIMEROSE ]</t>
  </si>
  <si>
    <t>B&amp;D, Shinetsu</t>
  </si>
  <si>
    <t>TP218/R50 INK [ TINTA ROJA ]</t>
  </si>
  <si>
    <t>INK P-9nt-184-tp RED R1699244</t>
  </si>
  <si>
    <t>TP 218/G50 INK [ TINTA VERDE ]</t>
  </si>
  <si>
    <t>TP 218/V50 INK [ TINTA VIOLET ]</t>
  </si>
  <si>
    <t>TP 218/V50 INK [ TINTA WHITE]</t>
  </si>
  <si>
    <t xml:space="preserve">BLACK INK TPR 426  </t>
  </si>
  <si>
    <t>SILVER INK TPR 191</t>
  </si>
  <si>
    <t>SILVER PAINT GP79-1720</t>
  </si>
  <si>
    <t>INK-P PMS 3245U R1694278 REVAIR GREEN</t>
  </si>
  <si>
    <t>CAV 510-AMERICAN RED</t>
  </si>
  <si>
    <t>FC 737 PAN 285 C</t>
  </si>
  <si>
    <t>CAV 710-BLACK</t>
  </si>
  <si>
    <t>CAV 440-BLUE</t>
  </si>
  <si>
    <t>CAV 320-FAST GREEN</t>
  </si>
  <si>
    <t>CAV 500-FIRE RED</t>
  </si>
  <si>
    <t>CAV 350-GREEN</t>
  </si>
  <si>
    <t>CAV NC210-LEMON YELLOW</t>
  </si>
  <si>
    <t>CAV 580-MAGENTA</t>
  </si>
  <si>
    <t>CAV 800-MEDIUM CLEAR</t>
  </si>
  <si>
    <t>CAV NC220-MEDIUM YELLOW</t>
  </si>
  <si>
    <t>CAV NC200-PRIMROSE YELLOW</t>
  </si>
  <si>
    <t>FC 735 PAN 200 C</t>
  </si>
  <si>
    <t>CAV 550-RUBY RED</t>
  </si>
  <si>
    <t>CAV 460-SKY BLUE</t>
  </si>
  <si>
    <t>CAV 400-ULTRA BLUE</t>
  </si>
  <si>
    <t>CAV NC265-ULTRA ORANGE</t>
  </si>
  <si>
    <t>FC 741 PAN 356 C</t>
  </si>
  <si>
    <t>CAV 495-VIOLET</t>
  </si>
  <si>
    <t>BLACK PAINT LP79-K13146</t>
  </si>
  <si>
    <t>WHITE PAINT P79-K30717</t>
  </si>
  <si>
    <t>CAV 120-WHITE</t>
  </si>
  <si>
    <t xml:space="preserve">DARK BLUE INK 2 SG740 </t>
  </si>
  <si>
    <t>DARK BLUE INK 3 SG740</t>
  </si>
  <si>
    <t>BLUE PAINT P79-K30718</t>
  </si>
  <si>
    <t>PY WHITE INK 70</t>
  </si>
  <si>
    <t>BLUE INK REFLEX PY 520</t>
  </si>
  <si>
    <t xml:space="preserve">PY RED INK 30  </t>
  </si>
  <si>
    <t>PY YELLOW INK 21</t>
  </si>
  <si>
    <t>PIGMENT NH-190L FOR HONDA</t>
  </si>
  <si>
    <t>PY BLUE INK 461</t>
  </si>
  <si>
    <t>PY BLUE INK 371855</t>
  </si>
  <si>
    <t xml:space="preserve">TPR ROJO INK CCM-N342  </t>
  </si>
  <si>
    <t>PY GRIS 10C</t>
  </si>
  <si>
    <t>INK B-2MTNT-335-TP VP-S7-07W</t>
  </si>
  <si>
    <t>INK 434 BROWN ON BLACK SUB (R1699472)</t>
  </si>
  <si>
    <t>CAN</t>
  </si>
  <si>
    <t>INK R 1699533 COSTUM INK  B-VW  WHITE</t>
  </si>
  <si>
    <t>T3181365LH LOW GLOSS WHITE ABRASION RESISTANT PAINT</t>
  </si>
  <si>
    <t>ALEXIT LASER HAPTIC COATING 402 LN TOP COAT</t>
  </si>
  <si>
    <t>MANKIEWICZ</t>
  </si>
  <si>
    <t>T3030000LH, MB CLEAR URETHANE PAINT</t>
  </si>
  <si>
    <t>COSTUM COLOR INK-B B-B-1432 YELLOW (Dewalt)  (R1699243)</t>
  </si>
  <si>
    <t>COOL GRAY 2U VERTEX STANDARD (MIX)</t>
  </si>
  <si>
    <t>comment</t>
  </si>
  <si>
    <t>FLATTENING AGENT M148</t>
  </si>
  <si>
    <t>SANTOPRENE EBONY  167A ELP-26606  221-55</t>
  </si>
  <si>
    <t>221-55</t>
  </si>
  <si>
    <t>LANCER</t>
  </si>
  <si>
    <t>PIGMENT LIGHT CASHMERE 830K ELC-46018  0332</t>
  </si>
  <si>
    <t>PIGMENT LIGHT TITANIUM  311N ELC-28000  0332</t>
  </si>
  <si>
    <t>PIGMENT VERY LIGHT CASHMERE 314N ELC-46014  0332</t>
  </si>
  <si>
    <t>PIGMENT COCOA 413P ELC-46112 0332</t>
  </si>
  <si>
    <t>PIGMENT EBONY 30-919762 (SB 891)</t>
  </si>
  <si>
    <t>SB-891</t>
  </si>
  <si>
    <t>UCC</t>
  </si>
  <si>
    <t>NELLY ROFRIGUEZ</t>
  </si>
  <si>
    <t>81 8262-5208</t>
  </si>
  <si>
    <t>NRodriguez@uniformcolor.com</t>
  </si>
  <si>
    <t>PIGMENT LIGHT CASHMERE 30-816091 (SB 891)</t>
  </si>
  <si>
    <t>PIGMENT LIGHT TITANIUM 30-919763 (SB 891)</t>
  </si>
  <si>
    <t>PIGMENT VERY LIGHT CASHMERE 30-816092 (SB 891)</t>
  </si>
  <si>
    <t>PIGMENT COCOA 30-919764 (SB891)</t>
  </si>
  <si>
    <t>PIGMENT RED RAL 3020</t>
  </si>
  <si>
    <t>PIGMENT MB WHITE PBA LL8844 GP (A.SCHULMAN)</t>
  </si>
  <si>
    <t>PIGMENT UN0055P* MB DEEP BLACK (CLARIANT)</t>
  </si>
  <si>
    <t>CLARIANT</t>
  </si>
  <si>
    <t>MARK DAWSON</t>
  </si>
  <si>
    <t xml:space="preserve">508 829 3931 </t>
  </si>
  <si>
    <t>mark.dawson@clariant.com</t>
  </si>
  <si>
    <t>PIGMENT EBONY 167A (95-91497)</t>
  </si>
  <si>
    <t>8221-55</t>
  </si>
  <si>
    <t>PIGMENT VY LT CASHMERE 314N AES 8221-55</t>
  </si>
  <si>
    <t xml:space="preserve">PIGMENT EBONY 167A 50-93277  </t>
  </si>
  <si>
    <t>SER. PART</t>
  </si>
  <si>
    <t>PIGMENT LIGHT CASHMERE 830K 50-83762</t>
  </si>
  <si>
    <t>PIGMENT YELLOW NC13620015</t>
  </si>
  <si>
    <t>PIGMENT MED NEUTRAL 50-83763</t>
  </si>
  <si>
    <t>PIGMENT MD DK PEWTR 110D</t>
  </si>
  <si>
    <t>PIGMENT 30-817450 LT FROST BEIGE COLOR CONCENTRATE</t>
  </si>
  <si>
    <t>PIGMENT RED PP/PE 32-601</t>
  </si>
  <si>
    <t>PIGMENT CNY13652 BLK</t>
  </si>
  <si>
    <t>ELP-27643  8221-55M300 167A EBONY</t>
  </si>
  <si>
    <t>ALETRA</t>
  </si>
  <si>
    <t>BARB EARNEST</t>
  </si>
  <si>
    <t>(330)794-9922</t>
  </si>
  <si>
    <t>bearnest@lancerdispersions.com</t>
  </si>
  <si>
    <t>PIGMENT LIGHT CASHMERE 830K (95-8750) AES 8221-55</t>
  </si>
  <si>
    <t>PIGMENT VERY LIGHT CASHMERE 314N (95-8751) AES 8221-55</t>
  </si>
  <si>
    <t>PIGMENT LIGHT TITANIUM 311N (95-91498) AES 8221-55</t>
  </si>
  <si>
    <t>PIGMENT COCOA 413P (95-91499) AED 8221-55</t>
  </si>
  <si>
    <t>PIGMENT DK2 LT PEBBLE BEIGE</t>
  </si>
  <si>
    <t>SCHULMAN</t>
  </si>
  <si>
    <t>PIGMENT XDV DK SLATE</t>
  </si>
  <si>
    <t>TREXPRENE A55CI CHRYSLER DK2 LIGHT PEEBLE BEIGE</t>
  </si>
  <si>
    <t>COMTREX</t>
  </si>
  <si>
    <t>TREXPRENE A55CI CHRYSLER XDV DARK SLATE</t>
  </si>
  <si>
    <t>PIGMENT CC801W-JA6A BLACK</t>
  </si>
  <si>
    <t>PIGMENT 10-67796 JESTER RED 19-1862</t>
  </si>
  <si>
    <t>PIGMENT NC13620021 FOR PC LEXAN 3412R(DEEP YELLOW)</t>
  </si>
  <si>
    <t>PIGMENT NC13620015 FOR PC LEXAN 3413R(DEEP YELLOW)</t>
  </si>
  <si>
    <t>RENOL CNY14179(9779) MED GREY</t>
  </si>
  <si>
    <t>RENOL CNY 14096(9777)MD BEIGE</t>
  </si>
  <si>
    <t>RENOL 104E DK REGAL BLUE 00038943</t>
  </si>
  <si>
    <t>TRW SAFETY</t>
  </si>
  <si>
    <t>RENOL 9780  DK GREY 00075427</t>
  </si>
  <si>
    <t>PA133GY-1081 7701 GRAPHITE</t>
  </si>
  <si>
    <t>RENOL-GREEN SB62820067-ZN</t>
  </si>
  <si>
    <t>TREXPRENE A55CI DX-9 BLACK</t>
  </si>
  <si>
    <t>WENDY DEFILIPI</t>
  </si>
  <si>
    <t>TREXPRENE A55CI HL-1 FROST BEIGE</t>
  </si>
  <si>
    <t>NRR0002816 N/C BLACK COLOR CONCENTRATE DX-09</t>
  </si>
  <si>
    <t>Nelly Rodriguez</t>
  </si>
  <si>
    <t>PIGMENT 36-94510 (Jet Black 600R) -- Master WPPGLG600R</t>
  </si>
  <si>
    <t>PIGMENT 36-94511 (Very Dark Pewter) -- Master WPPGLG642H</t>
  </si>
  <si>
    <t>PIGMENT 10-707 - WHITE ABS</t>
  </si>
  <si>
    <t>AFX P/N: 10-707</t>
  </si>
  <si>
    <t>AFX (UCC)</t>
  </si>
  <si>
    <t>BLACK PE, PP, NYLON (COLOR CONCENTRATE)</t>
  </si>
  <si>
    <t>AFX P/N: 32907</t>
  </si>
  <si>
    <t>NAT FOAMING AGENT P2635-08</t>
  </si>
  <si>
    <t>PIGMENT UV INTENSE ORANGE (CC00002087WE) -- 4%</t>
  </si>
  <si>
    <t>POLYONE COLORS</t>
  </si>
  <si>
    <t>909-803-2530</t>
  </si>
  <si>
    <t>PIGMENT THINFORD GREEN (CC00005891WE) -- 5%</t>
  </si>
  <si>
    <t>PIGMENT 6300 BLACK (CC10124308WE)</t>
  </si>
  <si>
    <t>PIGMENT IPG RED ES068 (CC10090973WE) - 4%</t>
  </si>
  <si>
    <t>PIGMENT INTENSE ORANGE (CC10061286WE) - 4%</t>
  </si>
  <si>
    <t>PIGMENT INTENSE ORANGE - ABS (CC10058490WE)</t>
  </si>
  <si>
    <t>PIGMENT  X26272C  WHITE, BLUE PE</t>
  </si>
  <si>
    <t>Eva Morin</t>
  </si>
  <si>
    <t>336-629-9184</t>
  </si>
  <si>
    <t>emorin@plasticscolor.com</t>
  </si>
  <si>
    <t>PIGMENT BLUE PEARL ANC02663WW</t>
  </si>
  <si>
    <t>PENN COLOR</t>
  </si>
  <si>
    <t xml:space="preserve"> Stephen Osmian</t>
  </si>
  <si>
    <t>610-202-9502</t>
  </si>
  <si>
    <t>sosmian@penncolor.com</t>
  </si>
  <si>
    <t>PAD DURATHON S410 60-65 WHT ALUM M6 TAP (S35410)</t>
  </si>
  <si>
    <t>PIGMENT NEOSTYREN GREEN 2378</t>
  </si>
  <si>
    <t>PIGMENT CNY12056 NY 050.00:1 REEDLITE ORANGE</t>
  </si>
  <si>
    <t>PA</t>
  </si>
  <si>
    <t>PIGMENT EBONY WPPGLG167A</t>
  </si>
  <si>
    <t>JUAN RODIRGUEZ</t>
  </si>
  <si>
    <t>JRodriguez@uniformcolor.com</t>
  </si>
  <si>
    <t>PIGMENT 7938948C RED</t>
  </si>
  <si>
    <t>PIGMENT PP94766034 BLACK W/UV PP HOMO</t>
  </si>
  <si>
    <t>PIGMENT RENOL-GRIS AB72613052-ZT</t>
  </si>
  <si>
    <t>JUAN MANUEL MORENO</t>
  </si>
  <si>
    <t>81 82 52 22 55</t>
  </si>
  <si>
    <t>juanmanuel.moreno@clariant.com</t>
  </si>
  <si>
    <t>PIGMENT RENOL-ROJO MO32613009-ZT</t>
  </si>
  <si>
    <t>PIGMENT RENOL-GRIS MO72613028-ZT</t>
  </si>
  <si>
    <t xml:space="preserve">PIGMENT RENOL-GRIS MO72613031-ZT </t>
  </si>
  <si>
    <t>PIGMENT POM-M90-07-K30680</t>
  </si>
  <si>
    <t>PIGMENT 80-6634 RED</t>
  </si>
  <si>
    <t xml:space="preserve">PIGMENT 10-903 BLACK </t>
  </si>
  <si>
    <t>DILUENT (#013)</t>
  </si>
  <si>
    <t xml:space="preserve">DILUENT (#305) </t>
  </si>
  <si>
    <t>DILUENT (#306)</t>
  </si>
  <si>
    <t>THINNER 27975</t>
  </si>
  <si>
    <t>THINNER 27970</t>
  </si>
  <si>
    <t>THINNER 27095</t>
  </si>
  <si>
    <t>THINNER "A"</t>
  </si>
  <si>
    <t xml:space="preserve">DILUYENT TPV </t>
  </si>
  <si>
    <t>THINNER K625</t>
  </si>
  <si>
    <t>THINNER K237</t>
  </si>
  <si>
    <t>THINNER K235</t>
  </si>
  <si>
    <t>THINNER 29625</t>
  </si>
  <si>
    <t>THINNER 27993</t>
  </si>
  <si>
    <t>RETARDANTE 196</t>
  </si>
  <si>
    <t>DYSSA</t>
  </si>
  <si>
    <t>THINNER NT 0251</t>
  </si>
  <si>
    <t>THINNER TT 135</t>
  </si>
  <si>
    <t>THINNER ZT105</t>
  </si>
  <si>
    <t>THINNER VD (1201012)</t>
  </si>
  <si>
    <t>GALLON</t>
  </si>
  <si>
    <t>THINNER BGA (1205050)</t>
  </si>
  <si>
    <t>THINNER VC009</t>
  </si>
  <si>
    <t>THINNER SV4380</t>
  </si>
  <si>
    <t>HARDENNER</t>
  </si>
  <si>
    <t>LE9425B URETHANE HARDNER</t>
  </si>
  <si>
    <t>COLOR INK PMS 434 INK TYPE B</t>
  </si>
  <si>
    <t>VALENTIN</t>
  </si>
  <si>
    <t>HARDENER BH 120301</t>
  </si>
  <si>
    <t>THINNER VD 1201012</t>
  </si>
  <si>
    <t>KGS</t>
  </si>
  <si>
    <t>GALL</t>
  </si>
  <si>
    <t>ACRYTHANE E-9600 THINNER</t>
  </si>
  <si>
    <t>16 Kg (35.2 lbs)</t>
  </si>
  <si>
    <t>1 Can (16 Kg)</t>
  </si>
  <si>
    <t>ACRYTHANE E-9700 THINNER</t>
  </si>
  <si>
    <t>ACRYTHANE HARDNER - Dai Nippon Base Coat</t>
  </si>
  <si>
    <t>ACRYTHANE 1250 HARDNER - Dai Nippon Clear Coat</t>
  </si>
  <si>
    <t>THINNER (REDUCTOR 3614)</t>
  </si>
  <si>
    <t>PRIMER (PRIMARIO 47S)</t>
  </si>
  <si>
    <t>11T02403K07 (PURGING THINNER)</t>
  </si>
  <si>
    <t>T-911 THINNER UN1263</t>
  </si>
  <si>
    <t>THINNER MR185</t>
  </si>
  <si>
    <t>THINNER DT885</t>
  </si>
  <si>
    <t>SV4380 THINNER</t>
  </si>
  <si>
    <t>ALEXIT THINNER 901-86</t>
  </si>
  <si>
    <t>ML</t>
  </si>
  <si>
    <t>200ML</t>
  </si>
  <si>
    <t xml:space="preserve">HARDENER JA95OH </t>
  </si>
  <si>
    <t>HARDENNER H330</t>
  </si>
  <si>
    <t>HARDENNER H-610</t>
  </si>
  <si>
    <t>HARDNER (GLH)</t>
  </si>
  <si>
    <t>HARDENNER H-250</t>
  </si>
  <si>
    <t>HARDENNER H-760</t>
  </si>
  <si>
    <t>HARDENNER H-600</t>
  </si>
  <si>
    <t>HARDENNER H-300-50.</t>
  </si>
  <si>
    <t>HARDENER TV130</t>
  </si>
  <si>
    <t>HARDENNER TV140</t>
  </si>
  <si>
    <t>LIBAI SILVER NG151-75620</t>
  </si>
  <si>
    <t>LIBAI SILVER NG252-88028</t>
  </si>
  <si>
    <t>PRIMER TF118-0001</t>
  </si>
  <si>
    <t>HARDENNER 2K 2HA2029000</t>
  </si>
  <si>
    <t>10 gall</t>
  </si>
  <si>
    <t>DB-HARDENER (BTX-FREE) XUB004187</t>
  </si>
  <si>
    <t>HARDENER FAST MH167</t>
  </si>
  <si>
    <t>ALEXIT HARDENER 405-4P</t>
  </si>
  <si>
    <t>HARDENER D8239</t>
  </si>
  <si>
    <t>REDUCER</t>
  </si>
  <si>
    <t>379S21654CCA REDUCED HIGH GLOSS 2K POLY</t>
  </si>
  <si>
    <t>SILICONE KBE-1003</t>
  </si>
  <si>
    <t>ACETONA 01</t>
  </si>
  <si>
    <t>BADAFI</t>
  </si>
  <si>
    <t>PORR</t>
  </si>
  <si>
    <t>PRIMER</t>
  </si>
  <si>
    <t xml:space="preserve">DR-253(BH2) D/G PTIMER (MEX, BTX-FREE) PUG043817 </t>
  </si>
  <si>
    <t>ALEXIT GRUNDIERUNG 463-1H 9201</t>
  </si>
  <si>
    <t>INSERT</t>
  </si>
  <si>
    <t xml:space="preserve">BEARING 696949/R8LLU V Jr C3 V2 L19D </t>
  </si>
  <si>
    <t>CW BEARING</t>
  </si>
  <si>
    <t>LISA ANDREWS</t>
  </si>
  <si>
    <t>(704) 394-1324</t>
  </si>
  <si>
    <t>lisa.andrews@cwbearing.com</t>
  </si>
  <si>
    <t>LABEL</t>
  </si>
  <si>
    <t>PRINTING LABEL (391899-00)</t>
  </si>
  <si>
    <t>ITW GRAPHICS</t>
  </si>
  <si>
    <t>PRINTING LABEL (398031-00) 4.5'' X 1.9'' SPEC 16306</t>
  </si>
  <si>
    <t xml:space="preserve">PRINTING LABEL (398065-00) 3'' X 1.4''   SPEC 16307 </t>
  </si>
  <si>
    <t>LABEL (090102) B&amp;D PN:618335-00 COLLAR ADJUSTING</t>
  </si>
  <si>
    <t>KURZ</t>
  </si>
  <si>
    <t>DONNELL DIETRICH</t>
  </si>
  <si>
    <t>(704) 927-3775</t>
  </si>
  <si>
    <t>donnell.dietrich@kurzusa.com</t>
  </si>
  <si>
    <t>387374-00 label collar</t>
  </si>
  <si>
    <t>SI-CAL</t>
  </si>
  <si>
    <t>PATRICIA PIERRO</t>
  </si>
  <si>
    <t>508 898 1800</t>
  </si>
  <si>
    <t>Pat@si-cal.com</t>
  </si>
  <si>
    <t>HEAT TRANSFER LABEL FOR 618193 (SA20105)</t>
  </si>
  <si>
    <t>COMPONENT</t>
  </si>
  <si>
    <t xml:space="preserve"> 93-XX-103624-2C _(Screw stud, brs nkl stud with black finish, #8x3/8 self tapping screw steel)</t>
  </si>
  <si>
    <t>SCOVILL FASTENERS</t>
  </si>
  <si>
    <t>5 MIL</t>
  </si>
  <si>
    <t>LAPKING</t>
  </si>
  <si>
    <t>SCREW PPH SMS 4x 1/4 ZA (1131202)</t>
  </si>
  <si>
    <t>FASTENAL</t>
  </si>
  <si>
    <t>RIVET .095 X 13/16 X 3/16 (12117-00369)</t>
  </si>
  <si>
    <t>RIVER SEMITUBULAR 7/16 LENGTH  (5057486)</t>
  </si>
  <si>
    <t>SCREW MTD 8X3/4</t>
  </si>
  <si>
    <t>D-Tach</t>
  </si>
  <si>
    <t>PPH MS M3-0.5X10 Z    (91189)</t>
  </si>
  <si>
    <t>MASTER CARRIER</t>
  </si>
  <si>
    <t>NYLOCK NUT M3-0.5 Z  (40143)</t>
  </si>
  <si>
    <t>METAL INSERT 623784-00</t>
  </si>
  <si>
    <t>BDK</t>
  </si>
  <si>
    <t>BLACK DECKER  HAMPSTEAD</t>
  </si>
  <si>
    <t>KATHY MURRAY</t>
  </si>
  <si>
    <t>410-239-5122</t>
  </si>
  <si>
    <t>kathy.murray@sbdinc.com</t>
  </si>
  <si>
    <t>PENN ENGINEERING</t>
  </si>
  <si>
    <t>PPHMS M4-0.7X12Z / 5064450 (91202)</t>
  </si>
  <si>
    <t>645139-00 DETENT SPRING SHIFTER</t>
  </si>
  <si>
    <t>VICKY HUANG</t>
  </si>
  <si>
    <t>886-4-22715199# 107</t>
  </si>
  <si>
    <t>sales01@kingyao.com</t>
  </si>
  <si>
    <t>LAIRD CONTACT STRIPS (METAL INSERTS)</t>
  </si>
  <si>
    <t>CARRIER ATTACH CLIP</t>
  </si>
  <si>
    <t>CLUTH PIN (653437-00)</t>
  </si>
  <si>
    <t>SHIFTER DETENT SPRING N046212-C2D1</t>
  </si>
  <si>
    <t>PLASTIC ARROWHEAD PILLAR CLIP (TERMAX p/n 58001)</t>
  </si>
  <si>
    <t>TERMAX</t>
  </si>
  <si>
    <t xml:space="preserve">S&amp;T </t>
  </si>
  <si>
    <t>JESSICA GARIBO</t>
  </si>
  <si>
    <t xml:space="preserve">847-519-1500 </t>
  </si>
  <si>
    <t xml:space="preserve">JGaribo@termax.com </t>
  </si>
  <si>
    <t>U-NUT MT M4.2 2.0-3.0 PNL PT MAGNI/SLVR</t>
  </si>
  <si>
    <t>EFC International</t>
  </si>
  <si>
    <t>Marnee David</t>
  </si>
  <si>
    <t>314-439-4341</t>
  </si>
  <si>
    <t>mdavid@efc-intl.com</t>
  </si>
  <si>
    <t xml:space="preserve">582832-00 SHAFT, PENDULUM </t>
  </si>
  <si>
    <t>EAST WEST COMPONENTS, INC.</t>
  </si>
  <si>
    <t>STEVE LAVECCHIA</t>
  </si>
  <si>
    <t xml:space="preserve">  215-616-4414</t>
  </si>
  <si>
    <t>slavecchia@ewcomponents.com</t>
  </si>
  <si>
    <t xml:space="preserve">582832-01 SHAFT, PENDULUM </t>
  </si>
  <si>
    <t>TAPERED HEAT-INSERT IUB-M2.5-1</t>
  </si>
  <si>
    <t>D.B. ROBERTS COMPANY</t>
  </si>
  <si>
    <t>MARGARITA PEÑA</t>
  </si>
  <si>
    <t>01152-33-3133-4365</t>
  </si>
  <si>
    <t>mvazquez@dbroberts.com</t>
  </si>
  <si>
    <t xml:space="preserve">RKE 4 KEY HONDA </t>
  </si>
  <si>
    <t>USA</t>
  </si>
  <si>
    <t xml:space="preserve">RKE 3 KEY HONDA </t>
  </si>
  <si>
    <t>MEX</t>
  </si>
  <si>
    <t>SA Housing Powers B&amp;D RIGHT</t>
  </si>
  <si>
    <t>Black &amp; Decker</t>
  </si>
  <si>
    <t>SA Housing Powers B&amp;D LEFT</t>
  </si>
  <si>
    <t>28255733 EVIC LH HOUSING 6 KEYS BLANK</t>
  </si>
  <si>
    <t>SAMOH</t>
  </si>
  <si>
    <t>28255735 ODO LH HOUSING 2 KEYS  BLANK</t>
  </si>
  <si>
    <t>HI-TECH COREA</t>
  </si>
  <si>
    <t>28255736 ODO LH HOUSING 4 BLANK</t>
  </si>
  <si>
    <t>28255732 CRUISE RH HOUSING 6 KEYS BLANK</t>
  </si>
  <si>
    <t>28255731 CRUISE RH HOUSING 4 KEYS  BLANK</t>
  </si>
  <si>
    <t>SA DUST CANISTER 41470</t>
  </si>
  <si>
    <t>POREX</t>
  </si>
  <si>
    <t>AURORA MCCOY</t>
  </si>
  <si>
    <t xml:space="preserve">(678) 479-1649 </t>
  </si>
  <si>
    <t>Aurora.McCoy@porex.com</t>
  </si>
  <si>
    <t>FORD RKE 03.959.258 MOLDED PANIC BUTTON.</t>
  </si>
  <si>
    <t>KOREA KEEPERS</t>
  </si>
  <si>
    <t xml:space="preserve">FORD RKE 03.959.257 MOLDED TRUNK BUTTON. </t>
  </si>
  <si>
    <t>FORD RKE 03.959.256 MOLDED UNLOCK BUTTON.</t>
  </si>
  <si>
    <t xml:space="preserve">FORD RKE 03.959.255 MOLDED LOCK BUTTON. </t>
  </si>
  <si>
    <t>O' RING # 386819-00</t>
  </si>
  <si>
    <t>FALCON SEAL &amp; SUPPLY</t>
  </si>
  <si>
    <t>28255734 EVIC LH HOUSING 4 KEYS BLANK</t>
  </si>
  <si>
    <t>RUBBER FIT</t>
  </si>
  <si>
    <t>1781344 MC Half Assembly from korea</t>
  </si>
  <si>
    <t>KOREA</t>
  </si>
  <si>
    <t>LEAD WIRE ASSEMBLY  13998104</t>
  </si>
  <si>
    <t>TRW ELECTRONICS</t>
  </si>
  <si>
    <t>GISELA TORRES</t>
  </si>
  <si>
    <t>9213400 EXT 4219</t>
  </si>
  <si>
    <t>5057473 RUNNER WHEEL LARGE</t>
  </si>
  <si>
    <t>MEGATECHWAY</t>
  </si>
  <si>
    <t>RICK SADLER</t>
  </si>
  <si>
    <t xml:space="preserve">440-725-7826 </t>
  </si>
  <si>
    <t>rsadler@megatechway.com</t>
  </si>
  <si>
    <t>LEAD WIRE ASSEMBLY 13117101</t>
  </si>
  <si>
    <t>LEAD WIRE ASSEMBLY 13119101</t>
  </si>
  <si>
    <t>1200</t>
  </si>
  <si>
    <t>LEAD WIRE ASSEMBLY 13120101</t>
  </si>
  <si>
    <t>SELF-ADHESIVE CABLE CLAMP</t>
  </si>
  <si>
    <t>DATA CORD</t>
  </si>
  <si>
    <t>12765187 WIRE LEAD ASSY-RD 416820BD46M</t>
  </si>
  <si>
    <t>KEY 32</t>
  </si>
  <si>
    <t>12765188 WIRE LEAD ASSY-YL  416820BD47M</t>
  </si>
  <si>
    <t>12765189 WIRE LEAD ASSY-BK  416820BD48M</t>
  </si>
  <si>
    <t>12765190 WIRE LEAD ASSY-5BU 416820BD49M</t>
  </si>
  <si>
    <t>12765191 WIRE LEAD ASSY-5BUYL1 416820BD50M</t>
  </si>
  <si>
    <t>12765192 WIRE LEAD ASSY-BK5GN1 416820BD51M</t>
  </si>
  <si>
    <t>FP-301 3/8" BK BULK SPOOL</t>
  </si>
  <si>
    <t>KEYLESS</t>
  </si>
  <si>
    <t>3MMM</t>
  </si>
  <si>
    <t>12765173 WIRE LEAD ASSY-RD 416084AC1M</t>
  </si>
  <si>
    <t>KEY 28</t>
  </si>
  <si>
    <t>12765174 WIRE LEAD ASSY-YL  416084AC2M</t>
  </si>
  <si>
    <t>12765175 WIRE LEAD ASSY-BK  416084AC3M</t>
  </si>
  <si>
    <t>12765176 WIRE LEAD ASSY-5BU 416084AC4M</t>
  </si>
  <si>
    <t>12765177 WIRE LEAD ASSY-5BUYL1 416084AC5M</t>
  </si>
  <si>
    <t>12765178 WIRE LEAD ASSY-BK5GN1 416084AC6M</t>
  </si>
  <si>
    <t>PAINT MASKING JIG</t>
  </si>
  <si>
    <t>RH PAINT MASKING JIG</t>
  </si>
  <si>
    <t xml:space="preserve">DUMMY KEY </t>
  </si>
  <si>
    <t>COVER PROTECTIVE 410129XXM</t>
  </si>
  <si>
    <t>KEYBUZZER</t>
  </si>
  <si>
    <t>METHODE</t>
  </si>
  <si>
    <t>GINA PARRISH</t>
  </si>
  <si>
    <t>(309)333-2934</t>
  </si>
  <si>
    <t>gina.parrish@methode.com</t>
  </si>
  <si>
    <t xml:space="preserve">INSERT 410125XXM </t>
  </si>
  <si>
    <t>410125XXM INSERT</t>
  </si>
  <si>
    <t>WIRE LEAD ASSY 415274XE3M</t>
  </si>
  <si>
    <t>WIRE LEAD ASSY-BKPK2 412587XXM</t>
  </si>
  <si>
    <t>WIRE LEAD ASSY-BKPK2 415988XB1M</t>
  </si>
  <si>
    <t>WIRE LEAD ASSY-BKPK2 412093XXM</t>
  </si>
  <si>
    <t>WIRE LEAD ASSY 415274XE2M</t>
  </si>
  <si>
    <t>12784102 WIRE LEAD ASSY-RD (412132XT29M)</t>
  </si>
  <si>
    <t>DISARM</t>
  </si>
  <si>
    <t>12784103 WIRE LEAD ASSY-BK (412132XT30M)</t>
  </si>
  <si>
    <t>12784104 WIRE LEAD ASSY-GN (412132XT31M)</t>
  </si>
  <si>
    <t>12784105 WIRE LEAD ASSY-RED (412132XU26M)</t>
  </si>
  <si>
    <t>12784106 WIRE LEAD ASSY-BK (412132XU27M)</t>
  </si>
  <si>
    <t>12784107 WIRE LEAD ASSY-GN (412132XU28M)</t>
  </si>
  <si>
    <t>12784108 WIRE LEAD ASSY-RD (412132XX10M)</t>
  </si>
  <si>
    <t>12784109 WIRE LEAD ASSY-BK (412132XX11M)</t>
  </si>
  <si>
    <t>12784110 WIRE LEAD ASSY-GN (412132XX12M)</t>
  </si>
  <si>
    <t>12784113 WIRE LEAD ASSY-RD (412132XX1M)</t>
  </si>
  <si>
    <t>12784114 WIRE LEAD ASSY-RD (412132XX21M)</t>
  </si>
  <si>
    <t>12948188  WIRE LEAD ASSY-GN (412132XX9M)</t>
  </si>
  <si>
    <t>12784115 WIRE LEAD ASSY-BK (412132XX1M)</t>
  </si>
  <si>
    <t>12784129 WIRE LEAD ASSY-BK (412267XX2M)</t>
  </si>
  <si>
    <t>12784116   WIRE LEAD ASSY-BK (412132XX2M)</t>
  </si>
  <si>
    <t>12784117  WIRE LEAD ASSY-GN (412132XX3M)</t>
  </si>
  <si>
    <t>12784125 WIRE LEAD ASSY-RD (412267XX13M)</t>
  </si>
  <si>
    <t>12948187  WIRE LEAD ASSY-BK (412132XX8M)</t>
  </si>
  <si>
    <t>12784119 WIRE LEAD ASSY-BK (412132XX5M)</t>
  </si>
  <si>
    <t>12784127 WIRE LEAD ASSY-GN (412267XX15M)</t>
  </si>
  <si>
    <t>12784128 WIRE LEAD ASSY-RD (412267XX1M)</t>
  </si>
  <si>
    <t>12784124  WIRE LEAD ASSY-GN (412267XX12M)</t>
  </si>
  <si>
    <t>12784115 WIRE LEAD ASSY-BK (412132XX22M)</t>
  </si>
  <si>
    <t>12784123 WIRE LEAD ASSY-BK (412267XX11M)</t>
  </si>
  <si>
    <t>12784126 WIRE LEAD ASSY-BK (412267XX14M)</t>
  </si>
  <si>
    <t>12784118 WIRE LEAD ASSY-RD (412132XX4M)</t>
  </si>
  <si>
    <t>12784131 WIRE LEAD ASSY-RD (412267XX4M)</t>
  </si>
  <si>
    <t>12784130 WIRE LEAD ASSY-GN (412267XX3M)</t>
  </si>
  <si>
    <t>12784262 WIRE LEAD ASSY-BK (416820XY4M)</t>
  </si>
  <si>
    <t>12784253 WIRE LEAD ASSY-GN (416820AV42M)</t>
  </si>
  <si>
    <t>12784257 WIRE LEAD ASSY-RD (416820BA43M)</t>
  </si>
  <si>
    <t>12784258 WIRE LEAD ASSY-GN (416820BA44M)</t>
  </si>
  <si>
    <t>12784251 WIRE LEAD ASSY-RD (416820AV40M)</t>
  </si>
  <si>
    <t>12784252 WIRE LEAD ASSY-BK (416820AV41M)</t>
  </si>
  <si>
    <t>12784259 WIRE LEAD ASSY-RD (416820AW37M)</t>
  </si>
  <si>
    <t>12784255 WIRE LEAD ASSY-BK (416820AW38M)</t>
  </si>
  <si>
    <t>12784256 WIRE LEAD ASSY-GN (416820AW39M)</t>
  </si>
  <si>
    <t>12784260 WIRE LEAD ASSY-BK (416820BF53M)</t>
  </si>
  <si>
    <t>12784261 WIRE LEAD ASSY-RD (416820XY3M)</t>
  </si>
  <si>
    <t>12784120  WIRE LEAD ASSY-GN (412132XX6M)</t>
  </si>
  <si>
    <t>12784132  WIRE LEAD ASSY-BK (412267XX5M)</t>
  </si>
  <si>
    <t>12784133 WIRE LEAD ASSY-GN (412267XX6M)</t>
  </si>
  <si>
    <t>12784134 WIRE LEAD ASSY-RD (412267XX7M)</t>
  </si>
  <si>
    <t>12784135 WIRE LEAD ASSY-BK (412267XX8M)</t>
  </si>
  <si>
    <t>12784136 WIRE LEAD ASSY-GN (412267XX9M)</t>
  </si>
  <si>
    <t>12784164  WIRE LEAD ASSY-BK (412852XE7M)</t>
  </si>
  <si>
    <t>12784163  WIRE LEAD ASSY-GN (412852XE6M)</t>
  </si>
  <si>
    <t>12948186  WIRE  LEAD ASSY -RD (412132XX7M)</t>
  </si>
  <si>
    <t>12784122 WIRE LEAD ASSY-RD (412267XX10M)</t>
  </si>
  <si>
    <t>12784254 WIRE LEAD ASSY-RD</t>
  </si>
  <si>
    <t>12784254 WIRE LEAD ASSY-RD (416820AW37M)</t>
  </si>
  <si>
    <t>12759189 INSERT (512247XXM)</t>
  </si>
  <si>
    <t>12759271 TAPE-ID DISARM D219 D258 (517120XCM)</t>
  </si>
  <si>
    <t>12765200 INSERT-PREMOLD</t>
  </si>
  <si>
    <t xml:space="preserve">KEY 12765126 </t>
  </si>
  <si>
    <t>12765194 WIRE LEAD ASSY-RD</t>
  </si>
  <si>
    <t>12765195 WIRE LEAD ASSY-YL</t>
  </si>
  <si>
    <t>12765196 WIRE LEAD ASSY-BK</t>
  </si>
  <si>
    <t>12765197 WIRE LEAD ASSY-5BU</t>
  </si>
  <si>
    <t>12765198 WIRE LEAD ASSY-5BUYL1</t>
  </si>
  <si>
    <t>12765199 WIRE LEAD ASSY-BK5GN1</t>
  </si>
  <si>
    <t xml:space="preserve">12764309 TUBE-PVC BK 515388XG2M </t>
  </si>
  <si>
    <t>12765181 WIRE LEAD ASSY-RD 16820BC24</t>
  </si>
  <si>
    <t>12765182 WIRE LEAD ASSY-YL  16820BC25</t>
  </si>
  <si>
    <t>12765183 WIRE LEAD ASSY-BK 16820BC26</t>
  </si>
  <si>
    <t xml:space="preserve">12765184 WIRE LEAD ASSY-5BU 16820BC27 </t>
  </si>
  <si>
    <t xml:space="preserve">12765185 WIRE LEAD ASSY-5BUYL1 16820BC28 </t>
  </si>
  <si>
    <t>12765186 WIRE LEAD ASSY-BK5GN1 16820BC29</t>
  </si>
  <si>
    <t>10126XX3 WIRE LEAD ASSY</t>
  </si>
  <si>
    <t>METHODE/KEYBUZZER</t>
  </si>
  <si>
    <t>412066 WIRE LEAD ASSY</t>
  </si>
  <si>
    <t>16483XD5 WIRE LEAD ASSY (12759227)</t>
  </si>
  <si>
    <t>16483XD2 WIRE LEAD ASSY (12759226)</t>
  </si>
  <si>
    <t>710983XX WIRE LEAD ASSEMBLY # 410876XX</t>
  </si>
  <si>
    <t xml:space="preserve">METHODE </t>
  </si>
  <si>
    <t>CONSIGNED</t>
  </si>
  <si>
    <t>CONS</t>
  </si>
  <si>
    <t>710816XX WIRE LEAD ASSEMBLY</t>
  </si>
  <si>
    <t>PIN GROOVED (659050-00)</t>
  </si>
  <si>
    <t>RBC</t>
  </si>
  <si>
    <t>JENNIFER BERGER</t>
  </si>
  <si>
    <t>574-546-4455</t>
  </si>
  <si>
    <t>JBerger@rbcbearings.com</t>
  </si>
  <si>
    <t>710983XX WIRE LEAD ASSY</t>
  </si>
  <si>
    <t>METAL INSERT 33020850A TONGUE PLATE</t>
  </si>
  <si>
    <t>TONGUE</t>
  </si>
  <si>
    <t>TRW MIDLAND</t>
  </si>
  <si>
    <t>MARLENE GALOWWAY</t>
  </si>
  <si>
    <t>705-526-8791</t>
  </si>
  <si>
    <t>Marlene.Galloway@TRW.COM</t>
  </si>
  <si>
    <t>INSERT 12765180 (515181XBM)</t>
  </si>
  <si>
    <t>ULTRA STAMPING</t>
  </si>
  <si>
    <t>INSERT 12759150 (418556XAM)</t>
  </si>
  <si>
    <t>CONTACT CARD</t>
  </si>
  <si>
    <t>INSERT 12759190</t>
  </si>
  <si>
    <t>INSERT 12759189</t>
  </si>
  <si>
    <t>METAL INSERT 62602F</t>
  </si>
  <si>
    <t>METAL INSERT 34076950</t>
  </si>
  <si>
    <t>CELAY</t>
  </si>
  <si>
    <t>IÑAKI PADILLA</t>
  </si>
  <si>
    <t xml:space="preserve"> (461) 6187200 </t>
  </si>
  <si>
    <t>ipadilla@celay.com.mx</t>
  </si>
  <si>
    <t>METAL INSERT 32637A</t>
  </si>
  <si>
    <t>612154-00 CLUTCH PIN</t>
  </si>
  <si>
    <t>INS 148354-03 BIT CLIP</t>
  </si>
  <si>
    <t>638727-00 RAMP CLUTCH PIN</t>
  </si>
  <si>
    <t>629830-00 RAMP CLUTCH PIN</t>
  </si>
  <si>
    <t>METAL INSERT A16447 (Fan A16623)</t>
  </si>
  <si>
    <t>N036369 CLUTCH COLLAR (FG) - DMP Component</t>
  </si>
  <si>
    <t>BLACK DECKER (DMP)</t>
  </si>
  <si>
    <t>METAL INSERT FAN 872652</t>
  </si>
  <si>
    <t>BLACK DECKER  REYNOSA</t>
  </si>
  <si>
    <t xml:space="preserve">FAN INSERT METAL N541865 </t>
  </si>
  <si>
    <t>M3 HEX KEY SHORT ARM MI02-843-56</t>
  </si>
  <si>
    <t>BDS FASTENER &amp; SUPPLY LLC</t>
  </si>
  <si>
    <t>M3 HEX KEY SHORT ARM MI02-843-64</t>
  </si>
  <si>
    <t>INSERT MI34-1740-5</t>
  </si>
  <si>
    <t>RUNNER ASSEMBLY 1780892</t>
  </si>
  <si>
    <t>D-TACH PCB (PRINTED CIRCUIT BOARD)</t>
  </si>
  <si>
    <t>TUBE-PVC 12759186</t>
  </si>
  <si>
    <t>TUBE-PVC BK 12759181</t>
  </si>
  <si>
    <t>12759176 TUBE-PVC BK (512135BA30M)</t>
  </si>
  <si>
    <t>12759170 TUBE-PVC BK</t>
  </si>
  <si>
    <t>12765131 LEAD WIRE ASSEMBLY</t>
  </si>
  <si>
    <t>CARTON</t>
  </si>
  <si>
    <t>CORRUGATED BOX 22X14 1/2 X 8 1/8</t>
  </si>
  <si>
    <t>LONDON / SI EMPAQUES</t>
  </si>
  <si>
    <t>VARIOS</t>
  </si>
  <si>
    <t>MAVET DOMINGUEZ (LONDON)  / ELIUD ALVARADO ( SI EMPAQUES)</t>
  </si>
  <si>
    <t>LON 9-51-20-88 / SIE 9-25-98-21</t>
  </si>
  <si>
    <t>mavet@londonintegration.com / ealvarado@siempaques.com</t>
  </si>
  <si>
    <t>CORRUGATED PAD 21 3/4 X 14 1/4</t>
  </si>
  <si>
    <t>CORRUGATED BOX BX101806</t>
  </si>
  <si>
    <t>CORRUGATED BOX 19.60  X 11.41 X 5.67    COSMO LAIRD</t>
  </si>
  <si>
    <t>AMERICA EMPACK</t>
  </si>
  <si>
    <t>CORRUGATED PAD 19.50 X 11.25 X 5.45     COSMO LAIRD</t>
  </si>
  <si>
    <t>CORRUGATED BOX 376 X 303 X 364 mm</t>
  </si>
  <si>
    <t>BOX REY</t>
  </si>
  <si>
    <t>JUAN MALDONADO</t>
  </si>
  <si>
    <t>52*312215*11</t>
  </si>
  <si>
    <t>juan_angelm@steep.com.mx</t>
  </si>
  <si>
    <t>CORRUGATED BOX SMALL (SOMFY)</t>
  </si>
  <si>
    <t>BAG</t>
  </si>
  <si>
    <t>BAG  ZIPLOCK 4 X 6"</t>
  </si>
  <si>
    <t>VERITIV</t>
  </si>
  <si>
    <t>EDGAR GARCIA</t>
  </si>
  <si>
    <t xml:space="preserve">951-85-19 </t>
  </si>
  <si>
    <t>edgar.garcia@veritivcorp.com</t>
  </si>
  <si>
    <t>CORRUGATED BOX 370 X 300 X 355 F C</t>
  </si>
  <si>
    <t>?</t>
  </si>
  <si>
    <t>HEAT TRANFER LABEL FOR DRILL 650197 (643138-01) (SPECT: 15749)</t>
  </si>
  <si>
    <t>HEAT TRANSFER LABEL FOR 648225-00</t>
  </si>
  <si>
    <t>RICK BOLLY</t>
  </si>
  <si>
    <t>508-989-1800</t>
  </si>
  <si>
    <t>decorating-solutions@hotmail.com</t>
  </si>
  <si>
    <t>HEAT TRANSFER LABEL (SA9637)  (B&amp;D p/n: N036369)</t>
  </si>
  <si>
    <t>HEAT TRANSFER LABEL PM 380 MATTE BLACK  1.875" X 1000'</t>
  </si>
  <si>
    <t>GREAT WESTERN FOILS, INC.</t>
  </si>
  <si>
    <t>BRIAN BOLAND</t>
  </si>
  <si>
    <t xml:space="preserve">805-375-4336 </t>
  </si>
  <si>
    <t>brian@GWFOILS.COM</t>
  </si>
  <si>
    <t>HEAT TRANSFER LABEL BLACK &amp; GRAY DANGER LOGO (B&amp;D p/n: 148291-00)</t>
  </si>
  <si>
    <t>HEAT TRANFER LABEL FOR HAMMER 650196 (643138-00) (SPECT: 15750)</t>
  </si>
  <si>
    <t>CORRUGATED PAD 37.5 X 45.5''  (DETONATOR BLOCK)</t>
  </si>
  <si>
    <t>AUSTIN</t>
  </si>
  <si>
    <t>CORRUGATED BOX 38'' X 46'' X 26'' (DETONATOR BLOCK)</t>
  </si>
  <si>
    <t>CORRUGATED BOX 337 X 458 X 204</t>
  </si>
  <si>
    <t>CORRUGATED WHITE BOX 15X13 1/4 X 6 1/4</t>
  </si>
  <si>
    <t>CORRUGATED BOX 23 15/16 X 19 13/16 X 27 15/16 200 C</t>
  </si>
  <si>
    <t>CORRUGATED BOX 20 1/16 X 14 3/16 X 14 3/16</t>
  </si>
  <si>
    <t>GMT001</t>
  </si>
  <si>
    <t>STRONG BOX</t>
  </si>
  <si>
    <t xml:space="preserve">CORRUGATED PAD 24X19 1/2 </t>
  </si>
  <si>
    <t>RSC 24.25 X 15.31 X 13.13  CAJAS MEDICAL MOLDING</t>
  </si>
  <si>
    <t>VICTORY  PACKAGING</t>
  </si>
  <si>
    <t>HERMOTRONIC</t>
  </si>
  <si>
    <t>CORRUGATED BOX 16" X 12" X 12" 32 ECT</t>
  </si>
  <si>
    <t>ALEJANDRO GUEVARA</t>
  </si>
  <si>
    <t xml:space="preserve"> jose.guevara@zaniniindustries.com</t>
  </si>
  <si>
    <t>CORRUGATED BOX 32 3/4 " X 20 19/32" X 22 1/8" 32 ECT</t>
  </si>
  <si>
    <t>LONDON</t>
  </si>
  <si>
    <t xml:space="preserve">MAVET DOMINGUEZ </t>
  </si>
  <si>
    <t xml:space="preserve"> 9-51-20-88</t>
  </si>
  <si>
    <t xml:space="preserve">mavet@londonintegration.com </t>
  </si>
  <si>
    <t xml:space="preserve">CORRUGATED PAD 20 5/16 " X 32 6/16" </t>
  </si>
  <si>
    <t>CORRUGATED BOX 32 3/4 " X 20 19/32" X 22 1/8" 44 ECT</t>
  </si>
  <si>
    <t>CORRUGATED BOX WITH LID 35.5 X 27.5 X 18 3/4, 48 ECT B/KRAFT</t>
  </si>
  <si>
    <t xml:space="preserve">CORRUGATED BOX 44" X 20" X 11" 32 ECT </t>
  </si>
  <si>
    <t>SI EMPAQUES</t>
  </si>
  <si>
    <t>ELIUD ALVARADO</t>
  </si>
  <si>
    <t>925-98-21</t>
  </si>
  <si>
    <t>ealvarado@siempaques.com</t>
  </si>
  <si>
    <t>CORRUGATED PAD 41 1/4 X 31" 32 ECT</t>
  </si>
  <si>
    <t>CORRUGATED BUILDABLE INSERT 37 5/8 X 19 7/8 32 ECT IN 8</t>
  </si>
  <si>
    <t>CORRUGATED BOX 32 3/4 " X 20 19/32" X 22 1/8" 42 ECT (DOUBLE CORRUGATED)</t>
  </si>
  <si>
    <t>CORRUGATED PAD 20 5/16 " X 32 6/16" 42 ECT (DOUBLE CORRUGATED)</t>
  </si>
  <si>
    <t>CORRUGATED PAD 22" x 20 1/2"</t>
  </si>
  <si>
    <t>CORRUGATED BOX 12" X 10" X 8"</t>
  </si>
  <si>
    <t>DIVIDER/PAD - 14 1/4" X 2 3/4"</t>
  </si>
  <si>
    <t>AFX P/N: 1659</t>
  </si>
  <si>
    <t>CORRUGATED BOX - 19.875" X 13.25" X 7.5"</t>
  </si>
  <si>
    <t>AFX P/N: 1559</t>
  </si>
  <si>
    <t>CORRUGATED BOX - 23 1/4" X 15" X 11 11/16"</t>
  </si>
  <si>
    <t>AFX P/N: 1660</t>
  </si>
  <si>
    <t>DIVIDER/PAD - 22 7/8" X 15 3/8"</t>
  </si>
  <si>
    <t>AFX P/N: 1661</t>
  </si>
  <si>
    <t xml:space="preserve"> BAG</t>
  </si>
  <si>
    <t>PLASTIC BAG (POLYETHYLENE) - HIGH DENSITY (30 X 40)</t>
  </si>
  <si>
    <t>AFX P/N: 1681</t>
  </si>
  <si>
    <t>CARDBOARD CORNER 2X2X24" CAL. 160</t>
  </si>
  <si>
    <t>CORRUGATED BOX - 16.653" x 12.519" x 7.35"  (32 ECT)</t>
  </si>
  <si>
    <t>PARTITION W/25 - 16.63" X 12.25" X 2.51" (29 ECT)</t>
  </si>
  <si>
    <t>RAFAEL AREVALO VIDALES</t>
  </si>
  <si>
    <t>951.09.39, 951.20.88 Y 951.17.63</t>
  </si>
  <si>
    <t>rafael@londonintegration.com</t>
  </si>
  <si>
    <t>CORRUGATED PAD - 16.62" X 12.48" (29 ECT)</t>
  </si>
  <si>
    <t>CORRUGATED BOX - 44" x 24" x 20"  (32 ECT)</t>
  </si>
  <si>
    <t>CORRUGATED PAD - 43.80" X 23.80" (29 ECT)</t>
  </si>
  <si>
    <t>CORRUGATED BOX  12”  W X 22” L X 7.5”H</t>
  </si>
  <si>
    <t>CORRUGATED BOX   22” W   X 24” L X 10” H</t>
  </si>
  <si>
    <t>CORRUGATED BOX   22” W X 24” L X 20” H</t>
  </si>
  <si>
    <t>CORRUGATED BOX  16” W X 22” L X 10” H</t>
  </si>
  <si>
    <t>CORRUGATED BOX  12” W X L 44” X 12” H</t>
  </si>
  <si>
    <t>CORRUGATED DIVIDER 21 7/8" X 14 5/16" X 1/16"  W/16 SPACES</t>
  </si>
  <si>
    <t>LPB</t>
  </si>
  <si>
    <t>8992 910247</t>
  </si>
  <si>
    <t>eliudlpb1@gmail.com</t>
  </si>
  <si>
    <t>TRAY</t>
  </si>
  <si>
    <t>ALPS RETURNABLE PACKING</t>
  </si>
  <si>
    <t>PLASTICO</t>
  </si>
  <si>
    <t>PLASTIC RETURNABLE BOX FOR PANEL</t>
  </si>
  <si>
    <t>PLASTIC RETURNABLE BOX TIER ONE 23 X 14 X 7 INCH</t>
  </si>
  <si>
    <t>EUROPLAST</t>
  </si>
  <si>
    <t>PLASTIC TRAY FOR  IDEFIX</t>
  </si>
  <si>
    <t>PLASTIC TRAY FOR SOFT KEY</t>
  </si>
  <si>
    <t>WHITE TRAY 502 * 354 mm</t>
  </si>
  <si>
    <t>PLASTIC TRAY FOR COSMO</t>
  </si>
  <si>
    <t>PACKING TRAY 511315 (U228-TOP)</t>
  </si>
  <si>
    <t>SSAE PRODUCTS</t>
  </si>
  <si>
    <t>EDUARDO RIOS</t>
  </si>
  <si>
    <t xml:space="preserve">62*194010*5 </t>
  </si>
  <si>
    <t>eduardo@ssaeproducts.com</t>
  </si>
  <si>
    <t>PACKING TRAY 510464 (GMT001)</t>
  </si>
  <si>
    <t>PACKING TRAY 511453 (U228 BOTTOM)</t>
  </si>
  <si>
    <t>TRAY FOR 80 PCS HAZZARD BUTTON 224703 MADE OF BLACK HIPS 1 mm THICKNESS X 505 mm X 356 mm</t>
  </si>
  <si>
    <t>TRAY FOR 24 PCS OF MIRROR HOUSING MADE OF BLACK HIPS 1mm THICKNESS X 505 mm X 356 mm</t>
  </si>
  <si>
    <t>TRAY FOR KNOB (TRW)</t>
  </si>
  <si>
    <t>KNOB</t>
  </si>
  <si>
    <t>TRAY FOR BUTTON HAZZARD 411</t>
  </si>
  <si>
    <t>BUTTON</t>
  </si>
  <si>
    <t>tray for trw tongues</t>
  </si>
  <si>
    <t>RETURNABLE BOX (BLUE) - 21" X 21" X 19" H</t>
  </si>
  <si>
    <t>PRONTO</t>
  </si>
  <si>
    <t>Mucio Camarena</t>
  </si>
  <si>
    <t>951-4240 and 951-1063</t>
  </si>
  <si>
    <t>comercializadorapronto@prodigy.net.mx</t>
  </si>
  <si>
    <t>LAMINATED FOAM BAG - Thickness 1/32": Width 12 " X Length 21"</t>
  </si>
  <si>
    <t>ARESI</t>
  </si>
  <si>
    <t>LAMINATED FOAM BAG - Thickness 1/32": Width 10 1/2 " X Length 17"</t>
  </si>
  <si>
    <t>CORRUGATED BOX 30 1/2" X 19" X 21"</t>
  </si>
  <si>
    <t>CORRUGATED BOX 20" x 10" x 12 1/2 - (VOLEX B&amp;D)</t>
  </si>
  <si>
    <t xml:space="preserve">CORRUGATED PAD - 30.25" X 21" </t>
  </si>
  <si>
    <t>PARTITION W/39, 19.5" X 12"</t>
  </si>
  <si>
    <t>PLASTIC TRAY FOR ROCKER (6 x 6, 36 pcs) - Clear</t>
  </si>
  <si>
    <t>GENARO DE LEON</t>
  </si>
  <si>
    <t>GenaroDeLeon@Eaton.com</t>
  </si>
  <si>
    <t>PLASTIC TRAY (PET) CLEAR CAL. 40 495 X 385MM FOR PANEL 631</t>
  </si>
  <si>
    <t>BAG FOR GENERAL PACKAGING</t>
  </si>
  <si>
    <t>COSMO ASSEMBLY NOKIA LOGO</t>
  </si>
  <si>
    <t>COSMO XPRESS MUSIC BLACK CUT</t>
  </si>
  <si>
    <t>COSMO LOGO BADGE NOKIA BLAK LITE CUT</t>
  </si>
  <si>
    <t>COSMO LOGO BADGE VIVO WHITE CUT</t>
  </si>
  <si>
    <t>BOLSA DE PLASTICO 30 X 40 C 1.25</t>
  </si>
  <si>
    <t>PUBLIPAK</t>
  </si>
  <si>
    <t>3X3 2MIL CLEAR RECLOSEABLE POLY BAG</t>
  </si>
  <si>
    <t>4X8 4MIL POLYBAG</t>
  </si>
  <si>
    <t>COSMO LOGO BADGE  CLARO WHITE SMALL CUT</t>
  </si>
  <si>
    <t>NYLON BAG H243306K BLACK 24 X 33"</t>
  </si>
  <si>
    <t>LAPKING/KIMBALL</t>
  </si>
  <si>
    <t>BAG 10'' X 13'' ZIPLOCK</t>
  </si>
  <si>
    <t>BAG 17'' X 25''</t>
  </si>
  <si>
    <t xml:space="preserve">BAG NYLON 25 CM X 40 CM </t>
  </si>
  <si>
    <t>QUALITY PACKING SERVICE</t>
  </si>
  <si>
    <t>ARON GONZALEZ</t>
  </si>
  <si>
    <t xml:space="preserve">   9-20-46-16         </t>
  </si>
  <si>
    <t>aron.qps1@gmail.com</t>
  </si>
  <si>
    <t>BAG NYLON 60 CM X 60 CM</t>
  </si>
  <si>
    <t xml:space="preserve">BAG LDPE CAL.1.9  4" X 6" </t>
  </si>
  <si>
    <t xml:space="preserve">FOAM POUCH 1/32" THICKNESS, 6"X16" OPEN BY 6" </t>
  </si>
  <si>
    <t>VALLEY PACKAGING</t>
  </si>
  <si>
    <t>FERNANDO ARGUELLES</t>
  </si>
  <si>
    <t>(956) 515-3487</t>
  </si>
  <si>
    <t>valleypackaging2@gmail.com</t>
  </si>
  <si>
    <t xml:space="preserve">FOAM POUCH 1/32" THICKNESS, 5.5"X10.5" OPEN BY 5.5" </t>
  </si>
  <si>
    <t>D-TACH BAG LABEL</t>
  </si>
  <si>
    <t>INSTRUCTION SHEET LABEL</t>
  </si>
  <si>
    <t>6880309L65-0 INSTRUCTIVE RLN5211A (PHOENIX MUC ERIC INSERT)</t>
  </si>
  <si>
    <t>6880309M23-0 INSTRUCTIVE RLN5211A (PHOENIX MUC ERIC INSERT)</t>
  </si>
  <si>
    <t>5487591E01 WARNING LABEL</t>
  </si>
  <si>
    <t>THOMCO</t>
  </si>
  <si>
    <t>KARLA WHITFIELD</t>
  </si>
  <si>
    <t>678-597-5735</t>
  </si>
  <si>
    <t xml:space="preserve">kwhitfield@thomco.biz </t>
  </si>
  <si>
    <t>RLN5211A BARCODE WHITE LABEL</t>
  </si>
  <si>
    <t>RLN5212A BARCODE WHITE LABEL</t>
  </si>
  <si>
    <t xml:space="preserve">LABEL ID </t>
  </si>
  <si>
    <t>12948166 LABEL ID</t>
  </si>
  <si>
    <t>12948168 LABEL ID</t>
  </si>
  <si>
    <t>Thermal Transfer Label - 2.0" x 1.0"</t>
  </si>
  <si>
    <t>TEKNA IMPACT</t>
  </si>
  <si>
    <t>12 DAYS</t>
  </si>
  <si>
    <t>n/a</t>
  </si>
  <si>
    <t>NORMA ANAYA</t>
  </si>
  <si>
    <t>(956)213-8285</t>
  </si>
  <si>
    <t>Thermal Transfer Label - 2.0" x 0.5"</t>
  </si>
  <si>
    <t>RODRIGO NAVARRETE</t>
  </si>
  <si>
    <t>(956) 213-8285</t>
  </si>
  <si>
    <t>rodrigo.navarrete@tekna-impact.com</t>
  </si>
  <si>
    <t>WRAP</t>
  </si>
  <si>
    <t>BUBBLE WRAP 1/2" of 48 X 12"</t>
  </si>
  <si>
    <t>BUBBLE WRAP 3/16" of 24 X 12"</t>
  </si>
  <si>
    <t>INDUSTRIAL PAPER SHEET 50X30CM</t>
  </si>
  <si>
    <t xml:space="preserve">PLASTIC DISC 2.25" </t>
  </si>
  <si>
    <t>PLASTIC INSERT FOR N569438</t>
  </si>
  <si>
    <t>FOAM</t>
  </si>
  <si>
    <t>ANTI-STATIC DIE CUT FOAM # 1.7 (27.5 x 4.5 x 8")</t>
  </si>
  <si>
    <t>ANTI-STATIC FOAM # 1.7 (27.5 X 4 X 2")</t>
  </si>
  <si>
    <t>FOAM FOR PACKAGING</t>
  </si>
  <si>
    <t>ABSAREY</t>
  </si>
  <si>
    <t>COSMO DST TAPE</t>
  </si>
  <si>
    <t xml:space="preserve">H404814N   NATURAL 40”X48” 14 MIC </t>
  </si>
  <si>
    <t>TODOS</t>
  </si>
  <si>
    <t>BAG NYLON 20 X 30 CM</t>
  </si>
  <si>
    <t>1 KG</t>
  </si>
  <si>
    <t xml:space="preserve">LABEL FOR FGS IDENTIFICATION 4'' X 6'' </t>
  </si>
  <si>
    <t>DIGITEC</t>
  </si>
  <si>
    <t>B&amp;D / KIMBALL</t>
  </si>
  <si>
    <t>MARCO TELLEZ</t>
  </si>
  <si>
    <t>868-8122-083 / 920-52-20</t>
  </si>
  <si>
    <t>marcot@cdigitec.com</t>
  </si>
  <si>
    <t>METAL INSERT P/N 144794-00 FOR FANS 153663-00, 389517-00 AND 393237-00</t>
  </si>
  <si>
    <t xml:space="preserve">METAL BEARING FOR 391564-00 IMPACT ABSORBER AND 622173-00 SA BEARING BLOCK </t>
  </si>
  <si>
    <t>NSK</t>
  </si>
  <si>
    <t>INSERT FAN 607960 (REV. 1)</t>
  </si>
  <si>
    <t>PAM HRIBIK</t>
  </si>
  <si>
    <t>814-776-2141 x. 1822</t>
  </si>
  <si>
    <t>PHribik@metalpowderproducts.com</t>
  </si>
  <si>
    <t>sprocket insert 874078</t>
  </si>
  <si>
    <t>METAL POWDER PRODUCTS</t>
  </si>
  <si>
    <t>METAL INSERT 402157-00</t>
  </si>
  <si>
    <t>VS INDUSTRIES</t>
  </si>
  <si>
    <t>BEARING , BALL - PART NO. 330003-CAT1</t>
  </si>
  <si>
    <t>NSK/BLACK $ DECKER</t>
  </si>
  <si>
    <t>OMAR VARGAS</t>
  </si>
  <si>
    <t>Omar.Vargas@sbdinc.com</t>
  </si>
  <si>
    <t>REJILLA DE CARTON CORRUGADO</t>
  </si>
  <si>
    <t>PARTITION A 32 12/16" X 5 1/16 " WITH B 20 9/16" X 5 1/16" 32 ECT</t>
  </si>
  <si>
    <t>PARTITION CHIPBOARD 30 PTS 560 X 366 X 29 MM</t>
  </si>
  <si>
    <t>PURGE</t>
  </si>
  <si>
    <t>CEL-SPAN 300 PURGE PU1001</t>
  </si>
  <si>
    <t>PHOENIX PLASTICS</t>
  </si>
  <si>
    <t>ALL</t>
  </si>
  <si>
    <t>Barbara Winslett</t>
  </si>
  <si>
    <t>936.760.2311</t>
  </si>
  <si>
    <t>CSR@phoenixplastics.com</t>
  </si>
  <si>
    <t>PLAQUE BLANK LG9000BK 4X4</t>
  </si>
  <si>
    <t>CEL-SPAN 606P PA1015</t>
  </si>
  <si>
    <t>ASACLEAN GRADE U</t>
  </si>
  <si>
    <t>ASA CLEAN</t>
  </si>
  <si>
    <t>MJH62354801 42PW5 TOP</t>
  </si>
  <si>
    <t>HD ELECTRONIC</t>
  </si>
  <si>
    <t>MJH62355001 42W5 BOTTOM</t>
  </si>
  <si>
    <t>MJH62354901 SIDEL (L)</t>
  </si>
  <si>
    <t>MJH62354902 SIDEL ®</t>
  </si>
  <si>
    <t>MJH62355801</t>
  </si>
  <si>
    <t>MJH62355901</t>
  </si>
  <si>
    <t>MJH62356001</t>
  </si>
  <si>
    <t>MJH62356002</t>
  </si>
  <si>
    <t>MDS62831135 GASKET</t>
  </si>
  <si>
    <t>MDS63351701 GASKET</t>
  </si>
  <si>
    <t>MDS62831182 GASKET</t>
  </si>
  <si>
    <t>MDS63530301 GASKET</t>
  </si>
  <si>
    <t>MEV50119315 INSULATOR</t>
  </si>
  <si>
    <t>MDS62831133 GASKET</t>
  </si>
  <si>
    <t>MDS62831158 GASKET</t>
  </si>
  <si>
    <t>MDS63351702 GASKET</t>
  </si>
  <si>
    <t>MDS62831131 TAPE</t>
  </si>
  <si>
    <t>MDS62831180 TAPE</t>
  </si>
  <si>
    <t>MDS63351703 GASKET</t>
  </si>
  <si>
    <t>MDS63351713 GASKET</t>
  </si>
  <si>
    <t>MDS63530302 GASKET</t>
  </si>
  <si>
    <t>MEV50119319 INSULATOR</t>
  </si>
  <si>
    <t>MDS62831130 TAPE</t>
  </si>
  <si>
    <t>MDS62831132 TAPE</t>
  </si>
  <si>
    <t>MDS63351704 GASKET</t>
  </si>
  <si>
    <t>MEV50119320 INSULATOR</t>
  </si>
  <si>
    <t>MDS62511914 GASKET</t>
  </si>
  <si>
    <t>MDS62511915 GASKET</t>
  </si>
  <si>
    <t>MDS62511940 GASKET</t>
  </si>
  <si>
    <t>MDS61915990 GASKET</t>
  </si>
  <si>
    <t>700*240*175 CAJA D/CARTON</t>
  </si>
  <si>
    <t>1200*240*175 CAJA D/CARTON</t>
  </si>
  <si>
    <t>1101043R</t>
  </si>
  <si>
    <t>CYCOLOY C1200HF-701 BK  (Regrind)</t>
  </si>
  <si>
    <t>SAMKWANG</t>
  </si>
  <si>
    <t>PIGMENT 80-9257218NF BLACK</t>
  </si>
  <si>
    <t>PIGMENT 80-425721 8ND YELLOW</t>
  </si>
  <si>
    <t>PEMARON 660G33L BK91</t>
  </si>
  <si>
    <t>PA66 33% GF</t>
  </si>
  <si>
    <t>1102006R</t>
  </si>
  <si>
    <t>TERLURAN GP 22 BK (Regrind)</t>
  </si>
  <si>
    <t>1102010R</t>
  </si>
  <si>
    <t>HF-0660I /C83807 (Regrind)</t>
  </si>
  <si>
    <t>IUB-0420-1 ULTRASONIC INSERT</t>
  </si>
  <si>
    <t>HF-0660I G33996 CHARCOAL</t>
  </si>
  <si>
    <t>ADDITIVE</t>
  </si>
  <si>
    <t>SERENDIPITY ELECTRONICS</t>
  </si>
  <si>
    <t>YOVANNA CAMARGO CABALLERO</t>
  </si>
  <si>
    <t xml:space="preserve">631-424-2244 </t>
  </si>
  <si>
    <t>Yovannac@SerendipityElectronics.com</t>
  </si>
  <si>
    <t>CYCOLOY C2950 HF FROST WHITE</t>
  </si>
  <si>
    <t>LEXAN 943A CLEAR</t>
  </si>
  <si>
    <t>UBE NYLON 1015GX78V</t>
  </si>
  <si>
    <t>899 9322107</t>
  </si>
  <si>
    <t>ELIUD ALVARADO ( SI EMPAQUES)</t>
  </si>
  <si>
    <t xml:space="preserve"> 9-25-98-21</t>
  </si>
  <si>
    <t>SIE 9-25-98-21</t>
  </si>
  <si>
    <t>HF-0660I G33992 CHARCOAL</t>
  </si>
  <si>
    <t>PERFORMANCE MASTERBATCH</t>
  </si>
  <si>
    <t xml:space="preserve">PIGMENT RENOL-BLANCO SB02613061-ZT </t>
  </si>
  <si>
    <t>JULIO DEL ANGEL</t>
  </si>
  <si>
    <t xml:space="preserve">(444) 411 62 42  </t>
  </si>
  <si>
    <t>Julio.Delangel@lyondellbasell.com</t>
  </si>
  <si>
    <t>KANEMATSU</t>
  </si>
  <si>
    <t>SOJITZ</t>
  </si>
  <si>
    <t>YASUYO OKUYAMA</t>
  </si>
  <si>
    <t>yokuyama@sojitz-plastics.com</t>
  </si>
  <si>
    <t>FOAMING AGENT ENDEX 1020 29W014</t>
  </si>
  <si>
    <t>PLASTIC TRAY WHITE 350MM X300MM X 110MM (FOR 24 PCS)</t>
  </si>
  <si>
    <t>PLASTIC RETURNABLE BOX VALEO NF241507AS</t>
  </si>
  <si>
    <t>FOAM TRAY 355MM X 265MM ( FOR 25 PCS) WHITE</t>
  </si>
  <si>
    <t xml:space="preserve">CHIPBOARD PAD 30 PTS  21 1/2" x 13"  </t>
  </si>
  <si>
    <t>CORRUGATED BOX 23 1/8" x 13 5/8" x 22 5/8"</t>
  </si>
  <si>
    <t>JULIO DE LA CRUZ</t>
  </si>
  <si>
    <t>81 8262 5200</t>
  </si>
  <si>
    <t>jdelacruz@uniformcolor.com</t>
  </si>
  <si>
    <t>LIP HING METAL MANUFACTURING</t>
  </si>
  <si>
    <t>KING LEE</t>
  </si>
  <si>
    <t>714- 928-1717</t>
  </si>
  <si>
    <t xml:space="preserve">king.lee@liphing.com </t>
  </si>
  <si>
    <t>DAVE SCHMITTING</t>
  </si>
  <si>
    <t>262-268-0200</t>
  </si>
  <si>
    <t>dave@bdsfastener.com</t>
  </si>
  <si>
    <t>Last modification date</t>
  </si>
  <si>
    <t>Last price</t>
  </si>
  <si>
    <t>PULSE 2000EZ NATURAL</t>
  </si>
  <si>
    <t xml:space="preserve">   GARRETT PETERS</t>
  </si>
  <si>
    <t>361-334-4975</t>
  </si>
  <si>
    <t>BALLYHOO PLASTICS</t>
  </si>
  <si>
    <t>Garrett@BallyhooPlastics.com</t>
  </si>
  <si>
    <t>ANGIE RAMIREZ DELGADO</t>
  </si>
  <si>
    <t xml:space="preserve">722-2548993 </t>
  </si>
  <si>
    <t>angeles.ramirez@basf.com</t>
  </si>
  <si>
    <t>ROMUALDO DE LA CRUZ</t>
  </si>
  <si>
    <t>Romualdo.DelaCruz@sbdinc.com</t>
  </si>
  <si>
    <t xml:space="preserve">PLASTIC RETURNABLE BOX VALEO NSO1512-05 </t>
  </si>
  <si>
    <t>PLASTIC TRAY (B) WHITE 350MM X300MM X 50MM (FOR 24 PCS)</t>
  </si>
  <si>
    <t>CHIPBOARD PAD 30 PTS  26 x 22 CM</t>
  </si>
  <si>
    <t>ALLE-100 DX9 BLACK LASERETCH S/B 2K</t>
  </si>
  <si>
    <t>JACK YANG</t>
  </si>
  <si>
    <t>81 13653086</t>
  </si>
  <si>
    <t>jack.yang3@akzonobel.com</t>
  </si>
  <si>
    <t>APC 300H00028 HARDENER MX NA</t>
  </si>
  <si>
    <t>APC SOLVENT VC009 NA 5 GAL PREH</t>
  </si>
  <si>
    <t>PLASTIC RETURNABLE BOX FOR PANEL (YELLOW)</t>
  </si>
  <si>
    <t>FILM</t>
  </si>
  <si>
    <t>GERGONNE</t>
  </si>
  <si>
    <t>FILM GERGONNE REF. 2671E3X_01 TRANSLUCID BLUE (26.7MM X 26.7MM X 0.07MM)</t>
  </si>
  <si>
    <t>EMMA ORDAZ</t>
  </si>
  <si>
    <t xml:space="preserve">81-2063-5446 </t>
  </si>
  <si>
    <t>e.ordaz@gergonne.mx</t>
  </si>
  <si>
    <t>MIRIAM UMANZOR</t>
  </si>
  <si>
    <t>216-571-2186</t>
  </si>
  <si>
    <t>mumanzor@kingfa.com</t>
  </si>
  <si>
    <t>HP-126-FMS4R-T0016 RED</t>
  </si>
  <si>
    <t>BAG NYLON 20 X 30 NATURAL C-200</t>
  </si>
  <si>
    <t>PIGMENT RENOL-GRIS NC71613053-ZT</t>
  </si>
  <si>
    <t xml:space="preserve">AUTRON 504BK 93 </t>
  </si>
  <si>
    <t>KIAN  WEE</t>
  </si>
  <si>
    <t>kianwee@boiln.com</t>
  </si>
  <si>
    <t>SHUMAN PC/ABS 310 BLACK</t>
  </si>
  <si>
    <t>KINGS YAO</t>
  </si>
  <si>
    <t>CHIPBOARD PAD 21 3/4 X 14 1/4</t>
  </si>
  <si>
    <t xml:space="preserve"> N</t>
  </si>
  <si>
    <t>ULTRAMID A3Z HP UV BLACK 23220</t>
  </si>
  <si>
    <t>DURACON M90-45 CD9300 BLACK</t>
  </si>
  <si>
    <t>956-572-1584</t>
  </si>
  <si>
    <t>PIGMENT 620970 BLACK</t>
  </si>
  <si>
    <t>CEW</t>
  </si>
  <si>
    <t>PIGMENT VCE11069UV HOP WHITE</t>
  </si>
  <si>
    <t>PE/PP</t>
  </si>
  <si>
    <t>CUSTOM ENGINEERED WHEELS, INC.</t>
  </si>
  <si>
    <t>GRACIELA GONZALEZ</t>
  </si>
  <si>
    <t xml:space="preserve">899 958-1793 </t>
  </si>
  <si>
    <t>graciela.gonzalez@cewmail.com</t>
  </si>
  <si>
    <t>AKULON K224-PG3 NATURAL</t>
  </si>
  <si>
    <t>HUB PRESS-IN NEW HUB60</t>
  </si>
  <si>
    <t>HUB75/EXT106</t>
  </si>
  <si>
    <t>HUB QIUCKIE ALUMINUM HUB47</t>
  </si>
  <si>
    <t>HUB ROOF 0.33IN PREC INDICATOR GROOVE HUB41</t>
  </si>
  <si>
    <t>CELANEX 2004-2 ED3807 BLACK</t>
  </si>
  <si>
    <t>THERMYLENE P-9900-1761</t>
  </si>
  <si>
    <t>x</t>
  </si>
  <si>
    <t>ZYTEL ST801AW BK195</t>
  </si>
  <si>
    <t>CUSTOMER PARTE NUMBER</t>
  </si>
  <si>
    <t>I31807</t>
  </si>
  <si>
    <t>I31762</t>
  </si>
  <si>
    <t>I31309</t>
  </si>
  <si>
    <t>I31760</t>
  </si>
  <si>
    <t>I31791</t>
  </si>
  <si>
    <t>I31355</t>
  </si>
  <si>
    <t xml:space="preserve">  </t>
  </si>
  <si>
    <t>AKULON K224-G3 BK25018</t>
  </si>
  <si>
    <t xml:space="preserve"> </t>
  </si>
  <si>
    <t>LYONDELLBASELL ADVANCED POLYMERS (A. SCHULMAN)</t>
  </si>
  <si>
    <t>INPAD</t>
  </si>
  <si>
    <t xml:space="preserve">THINNER 03-TPWC </t>
  </si>
  <si>
    <t>INK TPW 02-TPW-2035C RED</t>
  </si>
  <si>
    <t xml:space="preserve">HARDENER 03-TPWH500 </t>
  </si>
  <si>
    <t>AVIENT CORPORATION</t>
  </si>
  <si>
    <t xml:space="preserve">DIVIDER 6 ½ X 2 ½ X 1 1/8 </t>
  </si>
  <si>
    <t>PLASTIC</t>
  </si>
  <si>
    <t>AVIENT DISTRIBUTION</t>
  </si>
  <si>
    <t xml:space="preserve">RENOL BLACK SB92613039-ZT </t>
  </si>
  <si>
    <t>AVIENT COLORS</t>
  </si>
  <si>
    <t>CHROMA COLOR</t>
  </si>
  <si>
    <t>CHEVRON MARLEX 9018 HDPE</t>
  </si>
  <si>
    <t>HDPE</t>
  </si>
  <si>
    <t>HCP</t>
  </si>
  <si>
    <t>RETURNABLE TOTE BOX | HCP 2# | 57*37.5*23CM</t>
  </si>
  <si>
    <t>106-0850-06|601498 BAG CLEAR ANTI-STATIC|39X36X14 MICRON</t>
  </si>
  <si>
    <t xml:space="preserve">PINNACLE PP 1635 HOMOPOLYMER 35 MELT NATURAL </t>
  </si>
  <si>
    <t>334-9435-01 Badger Black PXC-0503843</t>
  </si>
  <si>
    <t>CRODA INCROSLIP SL-BE (HU) DJ08511/0025/F19/9</t>
  </si>
  <si>
    <t>SKYGREEN PETG K2012 CLEAR</t>
  </si>
  <si>
    <t>PETG</t>
  </si>
  <si>
    <t>300-3804-00|RESIN LUBRICANT ADDITIVE~ SUKANO S061</t>
  </si>
  <si>
    <t>PETG colorant NUDE 41 | CHEEKY LDR 33:1 | 7M7091 Primary</t>
  </si>
  <si>
    <t>42114510 Carton BOX 57*37.5*23CM</t>
  </si>
  <si>
    <t>Katalin.Carreto@Avient.com</t>
  </si>
  <si>
    <t>KATALIN CORRETO</t>
  </si>
  <si>
    <t>PEMARON 260G6HI YL21</t>
  </si>
  <si>
    <t>KIAN WEE</t>
  </si>
  <si>
    <t>INABATA</t>
  </si>
  <si>
    <t xml:space="preserve">INFINO SC-1102UR </t>
  </si>
  <si>
    <t>Atlas Polymer Inc</t>
  </si>
  <si>
    <t>Adtec Colorant Corporation</t>
  </si>
  <si>
    <t xml:space="preserve">INFINO SC-1220R </t>
  </si>
  <si>
    <t>6AC9-71409  Rich Red</t>
  </si>
  <si>
    <t>6AC0-22257 Black</t>
  </si>
  <si>
    <t>BOX 1010 X 1041 X 1114 32 C KRAFT</t>
  </si>
  <si>
    <t>PAD 1040 X 1000 SG C KRAFT</t>
  </si>
  <si>
    <t>CORBOX</t>
  </si>
  <si>
    <t>BISSELL</t>
  </si>
  <si>
    <t>BOX 272 X 215 X 155 32 C KRAFT</t>
  </si>
  <si>
    <t>BOX 12" X 16" X 8 1/4"</t>
  </si>
  <si>
    <t>BOX 11 5/8*7 15/16*5 5/16</t>
  </si>
  <si>
    <t>BOX 1010 * 1041 * 1114 32 C KRAFT</t>
  </si>
  <si>
    <t>PAD 1040 * 1000 SG C KRAFT</t>
  </si>
  <si>
    <t xml:space="preserve">Insert Stator Core 000 </t>
  </si>
  <si>
    <t>Insert Stator Core 001</t>
  </si>
  <si>
    <t>PC 141-112</t>
  </si>
  <si>
    <t>PP3B0BK- 1E8L9</t>
  </si>
  <si>
    <t>Acrylic (PMMA)   DF23 8N</t>
  </si>
  <si>
    <t>ZYTEL  ST801AW NC010</t>
  </si>
  <si>
    <t xml:space="preserve">CONTAINER (HDPE) 40"L X 48"W X 45"H </t>
  </si>
  <si>
    <t>LAYER DIVIDER PADS 45.2" x 37"</t>
  </si>
  <si>
    <t xml:space="preserve">PARTITION SET (30 INDIVIDUAL CELLS) 6.625" x 6.625" x 2.5" </t>
  </si>
  <si>
    <t>TOP CAP  (HDPE) 40" x 45"</t>
  </si>
  <si>
    <t>PALLET (HDPE) 40" x 48"</t>
  </si>
  <si>
    <t>RENOL BLACK SB94613043</t>
  </si>
  <si>
    <t>carolc@texcoresin.com</t>
  </si>
  <si>
    <t>Carol Combs</t>
  </si>
  <si>
    <t>110 LB</t>
  </si>
  <si>
    <t>HF-0660I /C83807 GRAY</t>
  </si>
  <si>
    <t>LPP10BD07HB-BK</t>
  </si>
  <si>
    <t>175 LB</t>
  </si>
  <si>
    <t>2 BOX</t>
  </si>
  <si>
    <t>IK INABATA MEXICO</t>
  </si>
  <si>
    <t>PAU ULTRAMID A4H BLACK</t>
  </si>
  <si>
    <t>60-4247 THERMPLASTIC VYDYNE 909 BLACK</t>
  </si>
  <si>
    <t>60-4250 VYDYNE 909 NATURAL (NYLON UNFILLED)</t>
  </si>
  <si>
    <t>THERMOPLASTIC AMODEL AFA6133</t>
  </si>
  <si>
    <t xml:space="preserve">FP63E33HBBK </t>
  </si>
  <si>
    <t>AMETEK</t>
  </si>
  <si>
    <t xml:space="preserve">PC+ABS </t>
  </si>
  <si>
    <t>ABS C2950HF 66615 RED CYCOLOY FR</t>
  </si>
  <si>
    <t>CYCOLOY LG9000-700734 BK1044</t>
  </si>
  <si>
    <t>KINGFA</t>
  </si>
  <si>
    <t>ABS KingFa HF-630-EN</t>
  </si>
  <si>
    <t xml:space="preserve">ABS </t>
  </si>
  <si>
    <t>RETURNABLE PLASTIC BOX</t>
  </si>
  <si>
    <t>RENOL-ROJO NC32613036-ZT</t>
  </si>
  <si>
    <t>Nylon 66</t>
  </si>
  <si>
    <t>TORAY RESIN MEXICO</t>
  </si>
  <si>
    <t>FR530BK507 RYNITE FR530 POLYESTER</t>
  </si>
  <si>
    <t>AMILAN CM3004-V0 NAT</t>
  </si>
  <si>
    <t>LG LUPOY GN5001RFL_KA02*350</t>
  </si>
  <si>
    <t>NAGASE WAHLEE PLASTIC</t>
  </si>
  <si>
    <t>CHICONY</t>
  </si>
  <si>
    <t>Nylon 66-25%GF</t>
  </si>
  <si>
    <t>VYDYNE R525J NT0721</t>
  </si>
  <si>
    <t>ANTICORROSIVO</t>
  </si>
  <si>
    <t xml:space="preserve">NIDEC MOTOR CORP. SPEC L04D                </t>
  </si>
  <si>
    <t>ENGINEERED LUBRICANTS</t>
  </si>
  <si>
    <t>QT</t>
  </si>
  <si>
    <t>NIDEC</t>
  </si>
  <si>
    <t>PA 66 14%</t>
  </si>
  <si>
    <t>KNAPE</t>
  </si>
  <si>
    <t>8500-8TW FELT CUSHION</t>
  </si>
  <si>
    <t>MARIAN CHICAGO</t>
  </si>
  <si>
    <t>PC LEXAN CFR9712</t>
  </si>
  <si>
    <t>MAKROLON 6455-551045 CLR.</t>
  </si>
  <si>
    <t>INVISTA AP 6106-HS PDAP6106HS60</t>
  </si>
  <si>
    <t>NETAFIM</t>
  </si>
  <si>
    <t>AP</t>
  </si>
  <si>
    <t>ZYTEL 8018HS BKB085 - Nylon 66</t>
  </si>
  <si>
    <t>ULTRADUR TYP B4300G6 SCHWARZ 5110</t>
  </si>
  <si>
    <t>CMPL4X6AKCL600</t>
  </si>
  <si>
    <t>1501945-34-A</t>
  </si>
  <si>
    <t>1501946-00-B</t>
  </si>
  <si>
    <t>SPIROL M4X6</t>
  </si>
  <si>
    <t>1407025-A</t>
  </si>
  <si>
    <t>1407025-B</t>
  </si>
  <si>
    <t>1407025-C</t>
  </si>
  <si>
    <t>1407025-D</t>
  </si>
  <si>
    <t>FAN INSERT METAL N541865</t>
  </si>
  <si>
    <t>TERM OF
PAYMENTS</t>
  </si>
  <si>
    <t>ASA CLEAN (ASAHI KASEI)</t>
  </si>
  <si>
    <t>CORRUGATED BOX METHOD 24''X 14'' X 5''</t>
  </si>
  <si>
    <t xml:space="preserve">PARTITION METHODE 4 X6 </t>
  </si>
  <si>
    <t>BOX COVER 28*15*3 METHODE</t>
  </si>
  <si>
    <t>BAG ESD METHODE 13'' X 7''</t>
  </si>
  <si>
    <t>BAG ESD TRANSPARENT METHODE 28'' X 14''</t>
  </si>
  <si>
    <t>PCS</t>
  </si>
  <si>
    <t>EMiramontes@AmcoPolymers.com
toliva@amcopolymers.com</t>
  </si>
  <si>
    <t>brianh@all-res.com</t>
  </si>
  <si>
    <t xml:space="preserve">Brian Hong </t>
  </si>
  <si>
    <t>SEMCSCENTRAL@Avient.com</t>
  </si>
  <si>
    <t>Dave</t>
  </si>
  <si>
    <t>Kian Wee</t>
  </si>
  <si>
    <t>NEWELL</t>
  </si>
  <si>
    <t>INEOS LUSTRAN 31</t>
  </si>
  <si>
    <t>PIGMENTO RENOL BK (4%)</t>
  </si>
  <si>
    <t>BUSBAR, B-PHASE (1501945-34-A)</t>
  </si>
  <si>
    <t>BUSBAR, C-PHASE (1501946-00-B)</t>
  </si>
  <si>
    <t>jhong@ewcomponents.com</t>
  </si>
  <si>
    <t>John Hong</t>
  </si>
  <si>
    <t>cperez@marianchicago.com
dpatel@marianchicago.com</t>
  </si>
  <si>
    <t>klavertue@prlresins.com</t>
  </si>
  <si>
    <t>860-751-7938</t>
  </si>
  <si>
    <t>RTP COMPANY</t>
  </si>
  <si>
    <t>CBentrim@pemnet.com</t>
  </si>
  <si>
    <t>215-766-8853 ext. 1178</t>
  </si>
  <si>
    <t>PS-PLUS PURGA QUIMICA</t>
  </si>
  <si>
    <t>PURGE ULTRAPLAST MEXICO</t>
  </si>
  <si>
    <t>CLASE</t>
  </si>
  <si>
    <t>GIRO</t>
  </si>
  <si>
    <t>CERTIFICADO
(ISO 9001-2015)</t>
  </si>
  <si>
    <t>CERTIFICADO
(IATF 16949-2016)</t>
  </si>
  <si>
    <t>NOMBRE DEL PROVEEDOR</t>
  </si>
  <si>
    <t>CONTACTO</t>
  </si>
  <si>
    <t>A</t>
  </si>
  <si>
    <t>B</t>
  </si>
  <si>
    <t>No Automotriz</t>
  </si>
  <si>
    <t>TELEFONO / FAX</t>
  </si>
  <si>
    <t>CORREO</t>
  </si>
  <si>
    <t>(81) 3145 5707</t>
  </si>
  <si>
    <t>dlopez@methode.com</t>
  </si>
  <si>
    <t>Automotriz</t>
  </si>
  <si>
    <t>'KingYao-Vicky Huang' &lt;vicky@kingyao.com&gt;</t>
  </si>
  <si>
    <t>FECHA DE EXP
(M/D/A)</t>
  </si>
  <si>
    <t>Wellamid® GF33-66 XE-NBK1</t>
  </si>
  <si>
    <t>PRET Advanced Materials, LLC.</t>
  </si>
  <si>
    <t>ABC MG47 BK4500 BK CYCOLAC BAG107- 697400</t>
  </si>
  <si>
    <t>Arturo López</t>
  </si>
  <si>
    <t>52 442 338 0556</t>
  </si>
  <si>
    <t>Arturo.Lopez@PRETgroup.com</t>
  </si>
  <si>
    <t>Jimmy Park 
Moonhyun Kim (Luna)</t>
  </si>
  <si>
    <t xml:space="preserve">
734-217-7920</t>
  </si>
  <si>
    <t>jimmy.park@lotte.net
Moonhyun_Kim@lotte.net</t>
  </si>
  <si>
    <t>INSERTS REUSABLE (017779-000-000)</t>
  </si>
  <si>
    <t>SHIPPER, BOX SMALL (017415-001-000)</t>
  </si>
  <si>
    <t>INSERT A, CORRUGATED (066913-000-000)</t>
  </si>
  <si>
    <t>SHIPPER, CORRUGATED (066912-000-000)</t>
  </si>
  <si>
    <t>Production</t>
  </si>
  <si>
    <t>Transit</t>
  </si>
  <si>
    <t>Total</t>
  </si>
  <si>
    <t>LEAD TIME (Weeks)</t>
  </si>
  <si>
    <t xml:space="preserve">REMAFIN-NEGRO PE-120-USA </t>
  </si>
  <si>
    <t xml:space="preserve">FR3010HF-301648 Red </t>
  </si>
  <si>
    <t>ENTEC POLYMERS</t>
  </si>
  <si>
    <t>N019341, N036359, N036360, N092254</t>
  </si>
  <si>
    <t>SAN</t>
  </si>
  <si>
    <t>FORMERRA</t>
  </si>
  <si>
    <t>AVIENT COLORANTS MX, S.A DE C.V.</t>
  </si>
  <si>
    <t>CHROMA COLOR CORPORATION</t>
  </si>
  <si>
    <t xml:space="preserve">장영찬-YC Jang &lt;jangmara@krkeeper.com&gt; </t>
  </si>
  <si>
    <t xml:space="preserve">Jang </t>
  </si>
  <si>
    <t>KOREA KEEPER CO</t>
  </si>
  <si>
    <t>POLYMER RESOURCES LTD.</t>
  </si>
  <si>
    <t>RUSKIN</t>
  </si>
  <si>
    <t>SMP</t>
  </si>
  <si>
    <t>Notes</t>
  </si>
  <si>
    <t>Varios</t>
  </si>
  <si>
    <t>Status</t>
  </si>
  <si>
    <t>Activo</t>
  </si>
  <si>
    <t xml:space="preserve">HSC 45 x 45 x 44" 42 BC Kraft </t>
  </si>
  <si>
    <t xml:space="preserve">Cecilia Guo </t>
  </si>
  <si>
    <t xml:space="preserve">cecilia.guo@liphing.com </t>
  </si>
  <si>
    <t>V826-58208 (black)     </t>
  </si>
  <si>
    <t>PMMA</t>
  </si>
  <si>
    <t xml:space="preserve">PP-TC15G80 BK001 </t>
  </si>
  <si>
    <t>PA6+30%GF</t>
  </si>
  <si>
    <t>CIA = 0</t>
  </si>
  <si>
    <t>PEPS BUTTON</t>
  </si>
  <si>
    <t>Karen Espinoza</t>
  </si>
  <si>
    <t>PEMARON 260G6HI 91BK</t>
  </si>
  <si>
    <t>Acrylite ® 8N Plus Black 9B8 (9V060)</t>
  </si>
  <si>
    <t>Methacrylate Chemicals Roehm Mexico, S.A de C.V</t>
  </si>
  <si>
    <t>REGENT PRECISION METAL PRODUCTS LIMITED</t>
  </si>
  <si>
    <t>PA6-G30 KA501 RED</t>
  </si>
  <si>
    <t>INSERT WHITE PLATING ZING M5X0.8 (695506001)</t>
  </si>
  <si>
    <t>Min</t>
  </si>
  <si>
    <t>Max</t>
  </si>
  <si>
    <t>ABF-0200HF F44509 RED</t>
  </si>
  <si>
    <t>SUPPLIER / Distributor</t>
  </si>
  <si>
    <t>DDL Industries</t>
  </si>
  <si>
    <t>TINTA TPU MARABU 970 BLANCO 1K</t>
  </si>
  <si>
    <t>TAMPOMEX</t>
  </si>
  <si>
    <t>ENDURECEDOR MARABU H1 100 ML</t>
  </si>
  <si>
    <t>THINNER TPV 1L MARABU</t>
  </si>
  <si>
    <t>CELCON WR90Z CD32403 BLACK (131309 Black (POM) ACETAL POLYMER)</t>
  </si>
  <si>
    <t xml:space="preserve">131760 PRO-FAX 7523 NAT </t>
  </si>
  <si>
    <t>Bamberger Amco Polymers</t>
  </si>
  <si>
    <t>WINTECH</t>
  </si>
  <si>
    <t>PC 943A 116 NAT LEXAN BOX200</t>
  </si>
  <si>
    <t xml:space="preserve">BECKY BAUER  
SANDY MARTIN  </t>
  </si>
  <si>
    <t xml:space="preserve">908-930-2710
609-397-6323  </t>
  </si>
  <si>
    <t>anna_carter@nexeoplastics.com
apereira@nexeoplastics.com</t>
  </si>
  <si>
    <t>5075B_8384K</t>
  </si>
  <si>
    <t>CONVENTUS POLYMERS de Mexico</t>
  </si>
  <si>
    <t>Gerardo López Kuri</t>
  </si>
  <si>
    <t>glopezkuri@conventuspolymers.com</t>
  </si>
  <si>
    <t>A218V30 Black</t>
  </si>
  <si>
    <t>SANTOPRENE 101-64</t>
  </si>
  <si>
    <t>ANTECH</t>
  </si>
  <si>
    <t>BKV30H2.0 Black</t>
  </si>
  <si>
    <t>PP Repro Black</t>
  </si>
  <si>
    <t>JH820-M10 NC006</t>
  </si>
  <si>
    <t>PA6-G30 KA884 BK</t>
  </si>
  <si>
    <t>Methode Stellantis</t>
  </si>
  <si>
    <t>INSERT BLACK Zn- PLATING 637351002</t>
  </si>
  <si>
    <t>Angel Chen总经理秘书</t>
  </si>
  <si>
    <t>0769-85909280-828</t>
  </si>
  <si>
    <t>METHODE TESLA</t>
  </si>
  <si>
    <t>Methode FORD</t>
  </si>
  <si>
    <t>Roehm Chemical (Shanghai) Co., Ltd</t>
  </si>
  <si>
    <t>Milwaukee</t>
  </si>
  <si>
    <t>China</t>
  </si>
  <si>
    <t>MPIF FC-0208 DENSITY: 6.4-6.8 GM/CC 695955001</t>
  </si>
  <si>
    <t>PA66 T303 25GF VO BK</t>
  </si>
  <si>
    <t>(PAD) 70 X 40 32 C KRAFT</t>
  </si>
  <si>
    <t>(RSC) 70 X 40 X 33 44 C KRAFT</t>
  </si>
  <si>
    <t>Uniform Color (UCC)</t>
  </si>
  <si>
    <t>Suzhou Jinding Metalúrgico Co., Ltd.</t>
  </si>
  <si>
    <t>Guangdong HTASO New Materials Technology Co., Ltd</t>
  </si>
  <si>
    <t>HW631 (CRN)</t>
  </si>
  <si>
    <t>HW631 (NJR)</t>
  </si>
  <si>
    <t>HT641(CRN)</t>
  </si>
  <si>
    <t>GRAY, PANT427C</t>
  </si>
  <si>
    <t>Celcon M270 (Acetal M270Nat)</t>
  </si>
  <si>
    <t>Valox 357N (Valox 357N/G281781/Mix)</t>
  </si>
  <si>
    <t>SCHNEIDER</t>
  </si>
  <si>
    <t>Li Yan (MISS)</t>
  </si>
  <si>
    <t xml:space="preserve">edgar_avalon@outlook.com&gt; </t>
  </si>
  <si>
    <t>Edgar Avalon</t>
  </si>
  <si>
    <t>service@h-taso.com</t>
  </si>
  <si>
    <t>DORMAKABA</t>
  </si>
  <si>
    <t>NOMEX LABEL</t>
  </si>
  <si>
    <t>GT 75 IT NNB - RESIN</t>
  </si>
  <si>
    <t>HW631 B4009 (CRN)</t>
  </si>
  <si>
    <t>HW631 74006M (DFS)</t>
  </si>
  <si>
    <t>HT641 B4009 (CRN)</t>
  </si>
  <si>
    <t>HT641 74006M (DFS)</t>
  </si>
  <si>
    <t>HW631 8117 (RBQ)</t>
  </si>
  <si>
    <t>HT611 74006M (DFS)</t>
  </si>
  <si>
    <t>HT611 B4009 (CRN)</t>
  </si>
  <si>
    <t>5075B_8384K Alterna</t>
  </si>
  <si>
    <t xml:space="preserve">PC PBT 357 1001 NAT VALOX </t>
  </si>
  <si>
    <t>HT641 8117(BK/RBQ)</t>
  </si>
  <si>
    <t>ARC Resin Corp</t>
  </si>
  <si>
    <t>BOX - MS (RSC) 2360 X 862 44 C KRAFT</t>
  </si>
  <si>
    <t>PAD - MS (PAD) 622 X 470 32 C KRAFT</t>
  </si>
  <si>
    <t>PENDING</t>
  </si>
  <si>
    <t>PTN - MS (PTN) 622 X 516 X 155 32 C KRAFT</t>
  </si>
  <si>
    <t>Bolsa Tela Blanca 22 1/2 x 6 1/2"</t>
  </si>
  <si>
    <t>Amber Mastantuono
Patti Schwendeman</t>
  </si>
  <si>
    <t>BOX 40 X 74 X 11</t>
  </si>
  <si>
    <t>PAD 40 X 74</t>
  </si>
  <si>
    <t>W 22 cm x H 40 cm Foam</t>
  </si>
  <si>
    <t>CELCON ACETAL M90 NAT</t>
  </si>
  <si>
    <t>ACETAL M270BK</t>
  </si>
  <si>
    <t>RYTON R4200BK</t>
  </si>
  <si>
    <t>HSC 45 x 45 x 40" 48 BC Kraft, Faja de reforzamiento 45 x 40" 48 BC Kraft &amp; Tapa 44 1/2 x 44 1/2" 32 C Kraft</t>
  </si>
  <si>
    <t xml:space="preserve">PA66 GS-51 BK NYLATRON </t>
  </si>
  <si>
    <t>Tampico</t>
  </si>
  <si>
    <t>USA/MEX</t>
  </si>
  <si>
    <t>Altamira</t>
  </si>
  <si>
    <t>MX</t>
  </si>
  <si>
    <t>Origen</t>
  </si>
  <si>
    <t>WINTECH KOREA</t>
  </si>
  <si>
    <t>Comercializadora Matsa</t>
  </si>
  <si>
    <t>Volkert Precision</t>
  </si>
  <si>
    <t>South Korea</t>
  </si>
  <si>
    <t>COO USA</t>
  </si>
  <si>
    <t>WINONA</t>
  </si>
  <si>
    <t xml:space="preserve">OHIO, USA </t>
  </si>
  <si>
    <t>COVESTRO BAYBLEND FR 110 PC/ABS BLEND</t>
  </si>
  <si>
    <t>Guangdong, China</t>
  </si>
  <si>
    <t>Republic of Korea</t>
  </si>
  <si>
    <t>S. Korea</t>
  </si>
  <si>
    <t>Liaoning, China</t>
  </si>
  <si>
    <t>Suzhou, China</t>
  </si>
  <si>
    <t>Germany</t>
  </si>
  <si>
    <t>Taiwan</t>
  </si>
  <si>
    <t>Pigmento gray</t>
  </si>
  <si>
    <t>Pigmento blue</t>
  </si>
  <si>
    <t>10S91VE6 COOL GRAY</t>
  </si>
  <si>
    <t>VYDYNE PA66</t>
  </si>
  <si>
    <t>Polyamide 66</t>
  </si>
  <si>
    <t>PA6-GF15</t>
  </si>
  <si>
    <t>ASA</t>
  </si>
  <si>
    <t>PA 6</t>
  </si>
  <si>
    <t>PA 66</t>
  </si>
  <si>
    <t>PP3B0</t>
  </si>
  <si>
    <t>P66</t>
  </si>
  <si>
    <t>PS</t>
  </si>
  <si>
    <t>PBT </t>
  </si>
  <si>
    <t>PA66/6</t>
  </si>
  <si>
    <t>PBT+PC</t>
  </si>
  <si>
    <t>Rio Bravo, MX</t>
  </si>
  <si>
    <t>CA</t>
  </si>
  <si>
    <t>HW631 54015 NJR</t>
  </si>
  <si>
    <t>HW631 73013 EMA</t>
  </si>
  <si>
    <t>50 KG</t>
  </si>
  <si>
    <t>Preh Mexico</t>
  </si>
  <si>
    <t>V825-58208 (black)     </t>
  </si>
  <si>
    <t>TRINSEO</t>
  </si>
  <si>
    <t>INSERT FRAC-250</t>
  </si>
  <si>
    <t>SABIC NORYL GFN2</t>
  </si>
  <si>
    <t xml:space="preserve">DELRIN 500CL </t>
  </si>
  <si>
    <t>CNM270CD3068 CEL CELCON ACE BK</t>
  </si>
  <si>
    <t>郑仕华</t>
  </si>
  <si>
    <t>zsh@szjdyj.com</t>
  </si>
  <si>
    <t>706 333 5347</t>
  </si>
  <si>
    <t xml:space="preserve">Chris Stoehr </t>
  </si>
  <si>
    <t>Sun Luen (HK) Metal Manufactory Co</t>
  </si>
  <si>
    <t>TPE-360D002 BLK</t>
  </si>
  <si>
    <t>AUDIA</t>
  </si>
  <si>
    <t>Supplier Audir
New supplier</t>
  </si>
  <si>
    <t>OK</t>
  </si>
  <si>
    <t>PC REGRINDED FOR JIGS (Inventary RED)</t>
  </si>
  <si>
    <t>Verónica Bustos Rivera</t>
  </si>
  <si>
    <t>STRETCH FILM 20 X 5000 GA 60 PCM</t>
  </si>
  <si>
    <t>ESQUINERO CARTON</t>
  </si>
  <si>
    <t>FLEJES SULTANA</t>
  </si>
  <si>
    <t>PBT 420 BK1066 BK VALOX BOX200</t>
  </si>
  <si>
    <t>ULTRAMID B3ZG6 GB16616-N  (Yellow) ES283 CAD FREE</t>
  </si>
  <si>
    <t xml:space="preserve">ULTRAMID B3ZG6 GY7639                                                 </t>
  </si>
  <si>
    <t>MEXICO</t>
  </si>
  <si>
    <t>TARIMA 40 X 48 CLASE A (NETAFIM)</t>
  </si>
  <si>
    <t>30S81V0T Sand PP QAWI-036</t>
  </si>
  <si>
    <t>Litro</t>
  </si>
  <si>
    <t>PIGMENT 80-6257218NE Red</t>
  </si>
  <si>
    <t>ONCOLOR AMARILLO SB12613045-ZT</t>
  </si>
  <si>
    <t>ONCOLOR AMARILLO MO12613014-ZT</t>
  </si>
  <si>
    <t>sarahi.castro1@sabic.com
myrna.suarez@sabic.com</t>
  </si>
  <si>
    <t>service@h-taso.com
钟柳新 &lt;liuxin.zhong@h-taso.com&gt;</t>
  </si>
  <si>
    <t>Terluran® GP-22 NR 726KG BOX</t>
  </si>
  <si>
    <t>INEOS Styrolution Mexicana,
S.A. de C.V.</t>
  </si>
  <si>
    <t>3500295 3500296</t>
  </si>
  <si>
    <t>3500331 - 336</t>
  </si>
  <si>
    <t>Duracon M25-44 CF2001 (Natural)</t>
  </si>
  <si>
    <t>Promaplast Resinas SA de CV (IMCD COMPANY)</t>
  </si>
  <si>
    <t>Proveedora de Materiales Plásticos S.A. de C.V. (IMCD COMPANY)</t>
  </si>
  <si>
    <t>OMNICOLOR UN0055P (OC9UFA)(461491TVR)</t>
  </si>
  <si>
    <t>Eva Aviles</t>
  </si>
  <si>
    <t>248-620-8802</t>
  </si>
  <si>
    <t>COMPONENT 660579001 (HBI59-1) UNC6-32 SCREW</t>
  </si>
  <si>
    <t>3500331 - 3500336</t>
  </si>
  <si>
    <t>BLENDED PURGE (UCClean G1)</t>
  </si>
  <si>
    <t>APODACA NL</t>
  </si>
  <si>
    <t>Taiwan, China</t>
  </si>
  <si>
    <t>ADDB-167
ADDA-290-1</t>
  </si>
  <si>
    <t>LCSR-27</t>
  </si>
  <si>
    <t>Estatus</t>
  </si>
  <si>
    <t>ONCOLOR GRIS NB73613024-ZT</t>
  </si>
  <si>
    <t>Katya González</t>
  </si>
  <si>
    <t xml:space="preserve">katya.gonzalez@nagase.com.mx </t>
  </si>
  <si>
    <t>ARC60G33-BK</t>
  </si>
  <si>
    <t>NYLON 6 33%</t>
  </si>
  <si>
    <t>Insert</t>
  </si>
  <si>
    <t>LOTTE Chemical California, Inc.</t>
  </si>
  <si>
    <t>630 909 4577</t>
  </si>
  <si>
    <t>VALLEY Plastics &amp; Paper Recycling</t>
  </si>
  <si>
    <t>INSERT MOTOR BLOCK FEED - THRC TERMINAL "NUEVO DISEÑO"</t>
  </si>
  <si>
    <t>PC/ABS REGRIND</t>
  </si>
  <si>
    <t>Supplier confirms that they cannot complete forms</t>
  </si>
  <si>
    <t>Maria Magdalena Mojica Gomez
Carmina Tapia</t>
  </si>
  <si>
    <t xml:space="preserve"> maria-magdalena.mojica@basf.com
carmina.tapia@basf.com</t>
  </si>
  <si>
    <t>Texas Tool Company</t>
  </si>
  <si>
    <t>Taiwán</t>
  </si>
  <si>
    <t>Escocia, Reino Unido</t>
  </si>
  <si>
    <t>A16382F5TE</t>
  </si>
  <si>
    <t>10436452-00 Corr, 23.63x22.13x8.63,44ECT</t>
  </si>
  <si>
    <t>10440731-00 Tray,23.3x11.1.96,PET,CAL4</t>
  </si>
  <si>
    <t>10494756-00 Bag,61 38x76.5cm,VCI,CAL300</t>
  </si>
  <si>
    <t>Mholland</t>
  </si>
  <si>
    <t>ONCOLOR BLACK/FIX/PBT (CC10320891WE) Colorante 01-61-02870- 1</t>
  </si>
  <si>
    <t>Alandro Plastic Resources LLC</t>
  </si>
  <si>
    <t>Sherri.brown@teknorapex.com
egarza@teknorapex.com</t>
  </si>
  <si>
    <t>LIVEWIRE</t>
  </si>
  <si>
    <t>WOORI</t>
  </si>
  <si>
    <t>ANTICORROSIVE</t>
  </si>
  <si>
    <t>PACKING</t>
  </si>
  <si>
    <t>ONCOLOR AZUL AB52613050-ZT</t>
  </si>
  <si>
    <t>ALLEN WRENCHES BY DISK CUT OFF AND DEBUR CLEAN. LEAVE AT 50.0MM LONG</t>
  </si>
  <si>
    <t>Gil Peña</t>
  </si>
  <si>
    <t>Gil Peña  &lt;gil.pena@izvory.com&gt;</t>
  </si>
  <si>
    <t>899 460 1433</t>
  </si>
  <si>
    <t>ULTRAMID* 2710HI BLACK POLYAMIDE</t>
  </si>
  <si>
    <t>LEXAN FR 925-701 Black</t>
  </si>
  <si>
    <t>Noryl N190X</t>
  </si>
  <si>
    <t>PPO</t>
  </si>
  <si>
    <t>Arnitel</t>
  </si>
  <si>
    <t>ABS Resin_HF-06601_NP</t>
  </si>
  <si>
    <t>Celso Palomar &lt;cpalomar@kingfa.com.cn&gt;</t>
  </si>
  <si>
    <t>55 2968 4274</t>
  </si>
  <si>
    <t>NAGASE ENTERPRISE MEXICO</t>
  </si>
  <si>
    <t>Jenny Marsala</t>
  </si>
  <si>
    <t>314-872-9540 ext. 3036</t>
  </si>
  <si>
    <t>MASTER BOX 451X411X444 32 ECT C (FCST: 35000)</t>
  </si>
  <si>
    <t>PARTITION SET 440X400X215 32 ECT C (FCST: 95000)</t>
  </si>
  <si>
    <t>CARTON PAD 407X447 32 ECT C ( FCST: 72000 )</t>
  </si>
  <si>
    <t>Akulon K224-LGM35\BK9717\OFX</t>
  </si>
  <si>
    <t>Hi-Tech Fasteners, Inc.</t>
  </si>
  <si>
    <t>TW</t>
  </si>
  <si>
    <t>Nuevo</t>
  </si>
  <si>
    <t>Hi-Tech Fasteners, Inc</t>
  </si>
  <si>
    <t>Lindsey Tucker</t>
  </si>
  <si>
    <t>(301) 831-1277 x127</t>
  </si>
  <si>
    <t>Albea</t>
  </si>
  <si>
    <t>Pigmento- PVC 0125359AB  PURPLE PP/PCR</t>
  </si>
  <si>
    <t>Pigmento- PGC 0088682DM  TRANS GREEN CL PP</t>
  </si>
  <si>
    <t>Pigmento- PRC 0116230E  CREAMY CORAL (WN)</t>
  </si>
  <si>
    <t>Pigmento- PTC 0115364  BLUSHING NUDE BROWN (WN)</t>
  </si>
  <si>
    <t>Pigmento- PMC 0503773 #12494 GOLD PEARL FDA</t>
  </si>
  <si>
    <t>Pigmento- PMC 0120261L CERAVE FLUORESCENT PURPLE PEARL</t>
  </si>
  <si>
    <t>Pigmento- PMC 0118322 ALBEA GOLD PEARL</t>
  </si>
  <si>
    <t>Pigmento- PRA 4442 2705 ULTRA-TRANS RED</t>
  </si>
  <si>
    <t>Pigmento- PMC 0111299L #5720OU02-V3 SILVER GREY PP</t>
  </si>
  <si>
    <t>Pigmento- PRC 0116231E TULLE RED (WN)</t>
  </si>
  <si>
    <t>BADGER COLOR USA</t>
  </si>
  <si>
    <t>EL630-08\NA99001\71103 Arnitel® Co-Polyester Elastomer 58 Shore D COPE, Injection Molding Grade,
Natural</t>
  </si>
  <si>
    <t xml:space="preserve">Ashley Bystrek </t>
  </si>
  <si>
    <t>262-363-5710</t>
  </si>
  <si>
    <t>Gerardo Garza  </t>
  </si>
  <si>
    <t xml:space="preserve">210-238-3138  </t>
  </si>
  <si>
    <t>gerardo.garza@mholland.com</t>
  </si>
  <si>
    <t xml:space="preserve">PENNCOLOR </t>
  </si>
  <si>
    <t>Evelyn Beltrán</t>
  </si>
  <si>
    <t>446-120-2823</t>
  </si>
  <si>
    <t>ebeltran@penncolor.com</t>
  </si>
  <si>
    <t>UCClean G1 BLENDED PURGE</t>
  </si>
  <si>
    <t>52530512 Ultramid® B3GM35 BK Q642 23220</t>
  </si>
  <si>
    <t>PSW</t>
  </si>
  <si>
    <t>Luran S 777K UV BK61066GM</t>
  </si>
  <si>
    <t>mhinojosa@woori-usa.com</t>
  </si>
  <si>
    <t>Marco Hinojosa</t>
  </si>
  <si>
    <t>11-000-000-021 i-OnColor ABS 1002 BK112</t>
  </si>
  <si>
    <t>Orion Performance Compounds</t>
  </si>
  <si>
    <t>PA6</t>
  </si>
  <si>
    <t>Trexprene A70CI-HF 103H Backen Black</t>
  </si>
  <si>
    <t>General Polymers</t>
  </si>
  <si>
    <t>JCI WICHITA</t>
  </si>
  <si>
    <t>ABS Negro Repro - Negro – REA91</t>
  </si>
  <si>
    <t>USD</t>
  </si>
  <si>
    <t>equal 1109127
Covestro -to- Mholland
USD</t>
  </si>
  <si>
    <t>Covestro -a- Mholland
USD</t>
  </si>
  <si>
    <t>QT = 0.946 lt
USD</t>
  </si>
  <si>
    <t>PESOS</t>
  </si>
  <si>
    <t>1075 Steel RC 48/51
USD</t>
  </si>
  <si>
    <t>Covestro -to- Mholland
USD</t>
  </si>
  <si>
    <t>JCI Reynosa</t>
  </si>
  <si>
    <t>EX9414T-8TB1259X   (SABIC)</t>
  </si>
  <si>
    <t>POLABOND-6041-70A  (RTP)</t>
  </si>
  <si>
    <t>EXL9330-BK1B331 (SABIC)  //  LEXAN EXL9330, COLOR: BK1B331 (GE PLASTICS)</t>
  </si>
  <si>
    <t>M90NAT CF2001  (Hoescht Celenese Corp.)</t>
  </si>
  <si>
    <t>#JCI 01-61-1440
USD</t>
  </si>
  <si>
    <t>PP+Bio PE Compound</t>
  </si>
  <si>
    <t>PE Compound</t>
  </si>
  <si>
    <t>RFID COVERSAFFIRE LX-D 55.5 x 131mm</t>
  </si>
  <si>
    <t xml:space="preserve">CCL Design </t>
  </si>
  <si>
    <t xml:space="preserve">Sauceda, Luis </t>
  </si>
  <si>
    <t>lsauceda@cclind.com</t>
  </si>
  <si>
    <t>CCL Design UK Mexico / Worldmark UK Limited</t>
  </si>
  <si>
    <t>Juan Manuel Moreno
Vianey Albarran</t>
  </si>
  <si>
    <t>JuanManuel.Moreno@avient.com
vianey.albarran@avient.com</t>
  </si>
  <si>
    <t>PP/EPDM</t>
  </si>
  <si>
    <t>INEOS Olefins &amp; Polymers USA</t>
  </si>
  <si>
    <t>SILVER GREY ANC1892WW</t>
  </si>
  <si>
    <t>C00501 M4-338 RED</t>
  </si>
  <si>
    <t>1155072 M4-338 SILVER GREY</t>
  </si>
  <si>
    <t xml:space="preserve"> LT BLUE PBC97178DM</t>
  </si>
  <si>
    <t xml:space="preserve"> GREY PEARL PMC01214056</t>
  </si>
  <si>
    <t>TRANS TUBE PMC0135516E</t>
  </si>
  <si>
    <t>Ashley Groves</t>
  </si>
  <si>
    <t>ONCOLOR AMARILLO SB13613050-ZT</t>
  </si>
  <si>
    <t>11-000-000-032 i-OnColor ABS 1002 GY131</t>
  </si>
  <si>
    <t>Resin PC Natural
MAKROLON_6485 (BAYER MATERIALSCIENCE - POLYCARBONATES)</t>
  </si>
  <si>
    <t>C2950HF-BR8002 (SABIC)  //   
CYCOLOY C2950HF, COLOR BR8002  (GE PLASTICS)</t>
  </si>
  <si>
    <t>EXL9330-WH8C318</t>
  </si>
  <si>
    <t>RESIN, THERMOPLASTIC POLYESTER, PET, 30
RYNITE FR530 BK50710  (DUPONT)</t>
  </si>
  <si>
    <t>Pigmento- Std Black PE (62B5773) P0124050649</t>
  </si>
  <si>
    <t>CC1035919260 Blue (AVIENT)</t>
  </si>
  <si>
    <t>Ventas2@publipak.com</t>
  </si>
  <si>
    <t>Raul Ramirez</t>
  </si>
  <si>
    <t>868 170 6594</t>
  </si>
  <si>
    <t>SILVER CERAVE PMC0127065</t>
  </si>
  <si>
    <t>Compression Limiter</t>
  </si>
  <si>
    <t>Pending</t>
  </si>
  <si>
    <t>9:34 AM9:34 AM</t>
  </si>
  <si>
    <t>80-9257218NF BLACK</t>
  </si>
  <si>
    <t>7180256 Blue White PE MB</t>
  </si>
  <si>
    <t>AMPACET</t>
  </si>
  <si>
    <t>CERTIFICACION</t>
  </si>
  <si>
    <t>SI</t>
  </si>
  <si>
    <t>Sunghwan An</t>
  </si>
  <si>
    <t xml:space="preserve">Marco Rebollo </t>
  </si>
  <si>
    <t>Beth Bodine</t>
  </si>
  <si>
    <t>Garrett Peters</t>
  </si>
  <si>
    <t>Enrique Miramontes</t>
  </si>
  <si>
    <t>Clarisa Perez 
DEVANG PATEL</t>
  </si>
  <si>
    <t xml:space="preserve">Daniel Alejandro Lopez </t>
  </si>
  <si>
    <t>Anna Carter 
Adolfo Pereira</t>
  </si>
  <si>
    <t xml:space="preserve">Chris Bentrim </t>
  </si>
  <si>
    <t xml:space="preserve">Kori Lavertue </t>
  </si>
  <si>
    <t>Sarahi Castro 
Myrna Suarez</t>
  </si>
  <si>
    <t xml:space="preserve">Sherri Brown Customer
Eduardo de la Garza </t>
  </si>
  <si>
    <t>ISMAEL PENA</t>
  </si>
  <si>
    <t>Doug Resh Sr.</t>
  </si>
  <si>
    <t>Camellia Metal</t>
  </si>
  <si>
    <t>Laura Garcia</t>
  </si>
  <si>
    <t>(949) 750-0211</t>
  </si>
  <si>
    <t>CYCOLOY C2950-701 BK</t>
  </si>
  <si>
    <t>Santiago Mendoza</t>
  </si>
  <si>
    <t xml:space="preserve">89-92-57-19-35  </t>
  </si>
  <si>
    <t>PC Lexan EXL9330 Gray GY3B243
EXL9330-GY3B243  (SABIC)</t>
  </si>
  <si>
    <t>PP BLACK REPRO PELLET
Polypropylene reprocessed plastic in pellet
shape. Black colored.</t>
  </si>
  <si>
    <t>RODEGA Traders &amp; Logistics, LLC</t>
  </si>
  <si>
    <t>701240 - HARDENED WASHER</t>
  </si>
  <si>
    <t>ZZQITC-110682 ITC-M5 M5 MOLDED-IN INSERT SS</t>
  </si>
  <si>
    <t>PBT/PET/PC</t>
  </si>
  <si>
    <t xml:space="preserve"> Elizabeth Bazaldua</t>
  </si>
  <si>
    <t>52 (81) 5102 5754</t>
  </si>
  <si>
    <t>Colorante Resin ABS+PC Gray A16381D943</t>
  </si>
  <si>
    <t>#JCI A163819RY3
USD</t>
  </si>
  <si>
    <t>FR3040W-902035 (COVESTRO)</t>
  </si>
  <si>
    <t>CYCOLOY CX7240U COLOR CODE 8T5D033 (SABIC)</t>
  </si>
  <si>
    <t>RESIN CYCOLOY C2950,BLACK</t>
  </si>
  <si>
    <t>RESIN POLYVINIL CHLORIDE (PVC) GEON M.</t>
  </si>
  <si>
    <t>920A-116  (SABIC)</t>
  </si>
  <si>
    <t>RESIN, POLYCARBONATE/ABS, BAYBLEND FR30 FR3010 BAYER 500005 BLUE (Bayer MaterialScience LLC)</t>
  </si>
  <si>
    <t xml:space="preserve">Shawna Hawkins
Dawn Gilbert </t>
  </si>
  <si>
    <t>MRO</t>
  </si>
  <si>
    <t>INEOS Styrolution Mexicana,S.A. de C.V.</t>
  </si>
  <si>
    <t>Kim Hernandez
Donna Ivins</t>
  </si>
  <si>
    <t>Kim.Hernandez@ampacet.com
Donna.Ivins@ampacet.com</t>
  </si>
  <si>
    <t>1-914-332-7337
1 513 264 4503</t>
  </si>
  <si>
    <t>Omar Padilla</t>
  </si>
  <si>
    <t>Omar.Padilla@imcdmx.com</t>
  </si>
  <si>
    <t>81 1018 7676</t>
  </si>
  <si>
    <t>Yovanna Camargo</t>
  </si>
  <si>
    <t>yovannac@SerendipityElectronics.com</t>
  </si>
  <si>
    <t>PC/ABS Repro Black</t>
  </si>
  <si>
    <t>500-739  (SABIC)</t>
  </si>
  <si>
    <t>#JCI 01-61-975
USD</t>
  </si>
  <si>
    <t>RESIN, RTP 4499 x 99781, HTN, 36% GLASS</t>
  </si>
  <si>
    <t>Resin Nylon Zytel 101L Black</t>
  </si>
  <si>
    <t>Resin HDPE Kube White PIR 22405</t>
  </si>
  <si>
    <t>RESIN PLEXIGLASS,ATOFINA V825-100,CLEA</t>
  </si>
  <si>
    <t>Resin Acrylic Clear</t>
  </si>
  <si>
    <t>PLEXIGLAS V0521-100 CREAR (PDV052I10060)</t>
  </si>
  <si>
    <t>National Webbing Products Company / Div. Blue Star Webbing Corporation</t>
  </si>
  <si>
    <t>Steven Lazarus</t>
  </si>
  <si>
    <t>516-346-4636, ext#114</t>
  </si>
  <si>
    <t>slazarus@nationalwebbing.com</t>
  </si>
  <si>
    <t xml:space="preserve">STRAP </t>
  </si>
  <si>
    <t xml:space="preserve">PC+ABS molido </t>
  </si>
  <si>
    <t>PC+ABS repeletizado</t>
  </si>
  <si>
    <t>PPS</t>
  </si>
  <si>
    <t>PA612</t>
  </si>
  <si>
    <t>PSU</t>
  </si>
  <si>
    <t>ACM</t>
  </si>
  <si>
    <t>Entrega</t>
  </si>
  <si>
    <t>Facturación</t>
  </si>
  <si>
    <t>PC/ABS V0, KINGFA JH960-HT011,  COLOR, BLACK PER ES7-1.10E.</t>
  </si>
  <si>
    <t>PC/ABS V0, KINGFA JH960-HT011. COLOR, RED PER ES-7 1.10A.</t>
  </si>
  <si>
    <t>TPE, AUDIA 5565FR1. COLOR, BLACK PER ES7-1.10E.</t>
  </si>
  <si>
    <t>PC, KINGFA JH830NC. COLOR, BLACK PER ES-7 1.10E</t>
  </si>
  <si>
    <t>LIGHTPIPE, CLEAR PC, KINGFA JH830TX</t>
  </si>
  <si>
    <t>SBD, SHINETSU</t>
  </si>
  <si>
    <t>D-TACH</t>
  </si>
  <si>
    <t>MILWAUKEE</t>
  </si>
  <si>
    <t>SUMIDA</t>
  </si>
  <si>
    <t>Active</t>
  </si>
  <si>
    <t>Inactive</t>
  </si>
  <si>
    <t>New Project</t>
  </si>
  <si>
    <t>SK pickup in China
USD</t>
  </si>
  <si>
    <t>Alternate for 1102013
USD</t>
  </si>
  <si>
    <t>Consigned by the customer</t>
  </si>
  <si>
    <t>Alternate for 1103012
USD</t>
  </si>
  <si>
    <t>Alternate for 1101080 without approval
USD</t>
  </si>
  <si>
    <t>Alternate for 1102017
USD</t>
  </si>
  <si>
    <t>Alternate for Netafim
USD</t>
  </si>
  <si>
    <t>Alternate for 1302001</t>
  </si>
  <si>
    <t>Consigned by the customer
(ProveedorAntech)
SK recolecta en USA
USD</t>
  </si>
  <si>
    <t>Consignado por el Cliente
(Supplier: Antech)
SK pickup in USA
USD</t>
  </si>
  <si>
    <t>SK rpickup in China
USD</t>
  </si>
  <si>
    <t>SK pickup en USA
USD</t>
  </si>
  <si>
    <t>USD
Delivery Reynosa - American Billing</t>
  </si>
  <si>
    <t>Ing Andres commented that the tone was not functional
USD
Delivery Reynosa - American Billing</t>
  </si>
  <si>
    <t>Replacement of 1209029
USD
Delivery Reynosa - American Billing</t>
  </si>
  <si>
    <t>Replacement of 1209030
USD
Delivery Reynosa - American Billing</t>
  </si>
  <si>
    <t>Before: INSERT MOTOR BLOCK FEED-THRU TERMINAL
USD
Delivery Reynosa - American Billing</t>
  </si>
  <si>
    <t>Alternate for 1109142
USD
Delivery Reynosa - American Billing</t>
  </si>
  <si>
    <t>SK pickup in Apodaca
USD
Delivery Reynosa - American Billing</t>
  </si>
  <si>
    <t>PESOS
Delivery Reynosa - Mexican Billing</t>
  </si>
  <si>
    <t>Tosaf White ME800889</t>
  </si>
  <si>
    <t xml:space="preserve">EXL1414T-NA8A005T-BAG-00-00-00 10 Melt, Polycarbonate-Siloxane Copolymer, General Purpose Natural/Transparent </t>
  </si>
  <si>
    <t>PYC 0141549MK – MK CLEARPROOF 2.0 PROJECT-005320 YELLOW CAP</t>
  </si>
  <si>
    <t>#JCI 01-61-02889
USD
Delivery Reynosa - American Billing</t>
  </si>
  <si>
    <t>#JCI 01-61-1076
USD
Delivery Reynosa - American Billing</t>
  </si>
  <si>
    <t>#JCI 01-61-1467
USD
Delivery Reynosa - American Billing</t>
  </si>
  <si>
    <t>#JCI 01-61-231 
USD
Delivery Reynosa - American Billing</t>
  </si>
  <si>
    <t>#JCI 01-61-584
USD
Delivery Reynosa - American Billing</t>
  </si>
  <si>
    <t>#JCI 01-61-1181 
USD
Delivery Reynosa - American Billing</t>
  </si>
  <si>
    <t>#JCI 01-61-1459 
USD
Delivery Reynosa - American Billing</t>
  </si>
  <si>
    <t>#JCI 01-61-1408 
USD
Delivery Reynosa - American Billing</t>
  </si>
  <si>
    <t>#JCI 01-61-533 
USD
Delivery Reynosa - American Billing</t>
  </si>
  <si>
    <t>#JCI 01-61-1807 
USD
Delivery Reynosa - American Billing</t>
  </si>
  <si>
    <t>#JCI 01-61-02811
USD
Delivery Reynosa - American Billing</t>
  </si>
  <si>
    <t>#JCI 01-61-1483
USD
Delivery Reynosa - American Billing</t>
  </si>
  <si>
    <t>#JCI 01-61-1866
USD
Delivery Reynosa - American Billing</t>
  </si>
  <si>
    <t>#JCI 01-61-02560
USD
Delivery Reynosa - American Billing</t>
  </si>
  <si>
    <t>#JCI 01-61-2420
USD
Delivery Reynosa - American Billing</t>
  </si>
  <si>
    <t>#JCI 03-88013-70
USD
Delivery Reynosa - American Billing</t>
  </si>
  <si>
    <t>#JCI 01-61-1793
USD
Delivery Reynosa - American Billing</t>
  </si>
  <si>
    <t>#JCI 01-61-1580
USD
Delivery Reynosa - American Billing</t>
  </si>
  <si>
    <t>#JCI 01-61-1645
USD
Delivery Reynosa - American Billing</t>
  </si>
  <si>
    <t>#JCI 01-61-1688
USD
Delivery Reynosa - American Billing</t>
  </si>
  <si>
    <t>#JCI 01-61-1130
USD
Delivery Reynosa - American Billing</t>
  </si>
  <si>
    <t>#JCI 01-61-02730 
USD
Delivery Reynosa - American Billing</t>
  </si>
  <si>
    <t>#JCI 01-61-2358 
USD
Delivery Reynosa - American Billing</t>
  </si>
  <si>
    <t>#JCI 01-61-2021 
USD
Delivery Reynosa - American Billing</t>
  </si>
  <si>
    <t>#JCI 01-61-1904 
USD
Delivery Reynosa - American Billing</t>
  </si>
  <si>
    <t>#JCI 01-61-746 
USD
Delivery Reynosa - American Billing</t>
  </si>
  <si>
    <t>#JCI 01-61-223 
USD
Delivery Reynosa - American Billing</t>
  </si>
  <si>
    <t>#JCI 01-61-1874 
USD
Delivery Reynosa - American Billing</t>
  </si>
  <si>
    <t>#JCI 01-61-681 
USD
Delivery Reynosa - American Billing</t>
  </si>
  <si>
    <t>#JCI 01-61-134 
USD
Delivery Reynosa - American Billing</t>
  </si>
  <si>
    <t>#JCI A16381D955
USD
Delivery Reynosa - American Billing</t>
  </si>
  <si>
    <t>#JCI A16381D943
USD
Delivery Reynosa - American Billing</t>
  </si>
  <si>
    <t>#JCI 01-61-02781 
USD</t>
  </si>
  <si>
    <t>VIRTUAL</t>
  </si>
  <si>
    <t>RESIN, POLYCARBONATE LEXAN 945 COLOR BLACK 701 (SABIC)</t>
  </si>
  <si>
    <t>#JCI 01-61-1424 
the same as 1108043
USD
Delivery Reynosa - American Billing</t>
  </si>
  <si>
    <t>RESIN, NYLON 612, NATURAL, ROHS ZYTEL 158L NC010</t>
  </si>
  <si>
    <t>LBS</t>
  </si>
  <si>
    <t>WHITE POLYWHITE 8160 SHULMAN</t>
  </si>
  <si>
    <t>anshkhan0615@gmail.com</t>
  </si>
  <si>
    <t>Amber@arcresin.com
pschwendeman@arcresin.com</t>
  </si>
  <si>
    <t>Marco.Rebollo@Audia.com</t>
  </si>
  <si>
    <t>Orders@badgercolor.com</t>
  </si>
  <si>
    <t>laura.garcia@camellia.us.com</t>
  </si>
  <si>
    <t>eaviles@chaseplastics.com</t>
  </si>
  <si>
    <t>BBauer@Chromacolors.com
smartin@chromacolors.com</t>
  </si>
  <si>
    <t>matsa-queretaro@prodigy.net.mx</t>
  </si>
  <si>
    <t>jmarsala@englube.com</t>
  </si>
  <si>
    <t>Ltucker@htfinc.com</t>
  </si>
  <si>
    <t>ashley.groves@ineos.com</t>
  </si>
  <si>
    <t>Elizabeth.Bazaldua@preh.mx</t>
  </si>
  <si>
    <t>santiago@qpsgroup.net</t>
  </si>
  <si>
    <t>SHawkins@rbcbearings.com
DEGilbert@rbcbearings.com</t>
  </si>
  <si>
    <t>zc829@regentspring.cn
zc829@regentspring.cn</t>
  </si>
  <si>
    <t>angel@sunluenmetal.com</t>
  </si>
  <si>
    <t xml:space="preserve">iptexastool@gmail.com
iptexastool@gmail.com&gt; </t>
  </si>
  <si>
    <t>dresh@itwids.com</t>
  </si>
  <si>
    <t>Karen.Espinosa@audia.com</t>
  </si>
  <si>
    <t>chriss@volkertprecision.com</t>
  </si>
  <si>
    <t>USD
Alternate for 1109191</t>
  </si>
  <si>
    <t>Tokyo, Japan</t>
  </si>
  <si>
    <t>USD
Alternate for 1109161</t>
  </si>
  <si>
    <t>ZYTEL 101 BROWN CONCENTRATE AB84620208</t>
  </si>
  <si>
    <t>#JCI 01-61-1696
USD
Delivery Reynosa - American Billing</t>
  </si>
  <si>
    <t>Acetal Black 100P BK602 (POLYONE)</t>
  </si>
  <si>
    <t>National Webbing Products</t>
  </si>
  <si>
    <t>Nylon Strap</t>
  </si>
  <si>
    <t>#JCI 01-00061-02447
USD</t>
  </si>
  <si>
    <t>Contreras, Sergio</t>
  </si>
  <si>
    <t>(899) 921 2320</t>
  </si>
  <si>
    <t>sergio.contreras@nidec-motor.com</t>
  </si>
  <si>
    <t>#JCI 01-61-2293 
USD</t>
  </si>
  <si>
    <t>ONCOLOR GRIS MO73613038-ZT</t>
  </si>
  <si>
    <t>Laser marking masterbatch DM-GB0081</t>
  </si>
  <si>
    <t>SHENZHEN DOME MATERIALS Co., LTD.</t>
  </si>
  <si>
    <t>Lucy Yu</t>
  </si>
  <si>
    <t>lucy &lt;lucy@domematerials.com&gt;</t>
  </si>
  <si>
    <t>Alls</t>
  </si>
  <si>
    <t>INSERT TERMINAL Coyote Sensor Pin</t>
  </si>
  <si>
    <t>Resin, SPS 30GF, XAREC N WA 7030-02</t>
  </si>
  <si>
    <t>MF006S-BK1A574 (SABIC) //  
1169989M_LNP Engineering Plastics, Inc.</t>
  </si>
  <si>
    <t>Resin PC Gray</t>
  </si>
  <si>
    <t>RESIN, POLYPHENYLENE ETHER (PPE) MIXED</t>
  </si>
  <si>
    <t>RESIN,</t>
  </si>
  <si>
    <t>RESIN, DELRIN 500CL, ACETAL, NATURAL, R</t>
  </si>
  <si>
    <t>RESIN, TEXIN 245, POLYESTER-BASED THERM</t>
  </si>
  <si>
    <t>RESIN, ZYTEL 70G13HS1L BK031, GLASS REI</t>
  </si>
  <si>
    <t>RESIN, RTP 800 TFE-5, PTFE LUBRICATED,</t>
  </si>
  <si>
    <t>RESIN, LNP LUBRICOMP COMPOUND RL002NC,</t>
  </si>
  <si>
    <t>RESIN, HYLON N1033HL, PA66 GF33, NATURAL</t>
  </si>
  <si>
    <t>RESIN, KL-4540, ACETAL HOMOPOLYMER, COL</t>
  </si>
  <si>
    <t>RESIN, POLYSULFONE, RED, INJECTION MOLDI</t>
  </si>
  <si>
    <t>DELRIN 100 NATURAL</t>
  </si>
  <si>
    <t>#JCI 01-61-02552 
USD</t>
  </si>
  <si>
    <t>Bayblend FR3040W - WHITE 013244</t>
  </si>
  <si>
    <t>RESIN, MODIFIED, POLYPHENYLENE OXIDE, W
NORYL GRADE SE1X-873  (GE PLASTICS)</t>
  </si>
  <si>
    <t>LUPOY HR5007A</t>
  </si>
  <si>
    <t>LED2245-550207-PC-TR</t>
  </si>
  <si>
    <t>Channel Prime</t>
  </si>
  <si>
    <t>Nexeo</t>
  </si>
  <si>
    <t>Magna</t>
  </si>
  <si>
    <t>PMMA H15-002 000 CL ACRYLITE</t>
  </si>
  <si>
    <t>Resin PA Black RTP 505 BLACK WITH 0.5% FCX 27314  (RTP CO)</t>
  </si>
  <si>
    <t>Marco Torres</t>
  </si>
  <si>
    <t>Marco.Torres@ChannelPA.com</t>
  </si>
  <si>
    <t>PPC</t>
  </si>
  <si>
    <t>RESIN, THERMOPLASTIC ELASTOMER, BLACK</t>
  </si>
  <si>
    <t>RESIN, POLYCARBONATE, LEXAN, BLUE</t>
  </si>
  <si>
    <t>RESIN, CYCOLAC, FR15U-2098, WHITE</t>
  </si>
  <si>
    <t>#JCI 01-61-1424 
the same as 1109338
USD</t>
  </si>
  <si>
    <t>#JCI 03-88038-3
Alternative for 1109386
USD</t>
  </si>
  <si>
    <t>Florida Performance Polymers</t>
  </si>
  <si>
    <t xml:space="preserve">Matthew Hukill </t>
  </si>
  <si>
    <t>386-341-2577</t>
  </si>
  <si>
    <t>matthew@florida-polymers.com</t>
  </si>
  <si>
    <t>#JCI 01-61-1521 
Alternative 1109340
USD</t>
  </si>
  <si>
    <t>#JCI 01-61-1521 
Alternative 1101045
USD
Delivery Reynosa - American Billing</t>
  </si>
  <si>
    <t>POLYCARBONATE GREY
CYCOLOY CX7240U COLOR CODE 7T7D113  (SABIC)</t>
  </si>
  <si>
    <t>BAMBERGER AMCO POLYMERS DE MEXICO</t>
  </si>
  <si>
    <t>#JCI A163819RYA 
USD</t>
  </si>
  <si>
    <t>#JCI 01-61-1491 
USD</t>
  </si>
  <si>
    <t>Resin, Polycarbonate, Lexan 141R-711 Tinted Grey</t>
  </si>
  <si>
    <t>RESIN POLYCARBONATE LEXAN 950 8T8D268 WH</t>
  </si>
  <si>
    <t>HYLON N1033HL</t>
  </si>
  <si>
    <t>550 lbs</t>
  </si>
  <si>
    <t xml:space="preserve">POLYSULFONE P-1700 RESIN, POLYSULFONE, CLEAR </t>
  </si>
  <si>
    <t>PRO.VE.R. S.r.l.</t>
  </si>
  <si>
    <t xml:space="preserve">Sara Valtolina </t>
  </si>
  <si>
    <t>info@prover.it</t>
  </si>
  <si>
    <t>#JCI 01-61-2137
USD</t>
  </si>
  <si>
    <t>#JCI 24-85334-2
USD
Delivery Reynosa - American Billing</t>
  </si>
  <si>
    <t>NORYL GRADE SE-1-GFN2-701 (GE PLASTIC) // SE1GFN2-701 (SABIC) Black</t>
  </si>
  <si>
    <t>#JCI 01-61-1513 
USD</t>
  </si>
  <si>
    <t>#JCI 01-61-517 
USD</t>
  </si>
  <si>
    <t>#JCI 01-61-1505 
USD</t>
  </si>
  <si>
    <t>Plexiglas V052i-58208RB BK</t>
  </si>
  <si>
    <t>#JCI 01-61-02757
USD
Delivery Reynosa - American Billing</t>
  </si>
  <si>
    <t>#JCI 01-61-1106
USD
Delivery Reynosa - American Billing</t>
  </si>
  <si>
    <t>#JCI 01-61-1203
USD
Delivery Reynosa - American Billing</t>
  </si>
  <si>
    <t>#JCI 01-61-1254
USD
Delivery Reynosa - American Billing</t>
  </si>
  <si>
    <t>#JCI 001-61-1262
USD
Delivery Reynosa - American Billing</t>
  </si>
  <si>
    <t>#JCI 01-61-1297
USD
Delivery Reynosa - American Billing</t>
  </si>
  <si>
    <t>#JCI 01-61-1343
USD
Delivery Reynosa - American Billing</t>
  </si>
  <si>
    <t>#JCI 01-61-1432
USD
Delivery Reynosa - American Billing</t>
  </si>
  <si>
    <t>#JCI 01-61-1629
USD
Delivery Reynosa - American Billing</t>
  </si>
  <si>
    <t>#JCI 01-61-1831
USD
Delivery Reynosa - American Billing</t>
  </si>
  <si>
    <t>#JCI 01-61-2048
USD
Delivery Reynosa - American Billing</t>
  </si>
  <si>
    <t>#JCI 01-61-2153
USD
Delivery Reynosa - American Billing</t>
  </si>
  <si>
    <t>#JCI 01-61-2188
USD
Delivery Reynosa - American Billing</t>
  </si>
  <si>
    <t>#JCI 01-61-2218
USD
Delivery Reynosa - American Billing</t>
  </si>
  <si>
    <t>#JCI 01-61-2234
USD
Delivery Reynosa - American Billing</t>
  </si>
  <si>
    <t>#JCI 01-61-2242
USD
Delivery Reynosa - American Billing</t>
  </si>
  <si>
    <t>#JCI 01-61-2250
USD
Delivery Reynosa - American Billing</t>
  </si>
  <si>
    <t>#JCI 01-61-2315
USD
Delivery Reynosa - American Billing</t>
  </si>
  <si>
    <t>#JCI 01-61-2366
USD
Delivery Reynosa - American Billing</t>
  </si>
  <si>
    <t>#JCI 01-61-274
USD
Delivery Reynosa - American Billing</t>
  </si>
  <si>
    <t>#JCI 01-61-703
USD
Delivery Reynosa - American Billing</t>
  </si>
  <si>
    <t>#JCI 03-88038-3
Alternative for 1104009
USD
Delivery Reynosa - American Billing</t>
  </si>
  <si>
    <t>#JCI 01-61-2412
USD
Delivery Reynosa - American Billing</t>
  </si>
  <si>
    <t>Gregory P. Boston</t>
  </si>
  <si>
    <t xml:space="preserve">248-762-7676  </t>
  </si>
  <si>
    <t>Greg Boston &lt;gboston@gp-materials.com&gt;</t>
  </si>
  <si>
    <t>RESIN, ABS AND POLYCARBONATE BLEND, TRISTAR PC10-FRN, WT694I</t>
  </si>
  <si>
    <t>BAMBERGER POLYMERS DE MEXICO</t>
  </si>
  <si>
    <t>Bamberger Amco Polymers USA</t>
  </si>
  <si>
    <t>#JCI 01-61-983 
USD</t>
  </si>
  <si>
    <t>PC/ABS, KINGFA JH960-HT08 C2B-G1081</t>
  </si>
  <si>
    <t>PC / ABS</t>
  </si>
  <si>
    <t>Resin Polyph Blue LEXAN EXL9330, COLOR: BL3B165</t>
  </si>
  <si>
    <t>Empaque de hule (ligas)</t>
  </si>
  <si>
    <t>P5M4K-046 OBX POLYPROPYLENE RANDOM COPOLYMER (NAT)</t>
  </si>
  <si>
    <t>#JCI 01-61-1963
USD</t>
  </si>
  <si>
    <t>Resin, ABS and Polycarbonate Blend, White CYCOLOY C2950HF, COLOR 80464  (GE PLASTICS)</t>
  </si>
  <si>
    <t>ZYTEL 101L BK B 009 (CELANESE)</t>
  </si>
  <si>
    <t>DELRIN 500P NC 010 (DERLIN)</t>
  </si>
  <si>
    <t>NYLON 70G33L-NC010 (CELANESE)</t>
  </si>
  <si>
    <t>Duracon M25-44 CF2001 (ACETAL CO 2.5M BLACK) (POLYPLASTICS)</t>
  </si>
  <si>
    <t>#JCI 01-61-2307
USD</t>
  </si>
  <si>
    <t>RESIN, LNP LUBRICOMP COMPOUND RFL-4016 RZL16-GYMDNAT  (SABIC)</t>
  </si>
  <si>
    <t>RESIN POLIAMMIDE PA 6 RTP-0205 NATURAL</t>
  </si>
  <si>
    <t>#JCI 03-88022-45
USD</t>
  </si>
  <si>
    <t>RESIN, POLYCARBONATE LEXAN 945 COLOR SILVER 7T6D079  (SABIC)</t>
  </si>
  <si>
    <t>#JCI 01-61-398 
USD</t>
  </si>
  <si>
    <t>#JCI 01-61-02536 
USD</t>
  </si>
  <si>
    <t>#JCI 01-61-1572
USD</t>
  </si>
  <si>
    <t>RESIN, NYLON 6/12, GLASS REINFORCED, NA
Zytel 77G33L NC010</t>
  </si>
  <si>
    <t>#JCI 01-61-665
USD</t>
  </si>
  <si>
    <t>#JCI 01-61-88
USD</t>
  </si>
  <si>
    <t>M90 CC-3063 Gray (1170006M_Hoechst Celenese Corp.)</t>
  </si>
  <si>
    <t>TOSAF</t>
  </si>
  <si>
    <t>Kimberly Johnson</t>
  </si>
  <si>
    <t>Kimberly Johnson &lt;kimberlyj@tosaf.com&gt;</t>
  </si>
  <si>
    <t>704-460-5996</t>
  </si>
  <si>
    <t>#JCI 02-512-277
USD
Delivery Reynosa - American Billing</t>
  </si>
  <si>
    <t>COLORANT, GREEN, ROHS</t>
  </si>
  <si>
    <t>#JCI 01-61-37 
USD</t>
  </si>
  <si>
    <t>RESIN, POLYPROPYLENE, INJECTION MOLDING
H05H01 INN PP HOM NC</t>
  </si>
  <si>
    <t>#JCI 01-61-10
USD</t>
  </si>
  <si>
    <t>#JCI 34-1788-6
USD
Delivery Reynosa - American Billing</t>
  </si>
  <si>
    <t>DRIVE INSERT 9MM SQUARE</t>
  </si>
  <si>
    <t>RESIN, COLORANT, GREEN POLYSULFONE</t>
  </si>
  <si>
    <t>CONCENTRATE, RED, POLYPHENYLENE OXIDE C</t>
  </si>
  <si>
    <t>#JCI 01-61-1750
USD
Delivery Reynosa - American Billing</t>
  </si>
  <si>
    <t>#JCI 02-512-250
USD
Delivery Reynosa - American Billing</t>
  </si>
  <si>
    <t>#JCI A16381D946
USD
Delivery Reynosa - American Billing</t>
  </si>
  <si>
    <t>#JCI A16381D950
USD
Delivery Reynosa - American Billing</t>
  </si>
  <si>
    <t>#JCI  01-61-02870- 1
USD
Delivery Reynosa - American Billing</t>
  </si>
  <si>
    <t>NORYL GRAY GFN3F-780S</t>
  </si>
  <si>
    <t>Korea</t>
  </si>
  <si>
    <t>SPS</t>
  </si>
  <si>
    <t>PPE + PS</t>
  </si>
  <si>
    <t>JCI Sensormatic</t>
  </si>
  <si>
    <t>JCI Sensormatic &amp; SBD</t>
  </si>
  <si>
    <t>JCI Sensormatic &amp; Reynosa</t>
  </si>
  <si>
    <t>MAGNA</t>
  </si>
  <si>
    <t>Acrylite 8N LD12</t>
  </si>
  <si>
    <t>Asia</t>
  </si>
  <si>
    <t>10568053 RBOX, 24x15x5", Tesla Overmold</t>
  </si>
  <si>
    <t>10568063 Rpallet, 48x45", Tesla Overmold</t>
  </si>
  <si>
    <t>10568073 Rlid, 48x45", Tesla Overmold</t>
  </si>
  <si>
    <t>Active / Consigned</t>
  </si>
  <si>
    <t>New Project / Consigned</t>
  </si>
  <si>
    <t>Consigned by the customer
USD</t>
  </si>
  <si>
    <t>ZYTEL(R) 103HSL BKB080</t>
  </si>
  <si>
    <t>Resin Polyph Oxide SE1X-701 (SABIC)  //  NORYL GRADE SE-1-701 (GE PLASTIC) Black</t>
  </si>
  <si>
    <t>Inactive / Consigned</t>
  </si>
  <si>
    <t>Methode Tesla</t>
  </si>
  <si>
    <t>NORYL NH4030B-GY3G100 PPE+HIPS blend, High Flow, Injection and Extrusion Grade, Non-brominated, Non-Chlorinated Flame Retardant, Custom Shade Gray</t>
  </si>
  <si>
    <t>PPE+HIPS</t>
  </si>
  <si>
    <t>#JCI A16381V2DK
USD</t>
  </si>
  <si>
    <t xml:space="preserve">Ken Chen </t>
  </si>
  <si>
    <t>1-713 309 7939</t>
  </si>
  <si>
    <t>ken.chen@lyondellbasell.com</t>
  </si>
  <si>
    <t>22LH-N RESIN, NYLON, NATURAL COLOR, ROHS WELLAMID NYLON</t>
  </si>
  <si>
    <t>#JCI 01-61-991 
USD</t>
  </si>
  <si>
    <t>#JCI A16382758A
USD
Delivery Reynosa - American Billing</t>
  </si>
  <si>
    <t>INFINO HP-1000XA (ABS-PCB-135)</t>
  </si>
  <si>
    <t>ABS-PCB</t>
  </si>
  <si>
    <t>Perez, Hector Abraham</t>
  </si>
  <si>
    <t>HectorAbraham.Perez@veritiv.com</t>
  </si>
  <si>
    <t>BAG NYLON 25 CM X 40 CM (9.8" X 15.7")</t>
  </si>
  <si>
    <t>BAG NYLON 60 CM X 60 CM (23" X 23")</t>
  </si>
  <si>
    <t>BAG NYLON 20 X 30 NATURAL C-200 (7.8" X 11.8")</t>
  </si>
  <si>
    <t xml:space="preserve">Bag H404814N   NATURAL 40” X 48” 14 MIC </t>
  </si>
  <si>
    <t>Rollo</t>
  </si>
  <si>
    <t>PALETTE 48X45 EXPO C1UC MCM blades (PAL-022)</t>
  </si>
  <si>
    <t>Cardboard Box (29153/54AA) (CTN 079)</t>
  </si>
  <si>
    <t>Carboard Box With Hand Hole (29177/78AA) (CTN091)</t>
  </si>
  <si>
    <t>Trays for Boxes (29154AA) (PAP-057)</t>
  </si>
  <si>
    <t>Box (29179AB/80AB) (CTN-092)</t>
  </si>
  <si>
    <t>Box (29181AA/82AA) (CTN-093)</t>
  </si>
  <si>
    <t>Hassan Silva</t>
  </si>
  <si>
    <t>Hassan Silva &lt;Hassan.Silva@bapolymers.com&gt;</t>
  </si>
  <si>
    <t>ACtive</t>
  </si>
  <si>
    <t>YELLOW PYC0136320E</t>
  </si>
  <si>
    <t>Idalia Pazzi</t>
  </si>
  <si>
    <t>899 103 4984</t>
  </si>
  <si>
    <t>Idalia Pazzi &lt;idalia.pazzi@albea-group.com&gt;</t>
  </si>
  <si>
    <t>Gisela Torres Uribe &lt;gisela.torres.uribe@jci.com&gt;</t>
  </si>
  <si>
    <t>Gisela Torres Uribe</t>
  </si>
  <si>
    <t>Trays for Boxes (29153AA) (PAP-056)</t>
  </si>
  <si>
    <t>RESIN, NYLON, REINFORCED, LUBRICATED, R
RCP36-BKNAT  (SABIC )  // RCL-4536  (LNP ENGINEERING PLASTICS)</t>
  </si>
  <si>
    <t>Colorant Resin ABS+PC Blue CC1035875560</t>
  </si>
  <si>
    <t>Gabriel Ramos
Lydia Fertig</t>
  </si>
  <si>
    <t>Gabriel.Ramos@entecpolymers.com
LFertig@Entecpolymers.com</t>
  </si>
  <si>
    <t>FITTING, TUBE, BARBED, INSERT</t>
  </si>
  <si>
    <t>AUTOMATIC PRODUCTS CORP</t>
  </si>
  <si>
    <t>#JCI 24-2339-2 
USD</t>
  </si>
  <si>
    <t>Resin ABS+PC FR3010HF White 19N077BA
(FR3010HF-013653-PCABS-WT)</t>
  </si>
  <si>
    <t>#JCI 01-61-02706 
USD</t>
  </si>
  <si>
    <t>Bolsa suelta 10x25 cm</t>
  </si>
  <si>
    <t>New project</t>
  </si>
  <si>
    <t>Alternative for 1509022 
USD
Delivery Reynosa - American Billing</t>
  </si>
  <si>
    <t>Pigment BRONZE PMC 0141720</t>
  </si>
  <si>
    <t xml:space="preserve">LX International America, Inc </t>
  </si>
  <si>
    <t>Woody Lee 책임</t>
  </si>
  <si>
    <t xml:space="preserve"> &lt;woody_lee@lxius.com&gt;</t>
  </si>
  <si>
    <t>1 714 620 7607
1 949 303 9588</t>
  </si>
  <si>
    <t>COVESTRO</t>
  </si>
  <si>
    <t xml:space="preserve">Yair Alonso Rojas </t>
  </si>
  <si>
    <t>yair.rojas@covestro.com</t>
  </si>
  <si>
    <t>GERMANIA</t>
  </si>
  <si>
    <t>HEXAGON KEY</t>
  </si>
  <si>
    <t>SMALLPARTS</t>
  </si>
  <si>
    <t>John Curl</t>
  </si>
  <si>
    <t>johcur@smallpartsinc.com</t>
  </si>
  <si>
    <t>55 6183 0821</t>
  </si>
  <si>
    <t>Patsy Turney</t>
  </si>
  <si>
    <t>pturney@ap-corp.com</t>
  </si>
  <si>
    <t xml:space="preserve">TERMINAL MS 255.152 </t>
  </si>
  <si>
    <t>AH50S2  ( 1169948M_Michael Day Enterprises) ACETAL HOMOPOLYMER, BLACK</t>
  </si>
  <si>
    <t>#JCI 01-61-1971
USD</t>
  </si>
  <si>
    <t>Obsolete / Consigned</t>
  </si>
  <si>
    <t>OnColor Gris NC74613068-ZT_Light Gray</t>
  </si>
  <si>
    <t>Reemplaza 1510016
USD
Delivery Reynosa - American Billing</t>
  </si>
  <si>
    <t>Particion para caja 1510019
USD
Delivery Reynosa - American Billing</t>
  </si>
  <si>
    <t>Particion para caja 1510020
USD
Delivery Reynosa - American Billing</t>
  </si>
  <si>
    <t>Pendiente</t>
  </si>
  <si>
    <t>IMDS</t>
  </si>
  <si>
    <t>Disponible 1/21/2026</t>
  </si>
  <si>
    <t>Disponible 1/14/2026</t>
  </si>
  <si>
    <t>Protective Film 94.3 X 133.05 mm Clear Traslucent Polyethylene + Removable Acrylic Adhesive(3M 21804C).</t>
  </si>
  <si>
    <t>Resin, ABS and Polycarbonate Blend, TriStar
PC10-FRN, Color GYV682IF Gray</t>
  </si>
  <si>
    <t>State Industrial Supply</t>
  </si>
  <si>
    <t>Samantha Sandoval</t>
  </si>
  <si>
    <t>Samantha Sandoval &lt;samantha@sisaz.com&gt;</t>
  </si>
  <si>
    <t>RACC.EP-8000 X 25-85030
75124853342 21.3MM OAL BRASS INSERT PER PRINT</t>
  </si>
  <si>
    <t>THE REYNOLDS COMPANY</t>
  </si>
  <si>
    <t>Chad Gingolph </t>
  </si>
  <si>
    <t>956-535-0776</t>
  </si>
  <si>
    <t>Chad Gingolph &lt;chadg@reynco.com&gt;</t>
  </si>
  <si>
    <t>LDPE ESD FILM - ROLLO DE CINTA ESD TRANSPARENTE 2''</t>
  </si>
  <si>
    <t>EDC SUPPLY, S DE RL MI</t>
  </si>
  <si>
    <t>ventasrey@edcindustrial.com</t>
  </si>
  <si>
    <t>Abraham Gonzalez</t>
  </si>
  <si>
    <t>#JCI A16382NDKT
USD
Delivery Reynosa - American Billing
***Cada rollo cubre un total de 1000 tiras de film (esta precortado a 8.40cm)</t>
  </si>
  <si>
    <t>Bolsa Tela Blanca 22 1/2 x 6 1/2" Fibrosa</t>
  </si>
  <si>
    <t>#JCI 03-88013-54
USD</t>
  </si>
  <si>
    <t>SBC / TPE-S</t>
  </si>
  <si>
    <t>RESIN, CELLULOSE ACETATE BUTYRATE BLUE
264A-3T805-M (Eastman Chemical Formula) //  
B900-13H  (ALBIS)</t>
  </si>
  <si>
    <t>CAB</t>
  </si>
  <si>
    <t>RESIN, POLYSULFONE, LIGHT BEIGE OPAQUE
POLYSULFONE P-1710 NATURAL-15  (AMOCO PERFORMANCE)</t>
  </si>
  <si>
    <t xml:space="preserve">USD
DAP Reynosa, MX
</t>
  </si>
  <si>
    <t>Resin, Polyphenylene Sulfide, Ryton BR42B, Natural</t>
  </si>
  <si>
    <t>Dependiente la circunstancia</t>
  </si>
  <si>
    <t>YES</t>
  </si>
  <si>
    <t>Rey, MX</t>
  </si>
  <si>
    <t>Pickup in China</t>
  </si>
  <si>
    <t>NO</t>
  </si>
  <si>
    <t>Resina de policarbonato con ABS 
PC/ABS_Flame RetardantNH-1015V</t>
  </si>
  <si>
    <t>Acrilonitrilo Butadieno Estireno (ABS)
ABS-HG-0760P</t>
  </si>
  <si>
    <t>Resina de policarbonato
PCSC-1220R</t>
  </si>
  <si>
    <t>G3 SCRAP METAL</t>
  </si>
  <si>
    <t>By instruction of Mr. Mark</t>
  </si>
  <si>
    <t>Albea, JCI, and netafim</t>
  </si>
  <si>
    <t>#JCI 01-61-1165
USD</t>
  </si>
  <si>
    <t>Distributor/Manufacturer Certifications Available</t>
  </si>
  <si>
    <t>Disponible 2/18/2026</t>
  </si>
  <si>
    <t xml:space="preserve">ONCOLOR NEGRO MO93613016-ZT </t>
  </si>
  <si>
    <t>ONCOLOR NEGRO AB93613048-ZT</t>
  </si>
  <si>
    <t xml:space="preserve">Hector Munoz
Iris Herrera </t>
  </si>
  <si>
    <t>&lt;hector.munoz@formerra.com&gt;
&lt;iris.herrera@formerra.com&gt;</t>
  </si>
  <si>
    <t>Reemplaza 1510009 &amp; 1510015
USD
Delivery Reynosa - Mexican Billing</t>
  </si>
  <si>
    <t>Particion para caja 1510019
USD
Delivery Reynosa - Mexican Billing</t>
  </si>
  <si>
    <t>Bolsa de FOAMI 40 cm x 15.5cm</t>
  </si>
  <si>
    <t>Colorant Grey color masterbatch for Polycarbonate, CC1035875760</t>
  </si>
  <si>
    <t>#JCI A16381D94L
USD
Delivery Reynosa - American Billing</t>
  </si>
  <si>
    <t>LUMID GN2251BF-KA20</t>
  </si>
  <si>
    <t>PA66+GF25</t>
  </si>
  <si>
    <t>Possible alternative for 1109170
USD</t>
  </si>
  <si>
    <t>POLYSULFONE P-1700BK937, BLACK</t>
  </si>
  <si>
    <t>LONG T 4000 SHAFT</t>
  </si>
  <si>
    <t>MFG Solutions</t>
  </si>
  <si>
    <t>Carmen Quevedo</t>
  </si>
  <si>
    <t>'Carmen Quevedo' &lt;carmen@mfg-solutionsinc.com&gt;</t>
  </si>
  <si>
    <t>#JCI 20-40243-0
USD</t>
  </si>
  <si>
    <t>Shaft, Cam, Instrument</t>
  </si>
  <si>
    <t>TECNOLOGIA PROCESOS Y MAQUINADOS SA</t>
  </si>
  <si>
    <t>#JCI 24-3663-8
USD</t>
  </si>
  <si>
    <t>cristina.arriaga@tecmaq.com.mx</t>
  </si>
  <si>
    <t>Cristina Arriaga</t>
  </si>
  <si>
    <t>BAYBLEND FR3010 HF 000000 Natural</t>
  </si>
  <si>
    <t>Jordi Perez</t>
  </si>
  <si>
    <t>JCI Sensormatic &amp; JCI Reynosa</t>
  </si>
  <si>
    <t>Disponible 3/23/2026</t>
  </si>
  <si>
    <t xml:space="preserve">ONCOLOR AMARILLO MO13613016-ZT </t>
  </si>
  <si>
    <t xml:space="preserve">ONCOLOR AMARILLO SB13613049-ZT </t>
  </si>
  <si>
    <t>RSC01 RSC BOX, 44 ECT C/K, 600X555X360MM OD</t>
  </si>
  <si>
    <t>Empaque MEX</t>
  </si>
  <si>
    <t>RSC02 RSC BOX, 44 ECT C/K, 600 X 550 X 215 MM OD</t>
  </si>
  <si>
    <t>PTN-56 DC PARTITION 56 CELLS 8X7 BOX 01, POLYCOATED 30 PTS 595 X 555 X 340 MM</t>
  </si>
  <si>
    <t>PTN-78 CELLS 6X13 BOX , POLYCOATED 30 PTS 595 X 555 X 340 MM</t>
  </si>
  <si>
    <t>PTN-120 DC PARTITION 120 CELLS 8X15 BOX02, POLYCOATED 30 PTS 595 X 555 X 210 MM</t>
  </si>
  <si>
    <t>FOM-5459 DC FOAM PAD CA 060, 540 X 590 MM (2MM)</t>
  </si>
  <si>
    <t>Guillermo Santos</t>
  </si>
  <si>
    <t>'Guillermo Santos' &lt;guillermos@empaquemex.com&gt;</t>
  </si>
  <si>
    <t>Spirol</t>
  </si>
  <si>
    <t>Insert 240811 - CMPL 6. X 6. BT CL460 (SPIROL Standard Molded-In Compression Limiter - Oval Series /
Carbon Steel / Trivalent Zinc Plated Finish)</t>
  </si>
  <si>
    <t>GM Aggregator</t>
  </si>
  <si>
    <t xml:space="preserve">Emma Leonor Flores 
Adrian Enrique Lagunas Lopez </t>
  </si>
  <si>
    <t>emma.flores@spirol.com
adrian.lagunas@spirol.com</t>
  </si>
  <si>
    <t>442  229 15 30 </t>
  </si>
  <si>
    <t>(956) 538-3811</t>
  </si>
  <si>
    <t>886-4-22715199 #107</t>
  </si>
  <si>
    <t>8992-126717</t>
  </si>
  <si>
    <t>33 5000 8000</t>
  </si>
  <si>
    <t xml:space="preserve">866.306.1134
407.773.7465 </t>
  </si>
  <si>
    <t>915-204-6558</t>
  </si>
  <si>
    <t>281-535-4236</t>
  </si>
  <si>
    <t>(956) 271-1010</t>
  </si>
  <si>
    <t>5541439358
52 4441951610</t>
  </si>
  <si>
    <t>8119094062
(81) 3404 9872</t>
  </si>
  <si>
    <t>55 9020 5240 Ext. 700240 o 56 4158 8789
55 9020 5211</t>
  </si>
  <si>
    <t>52 (477) 781 1961 / 781 1954 / 781 2816
52 (477) 630 8860</t>
  </si>
  <si>
    <t>401-642-3465 52 81 1506 4299</t>
  </si>
  <si>
    <t>562-762-8910</t>
  </si>
  <si>
    <t>1 (714) 871-9220 x709</t>
  </si>
  <si>
    <t>81 82625257   M 811 555 5265
616-881-1428</t>
  </si>
  <si>
    <t xml:space="preserve">(630) 293-7800 Ext. 215
</t>
  </si>
  <si>
    <t>65 97956440</t>
  </si>
  <si>
    <t>0086 13713521464</t>
  </si>
  <si>
    <t>(899)318-4564</t>
  </si>
  <si>
    <t xml:space="preserve">631-424-2244 ext 106 o 347-829-0257 </t>
  </si>
  <si>
    <t>86-752-6188777 o 19982083314</t>
  </si>
  <si>
    <t xml:space="preserve">52 (81) 1600 8372   </t>
  </si>
  <si>
    <t>52 81 2354 4906
(81) 8134-0403  ext #2752</t>
  </si>
  <si>
    <t>972-272-6422 x101 o 214-243-8494</t>
  </si>
  <si>
    <t>915.726.5096 o 689-244-5805</t>
  </si>
  <si>
    <t xml:space="preserve">815 759-2617 or 800 457-8777 ext 452617 </t>
  </si>
  <si>
    <t>52 1 33 3479 8472</t>
  </si>
  <si>
    <t>52 8183 190407 #127</t>
  </si>
  <si>
    <t>520.744.0919</t>
  </si>
  <si>
    <t>899 134 6858</t>
  </si>
  <si>
    <t>52 55 5901 7440</t>
  </si>
  <si>
    <t>1 (713) 978-5420
52 (55) 4522-6532</t>
  </si>
  <si>
    <t xml:space="preserve">(574) 935-3027 Ext 1002 
(574) 935-3027 Ext 1009 </t>
  </si>
  <si>
    <t>361-334-4975
361-334-4977</t>
  </si>
  <si>
    <t>848-240-0665 o (800) 937.3746</t>
  </si>
  <si>
    <t>1-800-650-2309
1-956-371-5382</t>
  </si>
  <si>
    <t>215-616-4414 o 267-467-9744</t>
  </si>
  <si>
    <t xml:space="preserve">39 039 9284924                                                                       </t>
  </si>
  <si>
    <t>TIPO DE
MATERIAL</t>
  </si>
  <si>
    <t>PART
SUBMISSION
WARRANT</t>
  </si>
  <si>
    <t>#JCI 24-1078-19
USD</t>
  </si>
  <si>
    <t>USD
DAP Reynosa, MX</t>
  </si>
  <si>
    <t>POC 0147360L OIL TRANS GOLD CAP</t>
  </si>
  <si>
    <t>RESIN,VALOX 420SE0-BK1066  (SABIC)</t>
  </si>
  <si>
    <t>SK es el importador en Manzanillo</t>
  </si>
  <si>
    <t xml:space="preserve">Makrolon LED5902FR  550030 </t>
  </si>
  <si>
    <t>Disponible 4/21/2026</t>
  </si>
  <si>
    <t xml:space="preserve">LEXAN 500-739-SP BK                                                         </t>
  </si>
  <si>
    <t>Disponible 5/13/2025</t>
  </si>
  <si>
    <t>#JCI A16381D942 - 1
CC1035875360 USA
USD
Delivery Reynosa - American Billing</t>
  </si>
  <si>
    <t>PC+ABS Gebablend 65 HI</t>
  </si>
  <si>
    <t>Preh</t>
  </si>
  <si>
    <t>ONCOLOR BLANCO PC03613003-ZT
CC1035875360 WHITE PC ABS</t>
  </si>
  <si>
    <t>PC/ABS RESIN CBN00NH BK</t>
  </si>
  <si>
    <t>Shinil Chemical Industry CO., LTD</t>
  </si>
  <si>
    <t>Solicitado 5/19</t>
  </si>
  <si>
    <t xml:space="preserve">PC White CC1035919160 </t>
  </si>
  <si>
    <t>Flex an gate</t>
  </si>
  <si>
    <t xml:space="preserve">PC/ABS PULSE 2100LG 701, BLACK </t>
  </si>
  <si>
    <t>LEXAN 950-701  (SABIC) Black</t>
  </si>
  <si>
    <t>RESIN LEXAN EXL 1434T PC,SILOXANE COPOLY Clear</t>
  </si>
  <si>
    <t>103-112 (SABIC) //  
LEXAN RESIN FXD103 (LEXAN) Clear</t>
  </si>
  <si>
    <t>950-GY4C029 (SABIC) // LEXAN 950-701099  (GE PLASTICS) gray</t>
  </si>
  <si>
    <t>LEXAN™ CFR resin CFR7630-7T1D227 clear</t>
  </si>
  <si>
    <t>LEXAN EXL9132_7T3B1474 gray</t>
  </si>
  <si>
    <t>RESIN LEXAN 221R clear</t>
  </si>
  <si>
    <t>LEXAN CFR9111 7T5A8550T black</t>
  </si>
  <si>
    <t>LEXAN™ Resin 101 (N101LNAT/5022180/MIX blue)</t>
  </si>
  <si>
    <t>LEXAN EXL9132 2T4A8269 blue</t>
  </si>
  <si>
    <t>500R-739  (SABIC) //   
LEXAN 500R  (GE PLASTICS) black</t>
  </si>
  <si>
    <t>Rubén Acosta
Lesly Trevino</t>
  </si>
  <si>
    <t>racosta@rtpcompany.com
trevino@rtpcompany.com</t>
  </si>
  <si>
    <t xml:space="preserve">V826-58200 PDV8265820060 V82658200 ARK PLEX ACR SMOKE GY </t>
  </si>
  <si>
    <t>V825-58208 ARK PLEX ACR BK PDV8255820860</t>
  </si>
  <si>
    <t>RENOL-NEGRO NC94613014-ZA (NC94613014)</t>
  </si>
  <si>
    <t>For resin 1109395
USD
Delivery Reynosa - American Billing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</si>
</sst>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"/>
    <numFmt numFmtId="165" formatCode="_-&quot;$&quot;* #,##0.00_-;\-&quot;$&quot;* #,##0.00_-;_-&quot;$&quot;* &quot;-&quot;??_-;_-@"/>
    <numFmt numFmtId="166" formatCode="_-* #,##0_-;\-* #,##0_-;_-* &quot;-&quot;??_-;_-@"/>
    <numFmt numFmtId="167" formatCode="&quot;$&quot;#,##0.0000"/>
    <numFmt numFmtId="168" formatCode="0.0000"/>
    <numFmt numFmtId="169" formatCode="0.000"/>
    <numFmt numFmtId="170" formatCode="_-* #,##0.00_-;\-* #,##0.00_-;_-* &quot;-&quot;??_-;_-@"/>
    <numFmt numFmtId="171" formatCode="&quot;$&quot;#,##0"/>
    <numFmt numFmtId="172" formatCode="_(&quot;$&quot;* #,##0.0000_);_(&quot;$&quot;* \(#,##0.0000\);_(&quot;$&quot;* &quot;-&quot;??_);_(@_)"/>
    <numFmt numFmtId="173" formatCode="_-* #,##0.000_-;\-* #,##0.000_-;_-* &quot;-&quot;??_-;_-@"/>
    <numFmt numFmtId="174" formatCode="0.00000000"/>
    <numFmt numFmtId="175" formatCode="#,##0_ ;[Red]\-#,##0\ "/>
    <numFmt numFmtId="176" formatCode="0.00000"/>
    <numFmt numFmtId="177" formatCode="_(&quot;$&quot;* #,##0.00000_);_(&quot;$&quot;* \(#,##0.00000\);_(&quot;$&quot;* &quot;-&quot;?????_);_(@_)"/>
    <numFmt numFmtId="178" formatCode="&quot;$&quot;#,##0.00000"/>
    <numFmt numFmtId="179" formatCode="_-&quot;$&quot;* #,##0.0000_-;\-&quot;$&quot;* #,##0.0000_-;_-&quot;$&quot;* &quot;-&quot;??_-;_-@"/>
    <numFmt numFmtId="180" formatCode="&quot;$&quot;#,##0.000000"/>
    <numFmt numFmtId="181" formatCode="_-&quot;$&quot;* #,##0.000_-;\-&quot;$&quot;* #,##0.000_-;_-&quot;$&quot;* &quot;-&quot;??_-;_-@"/>
    <numFmt numFmtId="182" formatCode="&quot;$&quot;#,##0.00"/>
    <numFmt numFmtId="183" formatCode="[$-409]dd\-mmm\-yy;@"/>
    <numFmt numFmtId="184" formatCode="&quot;$&quot;#,##0.000"/>
    <numFmt numFmtId="185" formatCode="_(* #,##0.0000_);_(* \(#,##0.0000\);_(* &quot;-&quot;??_);_(@_)"/>
    <numFmt numFmtId="186" formatCode="_(&quot;$&quot;* #,##0.000_);_(&quot;$&quot;* \(#,##0.000\);_(&quot;$&quot;* &quot;-&quot;??_);_(@_)"/>
    <numFmt numFmtId="187" formatCode="_(&quot;$&quot;* #,##0.00000_);_(&quot;$&quot;* \(#,##0.00000\);_(&quot;$&quot;* &quot;-&quot;??_);_(@_)"/>
    <numFmt numFmtId="188" formatCode="[$-409]d\-mmm;@"/>
    <numFmt numFmtId="189" formatCode="_(* #,##0.00000_);_(* \(#,##0.00000\);_(* &quot;-&quot;??_);_(@_)"/>
    <numFmt numFmtId="190" formatCode="_(&quot;$&quot;* #,##0.0000_);_(&quot;$&quot;* \(#,##0.0000\);_(&quot;$&quot;* &quot;-&quot;????_);_(@_)"/>
  </numFmts>
  <fonts count="60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002060"/>
      <name val="Calibri"/>
      <family val="2"/>
    </font>
    <font>
      <sz val="10"/>
      <color theme="1"/>
      <name val="Calibri"/>
      <family val="2"/>
    </font>
    <font>
      <u/>
      <sz val="8"/>
      <color rgb="FF0000FF"/>
      <name val="Arial"/>
      <family val="2"/>
    </font>
    <font>
      <u/>
      <sz val="8"/>
      <color rgb="FF0000FF"/>
      <name val="Arial"/>
      <family val="2"/>
    </font>
    <font>
      <u/>
      <sz val="9"/>
      <color rgb="FF0000FF"/>
      <name val="Arial"/>
      <family val="2"/>
    </font>
    <font>
      <u/>
      <sz val="8"/>
      <color rgb="FF0000FF"/>
      <name val="Calibri"/>
      <family val="2"/>
    </font>
    <font>
      <sz val="8"/>
      <color theme="1"/>
      <name val="Arial"/>
      <family val="2"/>
    </font>
    <font>
      <sz val="9"/>
      <color theme="1"/>
      <name val="Calibri"/>
      <family val="2"/>
    </font>
    <font>
      <u/>
      <sz val="8"/>
      <color rgb="FF0000FF"/>
      <name val="Arial"/>
      <family val="2"/>
    </font>
    <font>
      <u/>
      <sz val="8"/>
      <color rgb="FF0000FF"/>
      <name val="Calibri"/>
      <family val="2"/>
    </font>
    <font>
      <i/>
      <sz val="8"/>
      <color theme="1"/>
      <name val="Calibri"/>
      <family val="2"/>
    </font>
    <font>
      <u/>
      <sz val="10"/>
      <color rgb="FF0000FF"/>
      <name val="Arial"/>
      <family val="2"/>
    </font>
    <font>
      <u/>
      <sz val="8"/>
      <color theme="1"/>
      <name val="Calibri"/>
      <family val="2"/>
    </font>
    <font>
      <u/>
      <sz val="8"/>
      <color rgb="FF0000FF"/>
      <name val="Arial"/>
      <family val="2"/>
    </font>
    <font>
      <sz val="8"/>
      <name val="Arial"/>
      <family val="2"/>
    </font>
    <font>
      <sz val="8"/>
      <color theme="1"/>
      <name val="Calibri"/>
      <family val="2"/>
    </font>
    <font>
      <u/>
      <sz val="10"/>
      <color theme="10"/>
      <name val="Arial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theme="1"/>
      <name val="Calibri"/>
      <family val="2"/>
    </font>
    <font>
      <i/>
      <sz val="7"/>
      <color theme="1"/>
      <name val="Calibri"/>
      <family val="2"/>
    </font>
    <font>
      <b/>
      <sz val="9"/>
      <color theme="0"/>
      <name val="Calibri"/>
      <family val="2"/>
    </font>
    <font>
      <b/>
      <sz val="9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9"/>
      <color rgb="FF000000"/>
      <name val="Calibri"/>
      <family val="2"/>
      <scheme val="major"/>
    </font>
    <font>
      <b/>
      <sz val="9"/>
      <color rgb="FF002060"/>
      <name val="Calibri"/>
      <family val="2"/>
      <scheme val="major"/>
    </font>
    <font>
      <i/>
      <sz val="9"/>
      <color theme="1"/>
      <name val="Calibri"/>
      <family val="2"/>
      <scheme val="major"/>
    </font>
    <font>
      <sz val="9"/>
      <name val="Calibri"/>
      <family val="2"/>
      <scheme val="major"/>
    </font>
    <font>
      <b/>
      <i/>
      <sz val="9"/>
      <color theme="1"/>
      <name val="Calibri"/>
      <family val="2"/>
      <scheme val="major"/>
    </font>
    <font>
      <b/>
      <i/>
      <sz val="9"/>
      <color rgb="FFFF0000"/>
      <name val="Calibri"/>
      <family val="2"/>
      <scheme val="major"/>
    </font>
    <font>
      <b/>
      <sz val="9"/>
      <name val="Calibri"/>
      <family val="2"/>
      <scheme val="major"/>
    </font>
    <font>
      <b/>
      <sz val="9"/>
      <color indexed="81"/>
      <name val="Tahoma"/>
      <family val="2"/>
    </font>
    <font>
      <sz val="10"/>
      <color rgb="FF000000"/>
      <name val="Arial"/>
      <family val="2"/>
    </font>
    <font>
      <b/>
      <sz val="6"/>
      <name val="Calibri"/>
      <family val="2"/>
      <scheme val="major"/>
    </font>
    <font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i/>
      <sz val="9"/>
      <name val="Calibri"/>
      <family val="2"/>
      <scheme val="major"/>
    </font>
    <font>
      <i/>
      <sz val="9"/>
      <color rgb="FFFF0000"/>
      <name val="Calibri"/>
      <family val="2"/>
      <scheme val="major"/>
    </font>
    <font>
      <b/>
      <sz val="9"/>
      <color rgb="FFFF0000"/>
      <name val="Calibri"/>
      <family val="2"/>
      <scheme val="major"/>
    </font>
    <font>
      <b/>
      <sz val="9"/>
      <color rgb="FF00B050"/>
      <name val="Symbol"/>
      <family val="1"/>
      <charset val="2"/>
    </font>
    <font>
      <b/>
      <i/>
      <sz val="9"/>
      <color rgb="FFED0000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b/>
      <sz val="9"/>
      <color theme="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FF0000"/>
      <name val="Calibri"/>
      <family val="2"/>
      <scheme val="major"/>
    </font>
    <font>
      <b/>
      <sz val="10"/>
      <name val="Calibri"/>
      <family val="2"/>
      <scheme val="major"/>
    </font>
    <font>
      <sz val="9"/>
      <color rgb="FFFFFFFF"/>
      <name val="Calibri"/>
      <family val="2"/>
      <scheme val="major"/>
    </font>
    <font>
      <sz val="9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F243E"/>
        <bgColor rgb="FF0F243E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theme="0" tint="-0.34998626667073579"/>
        <bgColor rgb="FF0F243E"/>
      </patternFill>
    </fill>
    <fill>
      <patternFill patternType="solid">
        <fgColor rgb="FF00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0F243E"/>
      </patternFill>
    </fill>
    <fill>
      <patternFill patternType="solid">
        <fgColor rgb="FFFFFF00"/>
        <bgColor rgb="FF00FF00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0F243E"/>
      </patternFill>
    </fill>
    <fill>
      <patternFill patternType="solid">
        <fgColor theme="9" tint="0.79998168889431442"/>
        <bgColor rgb="FF0F243E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1" fillId="0" borderId="0" applyNumberFormat="0" applyFill="0" applyBorder="0" applyAlignment="0" applyProtection="0"/>
    <xf numFmtId="0" fontId="22" fillId="0" borderId="1"/>
    <xf numFmtId="44" fontId="23" fillId="0" borderId="0" applyFont="0" applyFill="0" applyBorder="0" applyAlignment="0" applyProtection="0"/>
    <xf numFmtId="0" fontId="1" fillId="0" borderId="1"/>
    <xf numFmtId="43" fontId="38" fillId="0" borderId="0" applyFont="0" applyFill="0" applyBorder="0" applyAlignment="0" applyProtection="0"/>
  </cellStyleXfs>
  <cellXfs count="37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166" fontId="2" fillId="0" borderId="3" xfId="0" applyNumberFormat="1" applyFont="1" applyBorder="1" applyAlignment="1">
      <alignment horizontal="right" vertical="center"/>
    </xf>
    <xf numFmtId="167" fontId="2" fillId="0" borderId="3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quotePrefix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68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169" fontId="2" fillId="0" borderId="3" xfId="0" applyNumberFormat="1" applyFont="1" applyBorder="1" applyAlignment="1">
      <alignment horizontal="center" vertical="center"/>
    </xf>
    <xf numFmtId="170" fontId="2" fillId="0" borderId="3" xfId="0" applyNumberFormat="1" applyFont="1" applyBorder="1" applyAlignment="1">
      <alignment horizontal="center" vertical="center"/>
    </xf>
    <xf numFmtId="171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/>
    </xf>
    <xf numFmtId="16" fontId="2" fillId="0" borderId="3" xfId="0" applyNumberFormat="1" applyFont="1" applyBorder="1" applyAlignment="1">
      <alignment horizontal="center" vertical="center"/>
    </xf>
    <xf numFmtId="0" fontId="2" fillId="0" borderId="3" xfId="0" applyFont="1" applyBorder="1"/>
    <xf numFmtId="0" fontId="2" fillId="0" borderId="3" xfId="0" applyFont="1" applyBorder="1" applyAlignment="1">
      <alignment horizontal="center" wrapText="1"/>
    </xf>
    <xf numFmtId="3" fontId="2" fillId="0" borderId="3" xfId="0" applyNumberFormat="1" applyFont="1" applyBorder="1" applyAlignment="1">
      <alignment horizontal="right"/>
    </xf>
    <xf numFmtId="166" fontId="2" fillId="0" borderId="3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/>
    </xf>
    <xf numFmtId="173" fontId="2" fillId="0" borderId="3" xfId="0" applyNumberFormat="1" applyFont="1" applyBorder="1" applyAlignment="1">
      <alignment horizontal="right" vertical="center"/>
    </xf>
    <xf numFmtId="1" fontId="2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170" fontId="2" fillId="0" borderId="3" xfId="0" applyNumberFormat="1" applyFont="1" applyBorder="1" applyAlignment="1">
      <alignment horizontal="right" vertical="center"/>
    </xf>
    <xf numFmtId="175" fontId="2" fillId="0" borderId="3" xfId="0" applyNumberFormat="1" applyFont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left" vertical="center"/>
    </xf>
    <xf numFmtId="0" fontId="19" fillId="0" borderId="3" xfId="0" applyFont="1" applyBorder="1" applyAlignment="1">
      <alignment horizontal="center" vertical="center"/>
    </xf>
    <xf numFmtId="175" fontId="2" fillId="0" borderId="0" xfId="0" applyNumberFormat="1" applyFont="1" applyAlignment="1">
      <alignment horizontal="center" vertical="center" wrapText="1"/>
    </xf>
    <xf numFmtId="177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 wrapText="1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20" fillId="0" borderId="3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167" fontId="24" fillId="0" borderId="3" xfId="0" applyNumberFormat="1" applyFont="1" applyBorder="1" applyAlignment="1">
      <alignment horizontal="center" vertical="center"/>
    </xf>
    <xf numFmtId="183" fontId="25" fillId="0" borderId="3" xfId="0" applyNumberFormat="1" applyFont="1" applyBorder="1" applyAlignment="1">
      <alignment horizontal="center" vertical="center"/>
    </xf>
    <xf numFmtId="167" fontId="25" fillId="0" borderId="3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7" fontId="6" fillId="0" borderId="3" xfId="0" applyNumberFormat="1" applyFont="1" applyBorder="1" applyAlignment="1">
      <alignment horizontal="center" vertical="center"/>
    </xf>
    <xf numFmtId="180" fontId="24" fillId="0" borderId="3" xfId="0" applyNumberFormat="1" applyFont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167" fontId="15" fillId="0" borderId="3" xfId="0" applyNumberFormat="1" applyFont="1" applyBorder="1" applyAlignment="1">
      <alignment horizontal="center" vertical="center"/>
    </xf>
    <xf numFmtId="172" fontId="0" fillId="0" borderId="0" xfId="3" applyNumberFormat="1" applyFont="1"/>
    <xf numFmtId="44" fontId="0" fillId="0" borderId="0" xfId="0" applyNumberFormat="1"/>
    <xf numFmtId="44" fontId="0" fillId="0" borderId="0" xfId="3" applyFont="1"/>
    <xf numFmtId="181" fontId="2" fillId="0" borderId="0" xfId="0" applyNumberFormat="1" applyFont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167" fontId="2" fillId="0" borderId="7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167" fontId="2" fillId="0" borderId="5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21" fillId="0" borderId="5" xfId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8" fontId="2" fillId="0" borderId="5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4" fontId="2" fillId="0" borderId="5" xfId="3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169" fontId="2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44" fontId="2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right"/>
    </xf>
    <xf numFmtId="0" fontId="2" fillId="0" borderId="5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right" vertical="center"/>
    </xf>
    <xf numFmtId="3" fontId="2" fillId="0" borderId="5" xfId="0" applyNumberFormat="1" applyFont="1" applyBorder="1" applyAlignment="1">
      <alignment horizontal="right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167" fontId="2" fillId="0" borderId="5" xfId="0" applyNumberFormat="1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 vertical="center" wrapText="1"/>
    </xf>
    <xf numFmtId="179" fontId="2" fillId="0" borderId="5" xfId="0" applyNumberFormat="1" applyFont="1" applyBorder="1" applyAlignment="1">
      <alignment horizontal="center" vertical="center"/>
    </xf>
    <xf numFmtId="181" fontId="2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73" fontId="2" fillId="0" borderId="5" xfId="0" applyNumberFormat="1" applyFont="1" applyBorder="1" applyAlignment="1">
      <alignment horizontal="right" vertical="center"/>
    </xf>
    <xf numFmtId="0" fontId="16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74" fontId="2" fillId="0" borderId="5" xfId="0" applyNumberFormat="1" applyFont="1" applyBorder="1" applyAlignment="1">
      <alignment horizontal="center" vertical="center"/>
    </xf>
    <xf numFmtId="167" fontId="19" fillId="0" borderId="5" xfId="0" applyNumberFormat="1" applyFont="1" applyBorder="1" applyAlignment="1">
      <alignment horizontal="center" vertical="center"/>
    </xf>
    <xf numFmtId="169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center" vertical="center"/>
    </xf>
    <xf numFmtId="3" fontId="19" fillId="0" borderId="5" xfId="0" applyNumberFormat="1" applyFont="1" applyBorder="1" applyAlignment="1">
      <alignment horizontal="right" vertical="center"/>
    </xf>
    <xf numFmtId="0" fontId="19" fillId="0" borderId="5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82" fontId="2" fillId="0" borderId="5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184" fontId="24" fillId="0" borderId="3" xfId="0" applyNumberFormat="1" applyFont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0" fontId="21" fillId="0" borderId="5" xfId="1" applyBorder="1" applyAlignment="1">
      <alignment horizontal="center"/>
    </xf>
    <xf numFmtId="0" fontId="2" fillId="8" borderId="3" xfId="0" applyFont="1" applyFill="1" applyBorder="1" applyAlignment="1">
      <alignment horizontal="center" vertical="center"/>
    </xf>
    <xf numFmtId="0" fontId="28" fillId="3" borderId="5" xfId="0" applyFont="1" applyFill="1" applyBorder="1" applyAlignment="1">
      <alignment horizontal="center" vertical="center" wrapText="1"/>
    </xf>
    <xf numFmtId="49" fontId="29" fillId="0" borderId="5" xfId="0" applyNumberFormat="1" applyFont="1" applyBorder="1" applyAlignment="1">
      <alignment horizontal="left" vertical="center"/>
    </xf>
    <xf numFmtId="49" fontId="29" fillId="0" borderId="5" xfId="0" applyNumberFormat="1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29" fillId="2" borderId="1" xfId="0" applyFont="1" applyFill="1" applyBorder="1" applyAlignment="1">
      <alignment horizontal="left" vertical="center"/>
    </xf>
    <xf numFmtId="16" fontId="29" fillId="2" borderId="1" xfId="0" applyNumberFormat="1" applyFont="1" applyFill="1" applyBorder="1" applyAlignment="1">
      <alignment horizontal="left" vertical="center"/>
    </xf>
    <xf numFmtId="167" fontId="29" fillId="0" borderId="5" xfId="0" applyNumberFormat="1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/>
    </xf>
    <xf numFmtId="0" fontId="29" fillId="0" borderId="5" xfId="0" quotePrefix="1" applyFont="1" applyBorder="1" applyAlignment="1">
      <alignment horizontal="left" vertical="center"/>
    </xf>
    <xf numFmtId="0" fontId="33" fillId="0" borderId="5" xfId="0" applyFont="1" applyBorder="1" applyAlignment="1">
      <alignment horizontal="left" vertical="center"/>
    </xf>
    <xf numFmtId="49" fontId="30" fillId="0" borderId="0" xfId="0" applyNumberFormat="1" applyFont="1" applyAlignment="1">
      <alignment horizontal="center"/>
    </xf>
    <xf numFmtId="0" fontId="30" fillId="0" borderId="7" xfId="0" applyFont="1" applyBorder="1" applyAlignment="1">
      <alignment horizontal="left"/>
    </xf>
    <xf numFmtId="18" fontId="30" fillId="0" borderId="0" xfId="0" applyNumberFormat="1" applyFont="1" applyAlignment="1">
      <alignment horizontal="center"/>
    </xf>
    <xf numFmtId="0" fontId="29" fillId="0" borderId="5" xfId="0" applyFont="1" applyBorder="1" applyAlignment="1">
      <alignment horizontal="left" wrapText="1"/>
    </xf>
    <xf numFmtId="49" fontId="28" fillId="3" borderId="5" xfId="0" applyNumberFormat="1" applyFont="1" applyFill="1" applyBorder="1" applyAlignment="1">
      <alignment horizontal="center" vertical="center" wrapText="1"/>
    </xf>
    <xf numFmtId="0" fontId="28" fillId="6" borderId="5" xfId="0" applyFont="1" applyFill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49" fontId="34" fillId="0" borderId="5" xfId="0" applyNumberFormat="1" applyFont="1" applyBorder="1" applyAlignment="1">
      <alignment horizontal="center" vertical="center"/>
    </xf>
    <xf numFmtId="49" fontId="27" fillId="0" borderId="5" xfId="0" applyNumberFormat="1" applyFont="1" applyBorder="1" applyAlignment="1">
      <alignment horizontal="center" vertical="center"/>
    </xf>
    <xf numFmtId="49" fontId="29" fillId="0" borderId="5" xfId="0" applyNumberFormat="1" applyFont="1" applyBorder="1" applyAlignment="1">
      <alignment horizontal="center" vertical="center"/>
    </xf>
    <xf numFmtId="16" fontId="29" fillId="0" borderId="5" xfId="0" applyNumberFormat="1" applyFont="1" applyBorder="1" applyAlignment="1">
      <alignment horizontal="center" vertical="center"/>
    </xf>
    <xf numFmtId="0" fontId="29" fillId="0" borderId="5" xfId="0" applyFont="1" applyBorder="1" applyAlignment="1">
      <alignment horizontal="center"/>
    </xf>
    <xf numFmtId="0" fontId="29" fillId="0" borderId="5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left"/>
    </xf>
    <xf numFmtId="0" fontId="29" fillId="8" borderId="5" xfId="0" applyFont="1" applyFill="1" applyBorder="1" applyAlignment="1">
      <alignment horizontal="left" vertical="center" wrapText="1"/>
    </xf>
    <xf numFmtId="0" fontId="29" fillId="9" borderId="5" xfId="0" applyFont="1" applyFill="1" applyBorder="1" applyAlignment="1">
      <alignment horizontal="left" vertical="center"/>
    </xf>
    <xf numFmtId="0" fontId="29" fillId="9" borderId="5" xfId="0" applyFont="1" applyFill="1" applyBorder="1" applyAlignment="1">
      <alignment horizontal="left" vertical="center" wrapText="1"/>
    </xf>
    <xf numFmtId="49" fontId="33" fillId="0" borderId="5" xfId="0" applyNumberFormat="1" applyFont="1" applyBorder="1" applyAlignment="1">
      <alignment horizontal="left" vertical="center"/>
    </xf>
    <xf numFmtId="0" fontId="33" fillId="0" borderId="5" xfId="0" applyFont="1" applyBorder="1" applyAlignment="1">
      <alignment horizontal="center" vertical="center"/>
    </xf>
    <xf numFmtId="49" fontId="34" fillId="10" borderId="5" xfId="0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67" fontId="35" fillId="0" borderId="5" xfId="0" applyNumberFormat="1" applyFont="1" applyBorder="1" applyAlignment="1">
      <alignment horizontal="center" vertical="center"/>
    </xf>
    <xf numFmtId="165" fontId="29" fillId="2" borderId="1" xfId="0" applyNumberFormat="1" applyFont="1" applyFill="1" applyBorder="1" applyAlignment="1">
      <alignment horizontal="center" vertical="center"/>
    </xf>
    <xf numFmtId="165" fontId="29" fillId="0" borderId="5" xfId="0" applyNumberFormat="1" applyFont="1" applyBorder="1" applyAlignment="1">
      <alignment horizontal="center" vertical="center"/>
    </xf>
    <xf numFmtId="168" fontId="29" fillId="0" borderId="5" xfId="0" applyNumberFormat="1" applyFont="1" applyBorder="1" applyAlignment="1">
      <alignment horizontal="center" vertical="center"/>
    </xf>
    <xf numFmtId="169" fontId="29" fillId="0" borderId="5" xfId="0" applyNumberFormat="1" applyFont="1" applyBorder="1" applyAlignment="1">
      <alignment horizontal="center" vertical="center"/>
    </xf>
    <xf numFmtId="2" fontId="29" fillId="0" borderId="5" xfId="0" applyNumberFormat="1" applyFont="1" applyBorder="1" applyAlignment="1">
      <alignment horizontal="center" vertical="center"/>
    </xf>
    <xf numFmtId="165" fontId="29" fillId="0" borderId="5" xfId="0" applyNumberFormat="1" applyFont="1" applyBorder="1" applyAlignment="1">
      <alignment horizontal="center" vertical="center" wrapText="1"/>
    </xf>
    <xf numFmtId="174" fontId="29" fillId="0" borderId="5" xfId="0" applyNumberFormat="1" applyFont="1" applyBorder="1" applyAlignment="1">
      <alignment horizontal="center" vertical="center"/>
    </xf>
    <xf numFmtId="2" fontId="33" fillId="0" borderId="5" xfId="0" applyNumberFormat="1" applyFont="1" applyBorder="1" applyAlignment="1">
      <alignment horizontal="center" vertical="center"/>
    </xf>
    <xf numFmtId="176" fontId="29" fillId="0" borderId="5" xfId="0" applyNumberFormat="1" applyFont="1" applyBorder="1" applyAlignment="1">
      <alignment horizontal="center" vertical="center"/>
    </xf>
    <xf numFmtId="167" fontId="32" fillId="0" borderId="5" xfId="0" applyNumberFormat="1" applyFont="1" applyBorder="1" applyAlignment="1">
      <alignment horizontal="left" vertical="center" wrapText="1"/>
    </xf>
    <xf numFmtId="172" fontId="32" fillId="8" borderId="5" xfId="3" applyNumberFormat="1" applyFont="1" applyFill="1" applyBorder="1" applyAlignment="1">
      <alignment horizontal="left" vertical="center"/>
    </xf>
    <xf numFmtId="0" fontId="29" fillId="8" borderId="5" xfId="0" applyFont="1" applyFill="1" applyBorder="1" applyAlignment="1">
      <alignment horizontal="left" vertical="center"/>
    </xf>
    <xf numFmtId="172" fontId="29" fillId="8" borderId="5" xfId="3" applyNumberFormat="1" applyFont="1" applyFill="1" applyBorder="1" applyAlignment="1">
      <alignment horizontal="left" vertical="center"/>
    </xf>
    <xf numFmtId="0" fontId="35" fillId="0" borderId="5" xfId="0" applyFont="1" applyBorder="1" applyAlignment="1">
      <alignment horizontal="center" vertical="center"/>
    </xf>
    <xf numFmtId="172" fontId="32" fillId="0" borderId="5" xfId="3" applyNumberFormat="1" applyFont="1" applyFill="1" applyBorder="1" applyAlignment="1">
      <alignment horizontal="left" vertical="center"/>
    </xf>
    <xf numFmtId="43" fontId="29" fillId="0" borderId="5" xfId="5" applyFont="1" applyBorder="1" applyAlignment="1">
      <alignment horizontal="center" vertical="center"/>
    </xf>
    <xf numFmtId="183" fontId="32" fillId="0" borderId="5" xfId="0" applyNumberFormat="1" applyFont="1" applyBorder="1" applyAlignment="1">
      <alignment horizontal="center" vertical="center"/>
    </xf>
    <xf numFmtId="167" fontId="33" fillId="0" borderId="5" xfId="0" applyNumberFormat="1" applyFont="1" applyBorder="1" applyAlignment="1">
      <alignment horizontal="left" vertical="center"/>
    </xf>
    <xf numFmtId="0" fontId="30" fillId="0" borderId="1" xfId="0" applyFont="1" applyBorder="1" applyAlignment="1">
      <alignment horizontal="left"/>
    </xf>
    <xf numFmtId="0" fontId="39" fillId="17" borderId="5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/>
    </xf>
    <xf numFmtId="0" fontId="29" fillId="11" borderId="5" xfId="0" applyFont="1" applyFill="1" applyBorder="1" applyAlignment="1">
      <alignment horizontal="left" vertical="center"/>
    </xf>
    <xf numFmtId="172" fontId="29" fillId="2" borderId="1" xfId="3" applyNumberFormat="1" applyFont="1" applyFill="1" applyBorder="1" applyAlignment="1">
      <alignment horizontal="left" vertical="center"/>
    </xf>
    <xf numFmtId="172" fontId="29" fillId="0" borderId="5" xfId="3" applyNumberFormat="1" applyFont="1" applyBorder="1" applyAlignment="1">
      <alignment horizontal="left" vertical="center"/>
    </xf>
    <xf numFmtId="172" fontId="30" fillId="0" borderId="0" xfId="3" applyNumberFormat="1" applyFont="1" applyAlignment="1">
      <alignment horizontal="left"/>
    </xf>
    <xf numFmtId="172" fontId="29" fillId="2" borderId="1" xfId="3" applyNumberFormat="1" applyFont="1" applyFill="1" applyBorder="1" applyAlignment="1">
      <alignment horizontal="center" vertical="center"/>
    </xf>
    <xf numFmtId="172" fontId="31" fillId="7" borderId="5" xfId="3" applyNumberFormat="1" applyFont="1" applyFill="1" applyBorder="1" applyAlignment="1">
      <alignment horizontal="center" vertical="center" wrapText="1"/>
    </xf>
    <xf numFmtId="172" fontId="27" fillId="0" borderId="5" xfId="3" applyNumberFormat="1" applyFont="1" applyBorder="1" applyAlignment="1">
      <alignment horizontal="center" vertical="center"/>
    </xf>
    <xf numFmtId="172" fontId="30" fillId="0" borderId="0" xfId="3" applyNumberFormat="1" applyFont="1" applyAlignment="1">
      <alignment horizontal="center"/>
    </xf>
    <xf numFmtId="172" fontId="29" fillId="2" borderId="1" xfId="3" applyNumberFormat="1" applyFont="1" applyFill="1" applyBorder="1" applyAlignment="1">
      <alignment vertical="center"/>
    </xf>
    <xf numFmtId="172" fontId="28" fillId="6" borderId="5" xfId="3" applyNumberFormat="1" applyFont="1" applyFill="1" applyBorder="1" applyAlignment="1">
      <alignment vertical="center" wrapText="1"/>
    </xf>
    <xf numFmtId="172" fontId="32" fillId="0" borderId="5" xfId="3" applyNumberFormat="1" applyFont="1" applyBorder="1" applyAlignment="1">
      <alignment vertical="center"/>
    </xf>
    <xf numFmtId="172" fontId="32" fillId="0" borderId="5" xfId="3" applyNumberFormat="1" applyFont="1" applyBorder="1" applyAlignment="1">
      <alignment horizontal="left" vertical="center"/>
    </xf>
    <xf numFmtId="172" fontId="27" fillId="0" borderId="5" xfId="3" applyNumberFormat="1" applyFont="1" applyBorder="1" applyAlignment="1">
      <alignment horizontal="left" vertical="center"/>
    </xf>
    <xf numFmtId="172" fontId="29" fillId="0" borderId="5" xfId="3" applyNumberFormat="1" applyFont="1" applyBorder="1" applyAlignment="1">
      <alignment vertical="center"/>
    </xf>
    <xf numFmtId="172" fontId="32" fillId="8" borderId="5" xfId="3" applyNumberFormat="1" applyFont="1" applyFill="1" applyBorder="1" applyAlignment="1">
      <alignment vertical="center"/>
    </xf>
    <xf numFmtId="172" fontId="30" fillId="0" borderId="0" xfId="3" applyNumberFormat="1" applyFont="1"/>
    <xf numFmtId="172" fontId="36" fillId="15" borderId="5" xfId="3" applyNumberFormat="1" applyFont="1" applyFill="1" applyBorder="1" applyAlignment="1">
      <alignment horizontal="center" vertical="center" wrapText="1"/>
    </xf>
    <xf numFmtId="172" fontId="32" fillId="0" borderId="5" xfId="3" applyNumberFormat="1" applyFont="1" applyBorder="1" applyAlignment="1">
      <alignment horizontal="center" vertical="center"/>
    </xf>
    <xf numFmtId="185" fontId="29" fillId="2" borderId="1" xfId="5" applyNumberFormat="1" applyFont="1" applyFill="1" applyBorder="1" applyAlignment="1">
      <alignment horizontal="left" vertical="center"/>
    </xf>
    <xf numFmtId="185" fontId="36" fillId="14" borderId="5" xfId="5" applyNumberFormat="1" applyFont="1" applyFill="1" applyBorder="1" applyAlignment="1">
      <alignment horizontal="center" vertical="center" wrapText="1"/>
    </xf>
    <xf numFmtId="185" fontId="29" fillId="8" borderId="5" xfId="5" applyNumberFormat="1" applyFont="1" applyFill="1" applyBorder="1" applyAlignment="1">
      <alignment horizontal="left" vertical="center"/>
    </xf>
    <xf numFmtId="185" fontId="32" fillId="8" borderId="5" xfId="5" applyNumberFormat="1" applyFont="1" applyFill="1" applyBorder="1" applyAlignment="1">
      <alignment horizontal="left" vertical="center"/>
    </xf>
    <xf numFmtId="185" fontId="29" fillId="0" borderId="5" xfId="5" applyNumberFormat="1" applyFont="1" applyFill="1" applyBorder="1" applyAlignment="1">
      <alignment horizontal="left" vertical="center"/>
    </xf>
    <xf numFmtId="185" fontId="32" fillId="0" borderId="5" xfId="5" applyNumberFormat="1" applyFont="1" applyBorder="1" applyAlignment="1">
      <alignment horizontal="center" vertical="center"/>
    </xf>
    <xf numFmtId="185" fontId="29" fillId="0" borderId="5" xfId="5" applyNumberFormat="1" applyFont="1" applyBorder="1" applyAlignment="1">
      <alignment horizontal="left" vertical="center"/>
    </xf>
    <xf numFmtId="185" fontId="33" fillId="8" borderId="5" xfId="5" applyNumberFormat="1" applyFont="1" applyFill="1" applyBorder="1" applyAlignment="1">
      <alignment horizontal="left" vertical="center"/>
    </xf>
    <xf numFmtId="185" fontId="30" fillId="0" borderId="0" xfId="5" applyNumberFormat="1" applyFont="1" applyAlignment="1">
      <alignment horizontal="left"/>
    </xf>
    <xf numFmtId="0" fontId="30" fillId="8" borderId="1" xfId="0" applyFont="1" applyFill="1" applyBorder="1" applyAlignment="1">
      <alignment horizontal="left"/>
    </xf>
    <xf numFmtId="0" fontId="30" fillId="8" borderId="1" xfId="0" applyFont="1" applyFill="1" applyBorder="1" applyAlignment="1">
      <alignment horizontal="center"/>
    </xf>
    <xf numFmtId="0" fontId="30" fillId="8" borderId="1" xfId="0" applyFont="1" applyFill="1" applyBorder="1" applyAlignment="1">
      <alignment horizontal="left" vertical="center"/>
    </xf>
    <xf numFmtId="0" fontId="30" fillId="0" borderId="5" xfId="0" applyFont="1" applyBorder="1" applyAlignment="1">
      <alignment horizontal="center"/>
    </xf>
    <xf numFmtId="43" fontId="30" fillId="0" borderId="5" xfId="5" applyFont="1" applyFill="1" applyBorder="1" applyAlignment="1">
      <alignment horizontal="left"/>
    </xf>
    <xf numFmtId="0" fontId="30" fillId="0" borderId="5" xfId="0" applyFont="1" applyBorder="1" applyAlignment="1">
      <alignment horizontal="center" vertical="center"/>
    </xf>
    <xf numFmtId="43" fontId="30" fillId="0" borderId="0" xfId="5" applyFont="1" applyFill="1" applyAlignment="1">
      <alignment horizontal="left"/>
    </xf>
    <xf numFmtId="43" fontId="30" fillId="0" borderId="1" xfId="5" applyFont="1" applyFill="1" applyBorder="1" applyAlignment="1">
      <alignment horizontal="left"/>
    </xf>
    <xf numFmtId="0" fontId="30" fillId="0" borderId="5" xfId="0" applyFont="1" applyBorder="1" applyAlignment="1">
      <alignment horizontal="center" wrapText="1"/>
    </xf>
    <xf numFmtId="0" fontId="41" fillId="0" borderId="1" xfId="0" applyFont="1" applyBorder="1" applyAlignment="1">
      <alignment vertical="center"/>
    </xf>
    <xf numFmtId="167" fontId="29" fillId="0" borderId="5" xfId="0" applyNumberFormat="1" applyFont="1" applyBorder="1" applyAlignment="1">
      <alignment horizontal="left" vertical="center" wrapText="1"/>
    </xf>
    <xf numFmtId="167" fontId="33" fillId="13" borderId="5" xfId="0" applyNumberFormat="1" applyFont="1" applyFill="1" applyBorder="1" applyAlignment="1">
      <alignment horizontal="left" vertical="center" wrapText="1"/>
    </xf>
    <xf numFmtId="167" fontId="42" fillId="0" borderId="5" xfId="0" applyNumberFormat="1" applyFont="1" applyBorder="1" applyAlignment="1">
      <alignment horizontal="left" vertical="center"/>
    </xf>
    <xf numFmtId="167" fontId="43" fillId="0" borderId="5" xfId="0" applyNumberFormat="1" applyFont="1" applyBorder="1" applyAlignment="1">
      <alignment horizontal="left" vertical="center"/>
    </xf>
    <xf numFmtId="180" fontId="29" fillId="0" borderId="5" xfId="0" applyNumberFormat="1" applyFont="1" applyBorder="1" applyAlignment="1">
      <alignment horizontal="left" vertical="center"/>
    </xf>
    <xf numFmtId="49" fontId="44" fillId="2" borderId="1" xfId="0" applyNumberFormat="1" applyFont="1" applyFill="1" applyBorder="1" applyAlignment="1">
      <alignment horizontal="center" vertical="center"/>
    </xf>
    <xf numFmtId="0" fontId="46" fillId="0" borderId="5" xfId="0" applyFont="1" applyBorder="1" applyAlignment="1">
      <alignment horizontal="center" vertical="center"/>
    </xf>
    <xf numFmtId="43" fontId="29" fillId="0" borderId="5" xfId="5" applyFont="1" applyBorder="1" applyAlignment="1">
      <alignment horizontal="right" vertical="center"/>
    </xf>
    <xf numFmtId="43" fontId="30" fillId="0" borderId="5" xfId="5" applyFont="1" applyFill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49" fontId="47" fillId="3" borderId="5" xfId="0" applyNumberFormat="1" applyFont="1" applyFill="1" applyBorder="1" applyAlignment="1">
      <alignment horizontal="center" vertical="center" wrapText="1"/>
    </xf>
    <xf numFmtId="167" fontId="32" fillId="10" borderId="5" xfId="0" applyNumberFormat="1" applyFont="1" applyFill="1" applyBorder="1" applyAlignment="1">
      <alignment horizontal="left" vertical="center"/>
    </xf>
    <xf numFmtId="167" fontId="29" fillId="13" borderId="5" xfId="0" applyNumberFormat="1" applyFont="1" applyFill="1" applyBorder="1" applyAlignment="1">
      <alignment horizontal="left" vertical="center" wrapText="1"/>
    </xf>
    <xf numFmtId="167" fontId="33" fillId="0" borderId="5" xfId="0" applyNumberFormat="1" applyFont="1" applyBorder="1" applyAlignment="1">
      <alignment horizontal="left" vertical="center" wrapText="1"/>
    </xf>
    <xf numFmtId="0" fontId="29" fillId="2" borderId="1" xfId="0" applyFont="1" applyFill="1" applyBorder="1" applyAlignment="1">
      <alignment horizontal="left" vertical="center" wrapText="1"/>
    </xf>
    <xf numFmtId="167" fontId="43" fillId="0" borderId="5" xfId="0" applyNumberFormat="1" applyFont="1" applyBorder="1" applyAlignment="1">
      <alignment horizontal="left" vertical="center" wrapText="1"/>
    </xf>
    <xf numFmtId="180" fontId="29" fillId="0" borderId="5" xfId="0" applyNumberFormat="1" applyFont="1" applyBorder="1" applyAlignment="1">
      <alignment horizontal="left" vertical="center" wrapText="1"/>
    </xf>
    <xf numFmtId="165" fontId="29" fillId="0" borderId="5" xfId="0" applyNumberFormat="1" applyFont="1" applyBorder="1" applyAlignment="1">
      <alignment horizontal="left" vertical="center" wrapText="1"/>
    </xf>
    <xf numFmtId="0" fontId="30" fillId="0" borderId="0" xfId="0" applyFont="1" applyAlignment="1">
      <alignment horizontal="left" wrapText="1"/>
    </xf>
    <xf numFmtId="186" fontId="32" fillId="8" borderId="5" xfId="3" applyNumberFormat="1" applyFont="1" applyFill="1" applyBorder="1" applyAlignment="1">
      <alignment horizontal="left" vertical="center"/>
    </xf>
    <xf numFmtId="0" fontId="30" fillId="8" borderId="5" xfId="0" applyFont="1" applyFill="1" applyBorder="1" applyAlignment="1">
      <alignment horizontal="left"/>
    </xf>
    <xf numFmtId="0" fontId="49" fillId="0" borderId="5" xfId="0" applyFont="1" applyBorder="1" applyAlignment="1">
      <alignment horizontal="left" vertical="center"/>
    </xf>
    <xf numFmtId="0" fontId="49" fillId="0" borderId="5" xfId="0" applyFont="1" applyBorder="1" applyAlignment="1">
      <alignment horizontal="center" vertical="center"/>
    </xf>
    <xf numFmtId="14" fontId="49" fillId="0" borderId="5" xfId="0" applyNumberFormat="1" applyFont="1" applyBorder="1" applyAlignment="1">
      <alignment horizontal="center" vertical="center"/>
    </xf>
    <xf numFmtId="0" fontId="49" fillId="10" borderId="10" xfId="0" applyFont="1" applyFill="1" applyBorder="1" applyAlignment="1">
      <alignment horizontal="center" vertical="center"/>
    </xf>
    <xf numFmtId="0" fontId="48" fillId="0" borderId="1" xfId="0" applyFont="1" applyBorder="1" applyAlignment="1">
      <alignment vertical="center"/>
    </xf>
    <xf numFmtId="0" fontId="51" fillId="3" borderId="5" xfId="0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0" fontId="48" fillId="0" borderId="5" xfId="0" applyFont="1" applyBorder="1" applyAlignment="1">
      <alignment horizontal="left" vertical="center"/>
    </xf>
    <xf numFmtId="14" fontId="48" fillId="0" borderId="5" xfId="0" applyNumberFormat="1" applyFont="1" applyBorder="1" applyAlignment="1">
      <alignment horizontal="center" vertical="center"/>
    </xf>
    <xf numFmtId="0" fontId="48" fillId="0" borderId="5" xfId="0" applyFont="1" applyBorder="1" applyAlignment="1">
      <alignment horizontal="left" vertical="center" wrapText="1"/>
    </xf>
    <xf numFmtId="0" fontId="49" fillId="10" borderId="10" xfId="0" applyFont="1" applyFill="1" applyBorder="1" applyAlignment="1">
      <alignment horizontal="center" vertical="center" wrapText="1"/>
    </xf>
    <xf numFmtId="0" fontId="49" fillId="0" borderId="5" xfId="0" applyFont="1" applyBorder="1" applyAlignment="1">
      <alignment horizontal="left" vertical="center" wrapText="1"/>
    </xf>
    <xf numFmtId="16" fontId="49" fillId="10" borderId="10" xfId="0" applyNumberFormat="1" applyFont="1" applyFill="1" applyBorder="1" applyAlignment="1">
      <alignment horizontal="center" vertical="center"/>
    </xf>
    <xf numFmtId="0" fontId="48" fillId="9" borderId="5" xfId="0" applyFont="1" applyFill="1" applyBorder="1" applyAlignment="1">
      <alignment horizontal="center" vertical="center"/>
    </xf>
    <xf numFmtId="14" fontId="49" fillId="8" borderId="5" xfId="0" applyNumberFormat="1" applyFont="1" applyFill="1" applyBorder="1" applyAlignment="1">
      <alignment horizontal="center" vertical="center"/>
    </xf>
    <xf numFmtId="0" fontId="48" fillId="8" borderId="5" xfId="0" applyFont="1" applyFill="1" applyBorder="1" applyAlignment="1">
      <alignment horizontal="center" vertical="center"/>
    </xf>
    <xf numFmtId="0" fontId="48" fillId="10" borderId="10" xfId="0" applyFont="1" applyFill="1" applyBorder="1" applyAlignment="1">
      <alignment horizontal="center" vertical="center"/>
    </xf>
    <xf numFmtId="0" fontId="53" fillId="0" borderId="5" xfId="0" applyFont="1" applyBorder="1" applyAlignment="1">
      <alignment horizontal="left" vertical="center"/>
    </xf>
    <xf numFmtId="0" fontId="53" fillId="0" borderId="5" xfId="0" applyFont="1" applyBorder="1" applyAlignment="1">
      <alignment horizontal="left" vertical="center" wrapText="1"/>
    </xf>
    <xf numFmtId="0" fontId="30" fillId="8" borderId="5" xfId="0" applyFont="1" applyFill="1" applyBorder="1" applyAlignment="1">
      <alignment horizontal="center"/>
    </xf>
    <xf numFmtId="0" fontId="53" fillId="0" borderId="5" xfId="0" applyFont="1" applyBorder="1" applyAlignment="1">
      <alignment horizontal="center"/>
    </xf>
    <xf numFmtId="0" fontId="30" fillId="12" borderId="5" xfId="0" applyFont="1" applyFill="1" applyBorder="1" applyAlignment="1">
      <alignment horizontal="center"/>
    </xf>
    <xf numFmtId="187" fontId="32" fillId="8" borderId="5" xfId="3" applyNumberFormat="1" applyFont="1" applyFill="1" applyBorder="1" applyAlignment="1">
      <alignment horizontal="left" vertical="center"/>
    </xf>
    <xf numFmtId="0" fontId="48" fillId="12" borderId="5" xfId="0" applyFont="1" applyFill="1" applyBorder="1" applyAlignment="1">
      <alignment horizontal="center" vertical="center"/>
    </xf>
    <xf numFmtId="0" fontId="48" fillId="0" borderId="5" xfId="0" applyFont="1" applyBorder="1" applyAlignment="1">
      <alignment vertical="center" wrapText="1"/>
    </xf>
    <xf numFmtId="16" fontId="48" fillId="10" borderId="10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44" fontId="32" fillId="8" borderId="5" xfId="3" applyFont="1" applyFill="1" applyBorder="1" applyAlignment="1">
      <alignment horizontal="left" vertical="center"/>
    </xf>
    <xf numFmtId="0" fontId="30" fillId="8" borderId="1" xfId="0" applyFont="1" applyFill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14" fontId="53" fillId="0" borderId="5" xfId="0" applyNumberFormat="1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8" fillId="8" borderId="5" xfId="0" applyFont="1" applyFill="1" applyBorder="1" applyAlignment="1">
      <alignment horizontal="left" vertical="center"/>
    </xf>
    <xf numFmtId="49" fontId="29" fillId="0" borderId="0" xfId="0" applyNumberFormat="1" applyFont="1" applyAlignment="1">
      <alignment horizontal="left" vertical="center" wrapText="1"/>
    </xf>
    <xf numFmtId="49" fontId="29" fillId="0" borderId="1" xfId="0" applyNumberFormat="1" applyFont="1" applyBorder="1" applyAlignment="1">
      <alignment horizontal="left" vertical="center" wrapText="1"/>
    </xf>
    <xf numFmtId="0" fontId="32" fillId="0" borderId="5" xfId="0" applyFont="1" applyBorder="1" applyAlignment="1">
      <alignment horizontal="center" vertical="center"/>
    </xf>
    <xf numFmtId="0" fontId="32" fillId="0" borderId="5" xfId="3" applyNumberFormat="1" applyFont="1" applyBorder="1" applyAlignment="1">
      <alignment horizontal="center" vertical="center"/>
    </xf>
    <xf numFmtId="44" fontId="29" fillId="0" borderId="5" xfId="3" applyFont="1" applyBorder="1" applyAlignment="1">
      <alignment horizontal="center" vertical="center"/>
    </xf>
    <xf numFmtId="16" fontId="32" fillId="8" borderId="5" xfId="3" applyNumberFormat="1" applyFont="1" applyFill="1" applyBorder="1" applyAlignment="1">
      <alignment horizontal="center" vertical="center"/>
    </xf>
    <xf numFmtId="44" fontId="29" fillId="8" borderId="5" xfId="3" applyFont="1" applyFill="1" applyBorder="1" applyAlignment="1">
      <alignment horizontal="left" vertical="center"/>
    </xf>
    <xf numFmtId="43" fontId="30" fillId="8" borderId="1" xfId="0" applyNumberFormat="1" applyFont="1" applyFill="1" applyBorder="1" applyAlignment="1">
      <alignment horizontal="left" vertical="center"/>
    </xf>
    <xf numFmtId="0" fontId="29" fillId="9" borderId="0" xfId="0" applyFont="1" applyFill="1" applyAlignment="1">
      <alignment horizontal="left" vertical="center"/>
    </xf>
    <xf numFmtId="0" fontId="29" fillId="9" borderId="1" xfId="0" applyFont="1" applyFill="1" applyBorder="1" applyAlignment="1">
      <alignment horizontal="left" vertical="center"/>
    </xf>
    <xf numFmtId="0" fontId="48" fillId="20" borderId="5" xfId="0" applyFont="1" applyFill="1" applyBorder="1" applyAlignment="1">
      <alignment horizontal="center" vertical="center"/>
    </xf>
    <xf numFmtId="0" fontId="29" fillId="0" borderId="5" xfId="5" applyNumberFormat="1" applyFont="1" applyBorder="1" applyAlignment="1">
      <alignment horizontal="center" vertical="center"/>
    </xf>
    <xf numFmtId="44" fontId="29" fillId="0" borderId="5" xfId="3" applyFont="1" applyBorder="1" applyAlignment="1">
      <alignment horizontal="left" vertical="center"/>
    </xf>
    <xf numFmtId="43" fontId="29" fillId="8" borderId="5" xfId="5" applyFont="1" applyFill="1" applyBorder="1" applyAlignment="1">
      <alignment horizontal="left" vertical="center"/>
    </xf>
    <xf numFmtId="0" fontId="29" fillId="0" borderId="5" xfId="3" applyNumberFormat="1" applyFont="1" applyBorder="1" applyAlignment="1">
      <alignment horizontal="center" vertical="center"/>
    </xf>
    <xf numFmtId="187" fontId="29" fillId="8" borderId="5" xfId="3" applyNumberFormat="1" applyFont="1" applyFill="1" applyBorder="1" applyAlignment="1">
      <alignment horizontal="left" vertical="center"/>
    </xf>
    <xf numFmtId="43" fontId="30" fillId="0" borderId="5" xfId="5" applyFont="1" applyFill="1" applyBorder="1" applyAlignment="1">
      <alignment horizontal="center"/>
    </xf>
    <xf numFmtId="172" fontId="29" fillId="0" borderId="5" xfId="3" applyNumberFormat="1" applyFont="1" applyBorder="1" applyAlignment="1">
      <alignment horizontal="center" vertical="center"/>
    </xf>
    <xf numFmtId="164" fontId="27" fillId="2" borderId="1" xfId="0" applyNumberFormat="1" applyFont="1" applyFill="1" applyBorder="1" applyAlignment="1">
      <alignment horizontal="center" vertical="center"/>
    </xf>
    <xf numFmtId="49" fontId="29" fillId="0" borderId="5" xfId="0" applyNumberFormat="1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wrapText="1"/>
    </xf>
    <xf numFmtId="188" fontId="29" fillId="8" borderId="5" xfId="5" applyNumberFormat="1" applyFont="1" applyFill="1" applyBorder="1" applyAlignment="1">
      <alignment horizontal="center" vertical="center"/>
    </xf>
    <xf numFmtId="0" fontId="54" fillId="0" borderId="5" xfId="0" applyFont="1" applyBorder="1" applyAlignment="1">
      <alignment horizontal="left" vertical="center" wrapText="1"/>
    </xf>
    <xf numFmtId="0" fontId="30" fillId="8" borderId="5" xfId="0" applyFont="1" applyFill="1" applyBorder="1" applyAlignment="1">
      <alignment horizontal="left" vertical="center"/>
    </xf>
    <xf numFmtId="0" fontId="48" fillId="12" borderId="1" xfId="0" applyFont="1" applyFill="1" applyBorder="1" applyAlignment="1">
      <alignment vertical="center"/>
    </xf>
    <xf numFmtId="14" fontId="30" fillId="19" borderId="5" xfId="0" applyNumberFormat="1" applyFont="1" applyFill="1" applyBorder="1" applyAlignment="1">
      <alignment horizontal="center"/>
    </xf>
    <xf numFmtId="14" fontId="30" fillId="19" borderId="5" xfId="0" applyNumberFormat="1" applyFont="1" applyFill="1" applyBorder="1" applyAlignment="1">
      <alignment horizontal="center" vertical="center"/>
    </xf>
    <xf numFmtId="0" fontId="30" fillId="0" borderId="5" xfId="0" applyFont="1" applyBorder="1" applyAlignment="1">
      <alignment horizontal="left" vertical="center"/>
    </xf>
    <xf numFmtId="0" fontId="30" fillId="19" borderId="5" xfId="0" applyFont="1" applyFill="1" applyBorder="1" applyAlignment="1">
      <alignment horizontal="left"/>
    </xf>
    <xf numFmtId="0" fontId="55" fillId="21" borderId="5" xfId="0" applyFont="1" applyFill="1" applyBorder="1" applyAlignment="1">
      <alignment horizontal="center" vertical="center"/>
    </xf>
    <xf numFmtId="43" fontId="55" fillId="21" borderId="5" xfId="5" applyFont="1" applyFill="1" applyBorder="1" applyAlignment="1">
      <alignment horizontal="center" vertical="center"/>
    </xf>
    <xf numFmtId="172" fontId="29" fillId="8" borderId="5" xfId="3" applyNumberFormat="1" applyFont="1" applyFill="1" applyBorder="1" applyAlignment="1">
      <alignment horizontal="center" vertical="center"/>
    </xf>
    <xf numFmtId="14" fontId="30" fillId="9" borderId="5" xfId="0" applyNumberFormat="1" applyFont="1" applyFill="1" applyBorder="1" applyAlignment="1">
      <alignment horizontal="center"/>
    </xf>
    <xf numFmtId="185" fontId="29" fillId="12" borderId="5" xfId="5" applyNumberFormat="1" applyFont="1" applyFill="1" applyBorder="1" applyAlignment="1">
      <alignment horizontal="left" vertical="center"/>
    </xf>
    <xf numFmtId="189" fontId="29" fillId="8" borderId="5" xfId="5" applyNumberFormat="1" applyFont="1" applyFill="1" applyBorder="1" applyAlignment="1">
      <alignment horizontal="left" vertical="center"/>
    </xf>
    <xf numFmtId="0" fontId="30" fillId="8" borderId="5" xfId="0" applyFont="1" applyFill="1" applyBorder="1" applyAlignment="1">
      <alignment horizontal="center" vertical="center"/>
    </xf>
    <xf numFmtId="0" fontId="48" fillId="12" borderId="1" xfId="0" applyFont="1" applyFill="1" applyBorder="1" applyAlignment="1">
      <alignment horizontal="center" vertical="center"/>
    </xf>
    <xf numFmtId="0" fontId="29" fillId="9" borderId="0" xfId="0" applyFont="1" applyFill="1" applyAlignment="1">
      <alignment horizontal="left" vertical="center" wrapText="1"/>
    </xf>
    <xf numFmtId="1" fontId="29" fillId="0" borderId="5" xfId="0" applyNumberFormat="1" applyFont="1" applyBorder="1" applyAlignment="1">
      <alignment horizontal="left" vertical="center"/>
    </xf>
    <xf numFmtId="0" fontId="29" fillId="9" borderId="1" xfId="0" applyFont="1" applyFill="1" applyBorder="1" applyAlignment="1">
      <alignment horizontal="left" vertical="center" wrapText="1"/>
    </xf>
    <xf numFmtId="49" fontId="29" fillId="9" borderId="5" xfId="0" applyNumberFormat="1" applyFont="1" applyFill="1" applyBorder="1" applyAlignment="1">
      <alignment horizontal="left" vertical="center"/>
    </xf>
    <xf numFmtId="43" fontId="30" fillId="0" borderId="5" xfId="5" applyFont="1" applyFill="1" applyBorder="1" applyAlignment="1">
      <alignment horizontal="center" vertical="center"/>
    </xf>
    <xf numFmtId="49" fontId="29" fillId="0" borderId="1" xfId="0" applyNumberFormat="1" applyFont="1" applyBorder="1" applyAlignment="1">
      <alignment horizontal="left" vertical="center"/>
    </xf>
    <xf numFmtId="0" fontId="56" fillId="22" borderId="5" xfId="0" applyFont="1" applyFill="1" applyBorder="1" applyAlignment="1">
      <alignment horizontal="left" vertical="center"/>
    </xf>
    <xf numFmtId="49" fontId="56" fillId="22" borderId="5" xfId="0" applyNumberFormat="1" applyFont="1" applyFill="1" applyBorder="1" applyAlignment="1">
      <alignment horizontal="left" vertical="center"/>
    </xf>
    <xf numFmtId="0" fontId="41" fillId="19" borderId="1" xfId="0" applyFont="1" applyFill="1" applyBorder="1" applyAlignment="1">
      <alignment vertical="center"/>
    </xf>
    <xf numFmtId="0" fontId="28" fillId="3" borderId="5" xfId="0" applyFont="1" applyFill="1" applyBorder="1" applyAlignment="1">
      <alignment horizontal="center" vertical="center"/>
    </xf>
    <xf numFmtId="49" fontId="29" fillId="0" borderId="10" xfId="0" applyNumberFormat="1" applyFont="1" applyBorder="1" applyAlignment="1">
      <alignment horizontal="left" vertical="center"/>
    </xf>
    <xf numFmtId="0" fontId="28" fillId="3" borderId="5" xfId="5" applyNumberFormat="1" applyFont="1" applyFill="1" applyBorder="1" applyAlignment="1">
      <alignment horizontal="center" vertical="center" wrapText="1"/>
    </xf>
    <xf numFmtId="0" fontId="29" fillId="0" borderId="5" xfId="5" applyNumberFormat="1" applyFont="1" applyBorder="1" applyAlignment="1">
      <alignment horizontal="center"/>
    </xf>
    <xf numFmtId="0" fontId="29" fillId="0" borderId="5" xfId="5" applyNumberFormat="1" applyFont="1" applyBorder="1" applyAlignment="1">
      <alignment horizontal="center" vertical="center" wrapText="1"/>
    </xf>
    <xf numFmtId="0" fontId="32" fillId="0" borderId="5" xfId="5" applyNumberFormat="1" applyFont="1" applyBorder="1" applyAlignment="1">
      <alignment horizontal="center" vertical="center"/>
    </xf>
    <xf numFmtId="167" fontId="33" fillId="0" borderId="5" xfId="0" applyNumberFormat="1" applyFont="1" applyBorder="1" applyAlignment="1">
      <alignment horizontal="center" vertical="center"/>
    </xf>
    <xf numFmtId="44" fontId="32" fillId="0" borderId="5" xfId="3" applyFont="1" applyBorder="1" applyAlignment="1">
      <alignment vertical="center"/>
    </xf>
    <xf numFmtId="0" fontId="48" fillId="0" borderId="5" xfId="0" applyFont="1" applyBorder="1" applyAlignment="1">
      <alignment vertical="center"/>
    </xf>
    <xf numFmtId="0" fontId="57" fillId="0" borderId="5" xfId="1" applyFont="1" applyBorder="1" applyAlignment="1">
      <alignment horizontal="left" vertical="center"/>
    </xf>
    <xf numFmtId="0" fontId="58" fillId="0" borderId="5" xfId="1" applyFont="1" applyBorder="1" applyAlignment="1">
      <alignment horizontal="left" vertical="center" wrapText="1"/>
    </xf>
    <xf numFmtId="0" fontId="41" fillId="0" borderId="5" xfId="0" applyFont="1" applyBorder="1" applyAlignment="1">
      <alignment vertical="center" wrapText="1"/>
    </xf>
    <xf numFmtId="0" fontId="41" fillId="0" borderId="5" xfId="0" applyFont="1" applyBorder="1" applyAlignment="1">
      <alignment horizontal="left" vertical="center"/>
    </xf>
    <xf numFmtId="0" fontId="59" fillId="0" borderId="5" xfId="0" applyFont="1" applyBorder="1" applyAlignment="1">
      <alignment horizontal="left" vertical="center"/>
    </xf>
    <xf numFmtId="0" fontId="59" fillId="0" borderId="5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59" fillId="0" borderId="5" xfId="0" applyFont="1" applyBorder="1" applyAlignment="1">
      <alignment horizontal="left" vertical="center" wrapText="1"/>
    </xf>
    <xf numFmtId="0" fontId="41" fillId="0" borderId="5" xfId="0" applyFont="1" applyBorder="1" applyAlignment="1">
      <alignment horizontal="left" vertical="center" wrapText="1"/>
    </xf>
    <xf numFmtId="14" fontId="59" fillId="0" borderId="5" xfId="0" applyNumberFormat="1" applyFont="1" applyBorder="1" applyAlignment="1">
      <alignment horizontal="center" vertical="center"/>
    </xf>
    <xf numFmtId="16" fontId="59" fillId="10" borderId="10" xfId="0" applyNumberFormat="1" applyFont="1" applyFill="1" applyBorder="1" applyAlignment="1">
      <alignment horizontal="center" vertical="center"/>
    </xf>
    <xf numFmtId="0" fontId="53" fillId="0" borderId="5" xfId="1" applyFont="1" applyBorder="1" applyAlignment="1">
      <alignment horizontal="left" vertical="center" wrapText="1"/>
    </xf>
    <xf numFmtId="0" fontId="54" fillId="2" borderId="1" xfId="0" applyFont="1" applyFill="1" applyBorder="1" applyAlignment="1">
      <alignment horizontal="left" vertical="center" wrapText="1"/>
    </xf>
    <xf numFmtId="0" fontId="44" fillId="2" borderId="1" xfId="0" applyFont="1" applyFill="1" applyBorder="1" applyAlignment="1">
      <alignment horizontal="right" vertical="center"/>
    </xf>
    <xf numFmtId="0" fontId="29" fillId="2" borderId="1" xfId="5" applyNumberFormat="1" applyFont="1" applyFill="1" applyBorder="1" applyAlignment="1">
      <alignment horizontal="center" vertical="center"/>
    </xf>
    <xf numFmtId="0" fontId="32" fillId="8" borderId="5" xfId="5" applyNumberFormat="1" applyFont="1" applyFill="1" applyBorder="1" applyAlignment="1">
      <alignment horizontal="center" vertical="center"/>
    </xf>
    <xf numFmtId="0" fontId="29" fillId="8" borderId="5" xfId="5" applyNumberFormat="1" applyFont="1" applyFill="1" applyBorder="1" applyAlignment="1">
      <alignment horizontal="center" vertical="center"/>
    </xf>
    <xf numFmtId="0" fontId="30" fillId="0" borderId="0" xfId="5" applyNumberFormat="1" applyFont="1" applyAlignment="1">
      <alignment horizontal="center"/>
    </xf>
    <xf numFmtId="44" fontId="30" fillId="0" borderId="0" xfId="0" applyNumberFormat="1" applyFont="1" applyAlignment="1">
      <alignment horizontal="center"/>
    </xf>
    <xf numFmtId="14" fontId="48" fillId="9" borderId="5" xfId="0" applyNumberFormat="1" applyFont="1" applyFill="1" applyBorder="1" applyAlignment="1">
      <alignment horizontal="center" vertical="center"/>
    </xf>
    <xf numFmtId="14" fontId="49" fillId="9" borderId="5" xfId="0" applyNumberFormat="1" applyFont="1" applyFill="1" applyBorder="1" applyAlignment="1">
      <alignment horizontal="center" vertical="center"/>
    </xf>
    <xf numFmtId="190" fontId="30" fillId="0" borderId="0" xfId="0" applyNumberFormat="1" applyFont="1" applyAlignment="1">
      <alignment horizontal="center"/>
    </xf>
    <xf numFmtId="190" fontId="30" fillId="0" borderId="0" xfId="0" applyNumberFormat="1" applyFont="1" applyAlignment="1">
      <alignment horizontal="left"/>
    </xf>
    <xf numFmtId="44" fontId="30" fillId="0" borderId="0" xfId="0" applyNumberFormat="1" applyFont="1" applyAlignment="1">
      <alignment horizontal="left"/>
    </xf>
    <xf numFmtId="44" fontId="30" fillId="0" borderId="0" xfId="3" applyFont="1" applyAlignment="1">
      <alignment horizontal="left"/>
    </xf>
    <xf numFmtId="0" fontId="36" fillId="16" borderId="8" xfId="0" applyFont="1" applyFill="1" applyBorder="1" applyAlignment="1">
      <alignment horizontal="center" vertical="center"/>
    </xf>
    <xf numFmtId="13" fontId="29" fillId="0" borderId="9" xfId="5" applyNumberFormat="1" applyFont="1" applyFill="1" applyBorder="1" applyAlignment="1">
      <alignment horizontal="center" vertical="center"/>
    </xf>
    <xf numFmtId="43" fontId="29" fillId="0" borderId="9" xfId="5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52" fillId="18" borderId="14" xfId="0" applyFont="1" applyFill="1" applyBorder="1" applyAlignment="1">
      <alignment horizontal="center" vertical="center" wrapText="1"/>
    </xf>
    <xf numFmtId="0" fontId="52" fillId="18" borderId="15" xfId="0" applyFont="1" applyFill="1" applyBorder="1" applyAlignment="1">
      <alignment horizontal="center" vertical="center" wrapText="1"/>
    </xf>
    <xf numFmtId="0" fontId="51" fillId="3" borderId="8" xfId="0" applyFont="1" applyFill="1" applyBorder="1" applyAlignment="1">
      <alignment horizontal="center" vertical="center" wrapText="1"/>
    </xf>
    <xf numFmtId="0" fontId="51" fillId="3" borderId="11" xfId="0" applyFont="1" applyFill="1" applyBorder="1" applyAlignment="1">
      <alignment horizontal="center" vertical="center" wrapText="1"/>
    </xf>
    <xf numFmtId="0" fontId="51" fillId="3" borderId="10" xfId="0" applyFont="1" applyFill="1" applyBorder="1" applyAlignment="1">
      <alignment horizontal="center" vertical="center" wrapText="1"/>
    </xf>
    <xf numFmtId="0" fontId="51" fillId="3" borderId="12" xfId="0" applyFont="1" applyFill="1" applyBorder="1" applyAlignment="1">
      <alignment horizontal="center" vertical="center" wrapText="1"/>
    </xf>
    <xf numFmtId="0" fontId="51" fillId="3" borderId="13" xfId="0" applyFont="1" applyFill="1" applyBorder="1" applyAlignment="1">
      <alignment horizontal="center" vertical="center" wrapText="1"/>
    </xf>
    <xf numFmtId="0" fontId="50" fillId="9" borderId="8" xfId="0" applyFont="1" applyFill="1" applyBorder="1" applyAlignment="1">
      <alignment horizontal="center" vertical="center" wrapText="1"/>
    </xf>
    <xf numFmtId="0" fontId="50" fillId="9" borderId="11" xfId="0" applyFont="1" applyFill="1" applyBorder="1" applyAlignment="1">
      <alignment horizontal="center" vertical="center" wrapText="1"/>
    </xf>
    <xf numFmtId="0" fontId="49" fillId="0" borderId="0" xfId="0" applyFont="1" applyBorder="1" applyAlignment="1">
      <alignment horizontal="center" vertical="center"/>
    </xf>
  </cellXfs>
  <cellStyles count="6">
    <cellStyle name="Comma" xfId="5" builtinId="3"/>
    <cellStyle name="Currency" xfId="3" builtinId="4"/>
    <cellStyle name="Hyperlink" xfId="1" builtinId="8"/>
    <cellStyle name="Normal" xfId="0" builtinId="0"/>
    <cellStyle name="Normal 2" xfId="4" xr:uid="{00000000-0005-0000-0000-000004000000}"/>
    <cellStyle name="Normal 7 2" xfId="2" xr:uid="{00000000-0005-0000-0000-000005000000}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FF"/>
      <color rgb="FFCCFFCC"/>
      <color rgb="FF00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ristina.Vargas@sabic-ip.com" TargetMode="External"/><Relationship Id="rId21" Type="http://schemas.openxmlformats.org/officeDocument/2006/relationships/hyperlink" Target="mailto:Cristina.Vargas@sabic-ip.com" TargetMode="External"/><Relationship Id="rId63" Type="http://schemas.openxmlformats.org/officeDocument/2006/relationships/hyperlink" Target="mailto:joseluis.chavez@polyone.com" TargetMode="External"/><Relationship Id="rId159" Type="http://schemas.openxmlformats.org/officeDocument/2006/relationships/hyperlink" Target="mailto:karla.lombardi@polyone.com" TargetMode="External"/><Relationship Id="rId170" Type="http://schemas.openxmlformats.org/officeDocument/2006/relationships/hyperlink" Target="mailto:juanmanuel.moreno@clariant.com" TargetMode="External"/><Relationship Id="rId226" Type="http://schemas.openxmlformats.org/officeDocument/2006/relationships/hyperlink" Target="mailto:ealvarado@siempaques.com" TargetMode="External"/><Relationship Id="rId268" Type="http://schemas.openxmlformats.org/officeDocument/2006/relationships/hyperlink" Target="mailto:Romualdo.DelaCruz@sbdinc.com" TargetMode="External"/><Relationship Id="rId32" Type="http://schemas.openxmlformats.org/officeDocument/2006/relationships/hyperlink" Target="mailto:lvillareal@promaplast.com" TargetMode="External"/><Relationship Id="rId74" Type="http://schemas.openxmlformats.org/officeDocument/2006/relationships/hyperlink" Target="about:blank" TargetMode="External"/><Relationship Id="rId128" Type="http://schemas.openxmlformats.org/officeDocument/2006/relationships/hyperlink" Target="mailto:Cristina.Vargas@sabic-ip.com" TargetMode="External"/><Relationship Id="rId5" Type="http://schemas.openxmlformats.org/officeDocument/2006/relationships/hyperlink" Target="mailto:Cristina.Vargas@sabic-ip.com" TargetMode="External"/><Relationship Id="rId181" Type="http://schemas.openxmlformats.org/officeDocument/2006/relationships/hyperlink" Target="mailto:sales01@kingyao.com" TargetMode="External"/><Relationship Id="rId237" Type="http://schemas.openxmlformats.org/officeDocument/2006/relationships/hyperlink" Target="mailto:Julio.Delangel@lyondellbasell.com" TargetMode="External"/><Relationship Id="rId279" Type="http://schemas.openxmlformats.org/officeDocument/2006/relationships/hyperlink" Target="mailto:mumanzor@kingfa.com" TargetMode="External"/><Relationship Id="rId43" Type="http://schemas.openxmlformats.org/officeDocument/2006/relationships/hyperlink" Target="mailto:joseluis.chavez@polyone.com" TargetMode="External"/><Relationship Id="rId139" Type="http://schemas.openxmlformats.org/officeDocument/2006/relationships/hyperlink" Target="mailto:smontes@sisamo.com.mx" TargetMode="External"/><Relationship Id="rId290" Type="http://schemas.openxmlformats.org/officeDocument/2006/relationships/hyperlink" Target="mailto:graciela.gonzalez@cewmail.com" TargetMode="External"/><Relationship Id="rId85" Type="http://schemas.openxmlformats.org/officeDocument/2006/relationships/hyperlink" Target="mailto:Cristina.Vargas@sabic-ip.com" TargetMode="External"/><Relationship Id="rId150" Type="http://schemas.openxmlformats.org/officeDocument/2006/relationships/hyperlink" Target="mailto:mark.dawson@clariant.com" TargetMode="External"/><Relationship Id="rId192" Type="http://schemas.openxmlformats.org/officeDocument/2006/relationships/hyperlink" Target="mailto:ealvarado@siempaques.com" TargetMode="External"/><Relationship Id="rId206" Type="http://schemas.openxmlformats.org/officeDocument/2006/relationships/hyperlink" Target="mailto:valleypackaging2@gmail.com" TargetMode="External"/><Relationship Id="rId248" Type="http://schemas.openxmlformats.org/officeDocument/2006/relationships/hyperlink" Target="mailto:king.lee@liphing.com" TargetMode="External"/><Relationship Id="rId12" Type="http://schemas.openxmlformats.org/officeDocument/2006/relationships/hyperlink" Target="mailto:Cristina.Vargas@sabic-ip.com" TargetMode="External"/><Relationship Id="rId33" Type="http://schemas.openxmlformats.org/officeDocument/2006/relationships/hyperlink" Target="mailto:Cristina.Vargas@sabic-ip.com" TargetMode="External"/><Relationship Id="rId108" Type="http://schemas.openxmlformats.org/officeDocument/2006/relationships/hyperlink" Target="mailto:joseluis.chavez@polyone.com" TargetMode="External"/><Relationship Id="rId129" Type="http://schemas.openxmlformats.org/officeDocument/2006/relationships/hyperlink" Target="mailto:spice0605@sntmotiv.com" TargetMode="External"/><Relationship Id="rId280" Type="http://schemas.openxmlformats.org/officeDocument/2006/relationships/hyperlink" Target="mailto:aron.qps1@gmail.com" TargetMode="External"/><Relationship Id="rId54" Type="http://schemas.openxmlformats.org/officeDocument/2006/relationships/hyperlink" Target="mailto:Cristina.Vargas@sabic-ip.com" TargetMode="External"/><Relationship Id="rId75" Type="http://schemas.openxmlformats.org/officeDocument/2006/relationships/hyperlink" Target="mailto:joseluis.chavez@polyone.com" TargetMode="External"/><Relationship Id="rId96" Type="http://schemas.openxmlformats.org/officeDocument/2006/relationships/hyperlink" Target="mailto:beth.pede@pereles.com" TargetMode="External"/><Relationship Id="rId140" Type="http://schemas.openxmlformats.org/officeDocument/2006/relationships/hyperlink" Target="mailto:lvillareal@promaplast.com" TargetMode="External"/><Relationship Id="rId161" Type="http://schemas.openxmlformats.org/officeDocument/2006/relationships/hyperlink" Target="mailto:karla.lombardi@polyone.com" TargetMode="External"/><Relationship Id="rId182" Type="http://schemas.openxmlformats.org/officeDocument/2006/relationships/hyperlink" Target="mailto:JGaribo@termax.com" TargetMode="External"/><Relationship Id="rId217" Type="http://schemas.openxmlformats.org/officeDocument/2006/relationships/hyperlink" Target="mailto:marcot@cdigitec.com" TargetMode="External"/><Relationship Id="rId6" Type="http://schemas.openxmlformats.org/officeDocument/2006/relationships/hyperlink" Target="mailto:Cristina.Vargas@sabic-ip.com" TargetMode="External"/><Relationship Id="rId238" Type="http://schemas.openxmlformats.org/officeDocument/2006/relationships/hyperlink" Target="mailto:Julio.Delangel@lyondellbasell.com" TargetMode="External"/><Relationship Id="rId259" Type="http://schemas.openxmlformats.org/officeDocument/2006/relationships/hyperlink" Target="mailto:angeles.ramirez@basf.com" TargetMode="External"/><Relationship Id="rId23" Type="http://schemas.openxmlformats.org/officeDocument/2006/relationships/hyperlink" Target="mailto:Cristina.Vargas@sabic-ip.com" TargetMode="External"/><Relationship Id="rId119" Type="http://schemas.openxmlformats.org/officeDocument/2006/relationships/hyperlink" Target="mailto:Cristina.Vargas@sabic-ip.com" TargetMode="External"/><Relationship Id="rId270" Type="http://schemas.openxmlformats.org/officeDocument/2006/relationships/hyperlink" Target="mailto:martin.godinez@valeo.com" TargetMode="External"/><Relationship Id="rId291" Type="http://schemas.openxmlformats.org/officeDocument/2006/relationships/hyperlink" Target="mailto:graciela.gonzalez@cewmail.com" TargetMode="External"/><Relationship Id="rId44" Type="http://schemas.openxmlformats.org/officeDocument/2006/relationships/hyperlink" Target="mailto:citlalli.salgado@alpsautomotive.com" TargetMode="External"/><Relationship Id="rId65" Type="http://schemas.openxmlformats.org/officeDocument/2006/relationships/hyperlink" Target="mailto:joseluis.chavez@polyone.com" TargetMode="External"/><Relationship Id="rId86" Type="http://schemas.openxmlformats.org/officeDocument/2006/relationships/hyperlink" Target="mailto:Cristina.Vargas@sabic-ip.com" TargetMode="External"/><Relationship Id="rId130" Type="http://schemas.openxmlformats.org/officeDocument/2006/relationships/hyperlink" Target="mailto:spice0605@sntmotiv.com" TargetMode="External"/><Relationship Id="rId151" Type="http://schemas.openxmlformats.org/officeDocument/2006/relationships/hyperlink" Target="mailto:mark.dawson@clariant.com" TargetMode="External"/><Relationship Id="rId172" Type="http://schemas.openxmlformats.org/officeDocument/2006/relationships/hyperlink" Target="mailto:PCarrillo@redspot.com" TargetMode="External"/><Relationship Id="rId193" Type="http://schemas.openxmlformats.org/officeDocument/2006/relationships/hyperlink" Target="mailto:ealvarado@siempaques.com" TargetMode="External"/><Relationship Id="rId207" Type="http://schemas.openxmlformats.org/officeDocument/2006/relationships/hyperlink" Target="mailto:valleypackaging2@gmail.com" TargetMode="External"/><Relationship Id="rId228" Type="http://schemas.openxmlformats.org/officeDocument/2006/relationships/hyperlink" Target="mailto:ealvarado@siempaques.com" TargetMode="External"/><Relationship Id="rId249" Type="http://schemas.openxmlformats.org/officeDocument/2006/relationships/hyperlink" Target="mailto:dave@bdsfastener.com" TargetMode="External"/><Relationship Id="rId13" Type="http://schemas.openxmlformats.org/officeDocument/2006/relationships/hyperlink" Target="mailto:Cristina.Vargas@sabic-ip.com" TargetMode="External"/><Relationship Id="rId109" Type="http://schemas.openxmlformats.org/officeDocument/2006/relationships/hyperlink" Target="mailto:joseluis.chavez@polyone.com" TargetMode="External"/><Relationship Id="rId260" Type="http://schemas.openxmlformats.org/officeDocument/2006/relationships/hyperlink" Target="mailto:angeles.ramirez@basf.com" TargetMode="External"/><Relationship Id="rId281" Type="http://schemas.openxmlformats.org/officeDocument/2006/relationships/hyperlink" Target="mailto:juanmanuel.moreno@clariant.com" TargetMode="External"/><Relationship Id="rId34" Type="http://schemas.openxmlformats.org/officeDocument/2006/relationships/hyperlink" Target="mailto:joseluis.chavez@polyone.com" TargetMode="External"/><Relationship Id="rId55" Type="http://schemas.openxmlformats.org/officeDocument/2006/relationships/hyperlink" Target="mailto:Cristina.Vargas@sabic-ip.com" TargetMode="External"/><Relationship Id="rId76" Type="http://schemas.openxmlformats.org/officeDocument/2006/relationships/hyperlink" Target="mailto:joseluis.chavez@polyone.com" TargetMode="External"/><Relationship Id="rId97" Type="http://schemas.openxmlformats.org/officeDocument/2006/relationships/hyperlink" Target="mailto:lvillareal@promaplast.com" TargetMode="External"/><Relationship Id="rId120" Type="http://schemas.openxmlformats.org/officeDocument/2006/relationships/hyperlink" Target="mailto:Cristina.Vargas@sabic-ip.com" TargetMode="External"/><Relationship Id="rId141" Type="http://schemas.openxmlformats.org/officeDocument/2006/relationships/hyperlink" Target="mailto:mark.dawson@clariant.com" TargetMode="External"/><Relationship Id="rId7" Type="http://schemas.openxmlformats.org/officeDocument/2006/relationships/hyperlink" Target="mailto:Cristina.Vargas@sabic-ip.com" TargetMode="External"/><Relationship Id="rId162" Type="http://schemas.openxmlformats.org/officeDocument/2006/relationships/hyperlink" Target="mailto:karla.lombardi@polyone.com" TargetMode="External"/><Relationship Id="rId183" Type="http://schemas.openxmlformats.org/officeDocument/2006/relationships/hyperlink" Target="mailto:mdavid@efc-intl.com" TargetMode="External"/><Relationship Id="rId218" Type="http://schemas.openxmlformats.org/officeDocument/2006/relationships/hyperlink" Target="mailto:mavet@londonintegration.com" TargetMode="External"/><Relationship Id="rId239" Type="http://schemas.openxmlformats.org/officeDocument/2006/relationships/hyperlink" Target="mailto:yokuyama@sojitz-plastics.com" TargetMode="External"/><Relationship Id="rId250" Type="http://schemas.openxmlformats.org/officeDocument/2006/relationships/hyperlink" Target="mailto:dave@bdsfastener.com" TargetMode="External"/><Relationship Id="rId271" Type="http://schemas.openxmlformats.org/officeDocument/2006/relationships/hyperlink" Target="mailto:jack.yang3@akzonobel.com" TargetMode="External"/><Relationship Id="rId292" Type="http://schemas.openxmlformats.org/officeDocument/2006/relationships/hyperlink" Target="mailto:graciela.gonzalez@cewmail.com" TargetMode="External"/><Relationship Id="rId24" Type="http://schemas.openxmlformats.org/officeDocument/2006/relationships/hyperlink" Target="mailto:sfabrizius@prlresins.com" TargetMode="External"/><Relationship Id="rId45" Type="http://schemas.openxmlformats.org/officeDocument/2006/relationships/hyperlink" Target="mailto:JWalker@EntecResins.com" TargetMode="External"/><Relationship Id="rId66" Type="http://schemas.openxmlformats.org/officeDocument/2006/relationships/hyperlink" Target="mailto:Cristina.Vargas@sabic-ip.com" TargetMode="External"/><Relationship Id="rId87" Type="http://schemas.openxmlformats.org/officeDocument/2006/relationships/hyperlink" Target="mailto:JMGutierrez@EntecResins.com" TargetMode="External"/><Relationship Id="rId110" Type="http://schemas.openxmlformats.org/officeDocument/2006/relationships/hyperlink" Target="mailto:lvillareal@promaplast.com" TargetMode="External"/><Relationship Id="rId131" Type="http://schemas.openxmlformats.org/officeDocument/2006/relationships/hyperlink" Target="mailto:scott.knoop@radicigroup.com" TargetMode="External"/><Relationship Id="rId152" Type="http://schemas.openxmlformats.org/officeDocument/2006/relationships/hyperlink" Target="mailto:mark.dawson@clariant.com" TargetMode="External"/><Relationship Id="rId173" Type="http://schemas.openxmlformats.org/officeDocument/2006/relationships/hyperlink" Target="mailto:PCarrillo@redspot.com" TargetMode="External"/><Relationship Id="rId194" Type="http://schemas.openxmlformats.org/officeDocument/2006/relationships/hyperlink" Target="mailto:ealvarado@siempaques.com" TargetMode="External"/><Relationship Id="rId208" Type="http://schemas.openxmlformats.org/officeDocument/2006/relationships/hyperlink" Target="mailto:kwhitfield@thomco.biz" TargetMode="External"/><Relationship Id="rId229" Type="http://schemas.openxmlformats.org/officeDocument/2006/relationships/hyperlink" Target="mailto:ealvarado@siempaques.com" TargetMode="External"/><Relationship Id="rId240" Type="http://schemas.openxmlformats.org/officeDocument/2006/relationships/hyperlink" Target="mailto:martin.godinez@valeo.com" TargetMode="External"/><Relationship Id="rId261" Type="http://schemas.openxmlformats.org/officeDocument/2006/relationships/hyperlink" Target="mailto:angeles.ramirez@basf.com" TargetMode="External"/><Relationship Id="rId14" Type="http://schemas.openxmlformats.org/officeDocument/2006/relationships/hyperlink" Target="mailto:Cristina.Vargas@sabic-ip.com" TargetMode="External"/><Relationship Id="rId35" Type="http://schemas.openxmlformats.org/officeDocument/2006/relationships/hyperlink" Target="mailto:joseluis.chavez@polyone.com" TargetMode="External"/><Relationship Id="rId56" Type="http://schemas.openxmlformats.org/officeDocument/2006/relationships/hyperlink" Target="mailto:Cristina.Vargas@sabic-ip.com" TargetMode="External"/><Relationship Id="rId77" Type="http://schemas.openxmlformats.org/officeDocument/2006/relationships/hyperlink" Target="mailto:joseluis.chavez@polyone.com" TargetMode="External"/><Relationship Id="rId100" Type="http://schemas.openxmlformats.org/officeDocument/2006/relationships/hyperlink" Target="mailto:joseluis.chavez@polyone.com" TargetMode="External"/><Relationship Id="rId282" Type="http://schemas.openxmlformats.org/officeDocument/2006/relationships/hyperlink" Target="mailto:kianwee@boiln.com" TargetMode="External"/><Relationship Id="rId8" Type="http://schemas.openxmlformats.org/officeDocument/2006/relationships/hyperlink" Target="mailto:Cristina.Vargas@sabic-ip.com" TargetMode="External"/><Relationship Id="rId98" Type="http://schemas.openxmlformats.org/officeDocument/2006/relationships/hyperlink" Target="mailto:lvillareal@promaplast.com" TargetMode="External"/><Relationship Id="rId121" Type="http://schemas.openxmlformats.org/officeDocument/2006/relationships/hyperlink" Target="mailto:Cristina.Vargas@sabic-ip.com" TargetMode="External"/><Relationship Id="rId142" Type="http://schemas.openxmlformats.org/officeDocument/2006/relationships/hyperlink" Target="mailto:lvillareal@promaplast.com" TargetMode="External"/><Relationship Id="rId163" Type="http://schemas.openxmlformats.org/officeDocument/2006/relationships/hyperlink" Target="mailto:emorin@plasticscolor.com" TargetMode="External"/><Relationship Id="rId184" Type="http://schemas.openxmlformats.org/officeDocument/2006/relationships/hyperlink" Target="mailto:slavecchia@ewcomponents.com" TargetMode="External"/><Relationship Id="rId219" Type="http://schemas.openxmlformats.org/officeDocument/2006/relationships/hyperlink" Target="mailto:CSR@phoenixplastics.com" TargetMode="External"/><Relationship Id="rId230" Type="http://schemas.openxmlformats.org/officeDocument/2006/relationships/hyperlink" Target="mailto:ealvarado@siempaques.com" TargetMode="External"/><Relationship Id="rId251" Type="http://schemas.openxmlformats.org/officeDocument/2006/relationships/hyperlink" Target="mailto:martin.godinez@valeo.com" TargetMode="External"/><Relationship Id="rId25" Type="http://schemas.openxmlformats.org/officeDocument/2006/relationships/hyperlink" Target="mailto:joseluis.chavez@polyone.com" TargetMode="External"/><Relationship Id="rId46" Type="http://schemas.openxmlformats.org/officeDocument/2006/relationships/hyperlink" Target="mailto:Cristina.Vargas@sabic-ip.com" TargetMode="External"/><Relationship Id="rId67" Type="http://schemas.openxmlformats.org/officeDocument/2006/relationships/hyperlink" Target="mailto:Cristina.Vargas@sabic-ip.com" TargetMode="External"/><Relationship Id="rId272" Type="http://schemas.openxmlformats.org/officeDocument/2006/relationships/hyperlink" Target="mailto:jack.yang3@akzonobel.com" TargetMode="External"/><Relationship Id="rId293" Type="http://schemas.openxmlformats.org/officeDocument/2006/relationships/hyperlink" Target="mailto:Katalin.Carreto@Avient.com" TargetMode="External"/><Relationship Id="rId88" Type="http://schemas.openxmlformats.org/officeDocument/2006/relationships/hyperlink" Target="mailto:Julio.Delangel@lyondellbasell.com" TargetMode="External"/><Relationship Id="rId111" Type="http://schemas.openxmlformats.org/officeDocument/2006/relationships/hyperlink" Target="mailto:joseluis.chavez@polyone.com" TargetMode="External"/><Relationship Id="rId132" Type="http://schemas.openxmlformats.org/officeDocument/2006/relationships/hyperlink" Target="mailto:scott.knoop@radicigroup.com" TargetMode="External"/><Relationship Id="rId153" Type="http://schemas.openxmlformats.org/officeDocument/2006/relationships/hyperlink" Target="mailto:mark.dawson@clariant.com" TargetMode="External"/><Relationship Id="rId174" Type="http://schemas.openxmlformats.org/officeDocument/2006/relationships/hyperlink" Target="mailto:smontes@sisamo.com.mx" TargetMode="External"/><Relationship Id="rId195" Type="http://schemas.openxmlformats.org/officeDocument/2006/relationships/hyperlink" Target="mailto:ealvarado@siempaques.com" TargetMode="External"/><Relationship Id="rId209" Type="http://schemas.openxmlformats.org/officeDocument/2006/relationships/hyperlink" Target="mailto:rodrigo.navarrete@tekna-impact.com" TargetMode="External"/><Relationship Id="rId220" Type="http://schemas.openxmlformats.org/officeDocument/2006/relationships/hyperlink" Target="mailto:CSR@phoenixplastics.com" TargetMode="External"/><Relationship Id="rId241" Type="http://schemas.openxmlformats.org/officeDocument/2006/relationships/hyperlink" Target="mailto:martin.godinez@valeo.com" TargetMode="External"/><Relationship Id="rId15" Type="http://schemas.openxmlformats.org/officeDocument/2006/relationships/hyperlink" Target="mailto:Cristina.Vargas@sabic-ip.com" TargetMode="External"/><Relationship Id="rId36" Type="http://schemas.openxmlformats.org/officeDocument/2006/relationships/hyperlink" Target="mailto:Cristina.Vargas@sabic-ip.com" TargetMode="External"/><Relationship Id="rId57" Type="http://schemas.openxmlformats.org/officeDocument/2006/relationships/hyperlink" Target="mailto:Cristina.Vargas@sabic-ip.com" TargetMode="External"/><Relationship Id="rId262" Type="http://schemas.openxmlformats.org/officeDocument/2006/relationships/hyperlink" Target="mailto:angeles.ramirez@basf.com" TargetMode="External"/><Relationship Id="rId283" Type="http://schemas.openxmlformats.org/officeDocument/2006/relationships/hyperlink" Target="mailto:ealvarado@siempaques.com" TargetMode="External"/><Relationship Id="rId78" Type="http://schemas.openxmlformats.org/officeDocument/2006/relationships/hyperlink" Target="mailto:Cristina.Vargas@sabic-ip.com" TargetMode="External"/><Relationship Id="rId99" Type="http://schemas.openxmlformats.org/officeDocument/2006/relationships/hyperlink" Target="mailto:joseluis.chavez@polyone.com" TargetMode="External"/><Relationship Id="rId101" Type="http://schemas.openxmlformats.org/officeDocument/2006/relationships/hyperlink" Target="mailto:lvillareal@promaplast.com" TargetMode="External"/><Relationship Id="rId122" Type="http://schemas.openxmlformats.org/officeDocument/2006/relationships/hyperlink" Target="mailto:Cristina.Vargas@sabic-ip.com" TargetMode="External"/><Relationship Id="rId143" Type="http://schemas.openxmlformats.org/officeDocument/2006/relationships/hyperlink" Target="mailto:mark.dawson@clariant.com" TargetMode="External"/><Relationship Id="rId164" Type="http://schemas.openxmlformats.org/officeDocument/2006/relationships/hyperlink" Target="mailto:mark.dawson@clariant.com" TargetMode="External"/><Relationship Id="rId185" Type="http://schemas.openxmlformats.org/officeDocument/2006/relationships/hyperlink" Target="mailto:slavecchia@ewcomponents.com" TargetMode="External"/><Relationship Id="rId9" Type="http://schemas.openxmlformats.org/officeDocument/2006/relationships/hyperlink" Target="mailto:Cristina.Vargas@sabic-ip.com" TargetMode="External"/><Relationship Id="rId210" Type="http://schemas.openxmlformats.org/officeDocument/2006/relationships/hyperlink" Target="mailto:edgar.garcia@veritivcorp.com" TargetMode="External"/><Relationship Id="rId26" Type="http://schemas.openxmlformats.org/officeDocument/2006/relationships/hyperlink" Target="mailto:lvillareal@promaplast.com" TargetMode="External"/><Relationship Id="rId231" Type="http://schemas.openxmlformats.org/officeDocument/2006/relationships/hyperlink" Target="mailto:ealvarado@siempaques.com" TargetMode="External"/><Relationship Id="rId252" Type="http://schemas.openxmlformats.org/officeDocument/2006/relationships/hyperlink" Target="mailto:Garrett@BallyhooPlastics.com" TargetMode="External"/><Relationship Id="rId273" Type="http://schemas.openxmlformats.org/officeDocument/2006/relationships/hyperlink" Target="mailto:jack.yang3@akzonobel.com" TargetMode="External"/><Relationship Id="rId294" Type="http://schemas.openxmlformats.org/officeDocument/2006/relationships/hyperlink" Target="mailto:kianwee@boiln.com" TargetMode="External"/><Relationship Id="rId47" Type="http://schemas.openxmlformats.org/officeDocument/2006/relationships/hyperlink" Target="mailto:lvillareal@promaplast.com" TargetMode="External"/><Relationship Id="rId68" Type="http://schemas.openxmlformats.org/officeDocument/2006/relationships/hyperlink" Target="mailto:Cristina.Vargas@sabic-ip.com" TargetMode="External"/><Relationship Id="rId89" Type="http://schemas.openxmlformats.org/officeDocument/2006/relationships/hyperlink" Target="mailto:Cristina.Vargas@sabic-ip.com" TargetMode="External"/><Relationship Id="rId112" Type="http://schemas.openxmlformats.org/officeDocument/2006/relationships/hyperlink" Target="mailto:aweber@amcopolymers.com" TargetMode="External"/><Relationship Id="rId133" Type="http://schemas.openxmlformats.org/officeDocument/2006/relationships/hyperlink" Target="mailto:jorge.pinto@radicigroup.com" TargetMode="External"/><Relationship Id="rId154" Type="http://schemas.openxmlformats.org/officeDocument/2006/relationships/hyperlink" Target="mailto:mark.dawson@clariant.com" TargetMode="External"/><Relationship Id="rId175" Type="http://schemas.openxmlformats.org/officeDocument/2006/relationships/hyperlink" Target="mailto:smontes@sisamo.com.mx" TargetMode="External"/><Relationship Id="rId196" Type="http://schemas.openxmlformats.org/officeDocument/2006/relationships/hyperlink" Target="mailto:ealvarado@siempaques.com" TargetMode="External"/><Relationship Id="rId200" Type="http://schemas.openxmlformats.org/officeDocument/2006/relationships/hyperlink" Target="mailto:comercializadorapronto@prodigy.net.mx" TargetMode="External"/><Relationship Id="rId16" Type="http://schemas.openxmlformats.org/officeDocument/2006/relationships/hyperlink" Target="mailto:Cristina.Vargas@sabic-ip.com" TargetMode="External"/><Relationship Id="rId221" Type="http://schemas.openxmlformats.org/officeDocument/2006/relationships/hyperlink" Target="mailto:jason.liu@boiln.com" TargetMode="External"/><Relationship Id="rId242" Type="http://schemas.openxmlformats.org/officeDocument/2006/relationships/hyperlink" Target="mailto:ealvarado@siempaques.com" TargetMode="External"/><Relationship Id="rId263" Type="http://schemas.openxmlformats.org/officeDocument/2006/relationships/hyperlink" Target="mailto:angeles.ramirez@basf.com" TargetMode="External"/><Relationship Id="rId284" Type="http://schemas.openxmlformats.org/officeDocument/2006/relationships/hyperlink" Target="mailto:norma.resendez@tricoproducts.com" TargetMode="External"/><Relationship Id="rId37" Type="http://schemas.openxmlformats.org/officeDocument/2006/relationships/hyperlink" Target="mailto:Cristina.Vargas@sabic-ip.com" TargetMode="External"/><Relationship Id="rId58" Type="http://schemas.openxmlformats.org/officeDocument/2006/relationships/hyperlink" Target="mailto:Cristina.Vargas@sabic-ip.com" TargetMode="External"/><Relationship Id="rId79" Type="http://schemas.openxmlformats.org/officeDocument/2006/relationships/hyperlink" Target="mailto:Cristina.Vargas@sabic-ip.com" TargetMode="External"/><Relationship Id="rId102" Type="http://schemas.openxmlformats.org/officeDocument/2006/relationships/hyperlink" Target="mailto:dsmith@citadelplastics.com" TargetMode="External"/><Relationship Id="rId123" Type="http://schemas.openxmlformats.org/officeDocument/2006/relationships/hyperlink" Target="mailto:karla.lombardi@polyone.com" TargetMode="External"/><Relationship Id="rId144" Type="http://schemas.openxmlformats.org/officeDocument/2006/relationships/hyperlink" Target="mailto:NRodriguez@uniformcolor.com" TargetMode="External"/><Relationship Id="rId90" Type="http://schemas.openxmlformats.org/officeDocument/2006/relationships/hyperlink" Target="mailto:jalanis@indelpro.com" TargetMode="External"/><Relationship Id="rId165" Type="http://schemas.openxmlformats.org/officeDocument/2006/relationships/hyperlink" Target="mailto:JRodriguez@uniformcolor.com" TargetMode="External"/><Relationship Id="rId186" Type="http://schemas.openxmlformats.org/officeDocument/2006/relationships/hyperlink" Target="mailto:ealvarado@siempaques.com" TargetMode="External"/><Relationship Id="rId211" Type="http://schemas.openxmlformats.org/officeDocument/2006/relationships/hyperlink" Target="mailto:edgar.garcia@veritivcorp.com" TargetMode="External"/><Relationship Id="rId232" Type="http://schemas.openxmlformats.org/officeDocument/2006/relationships/hyperlink" Target="mailto:mtorres@chaseplastics.com" TargetMode="External"/><Relationship Id="rId253" Type="http://schemas.openxmlformats.org/officeDocument/2006/relationships/hyperlink" Target="mailto:angeles.ramirez@basf.com" TargetMode="External"/><Relationship Id="rId274" Type="http://schemas.openxmlformats.org/officeDocument/2006/relationships/hyperlink" Target="mailto:aron.qps1@gmail.com" TargetMode="External"/><Relationship Id="rId295" Type="http://schemas.openxmlformats.org/officeDocument/2006/relationships/printerSettings" Target="../printerSettings/printerSettings2.bin"/><Relationship Id="rId27" Type="http://schemas.openxmlformats.org/officeDocument/2006/relationships/hyperlink" Target="mailto:Katalin.Carreto@Avient.com" TargetMode="External"/><Relationship Id="rId48" Type="http://schemas.openxmlformats.org/officeDocument/2006/relationships/hyperlink" Target="mailto:gunnplastics@aol.com" TargetMode="External"/><Relationship Id="rId69" Type="http://schemas.openxmlformats.org/officeDocument/2006/relationships/hyperlink" Target="mailto:asaldana@channelpa.com" TargetMode="External"/><Relationship Id="rId113" Type="http://schemas.openxmlformats.org/officeDocument/2006/relationships/hyperlink" Target="mailto:joseluis.chavez@polyone.com" TargetMode="External"/><Relationship Id="rId134" Type="http://schemas.openxmlformats.org/officeDocument/2006/relationships/hyperlink" Target="mailto:echochen@sunstar.cn" TargetMode="External"/><Relationship Id="rId80" Type="http://schemas.openxmlformats.org/officeDocument/2006/relationships/hyperlink" Target="mailto:Cristina.Vargas@sabic-ip.com" TargetMode="External"/><Relationship Id="rId155" Type="http://schemas.openxmlformats.org/officeDocument/2006/relationships/hyperlink" Target="mailto:NRodriguez@uniformcolor.com" TargetMode="External"/><Relationship Id="rId176" Type="http://schemas.openxmlformats.org/officeDocument/2006/relationships/hyperlink" Target="mailto:joel.viveros@akzonobel.com" TargetMode="External"/><Relationship Id="rId197" Type="http://schemas.openxmlformats.org/officeDocument/2006/relationships/hyperlink" Target="mailto:edgar.garcia@veritivcorp.com" TargetMode="External"/><Relationship Id="rId201" Type="http://schemas.openxmlformats.org/officeDocument/2006/relationships/hyperlink" Target="mailto:GenaroDeLeon@Eaton.com" TargetMode="External"/><Relationship Id="rId222" Type="http://schemas.openxmlformats.org/officeDocument/2006/relationships/hyperlink" Target="mailto:joseluis.chavez@polyone.com" TargetMode="External"/><Relationship Id="rId243" Type="http://schemas.openxmlformats.org/officeDocument/2006/relationships/hyperlink" Target="mailto:ealvarado@siempaques.com" TargetMode="External"/><Relationship Id="rId264" Type="http://schemas.openxmlformats.org/officeDocument/2006/relationships/hyperlink" Target="mailto:angeles.ramirez@basf.com" TargetMode="External"/><Relationship Id="rId285" Type="http://schemas.openxmlformats.org/officeDocument/2006/relationships/hyperlink" Target="mailto:graciela.gonzalez@cewmail.com" TargetMode="External"/><Relationship Id="rId17" Type="http://schemas.openxmlformats.org/officeDocument/2006/relationships/hyperlink" Target="mailto:Cristina.Vargas@sabic-ip.com" TargetMode="External"/><Relationship Id="rId38" Type="http://schemas.openxmlformats.org/officeDocument/2006/relationships/hyperlink" Target="mailto:Cristina.Vargas@sabic-ip.com" TargetMode="External"/><Relationship Id="rId59" Type="http://schemas.openxmlformats.org/officeDocument/2006/relationships/hyperlink" Target="mailto:Cristina.Vargas@sabic-ip.com" TargetMode="External"/><Relationship Id="rId103" Type="http://schemas.openxmlformats.org/officeDocument/2006/relationships/hyperlink" Target="mailto:JMGutierrez@EntecResins.com" TargetMode="External"/><Relationship Id="rId124" Type="http://schemas.openxmlformats.org/officeDocument/2006/relationships/hyperlink" Target="mailto:karla.lombardi@polyone.com" TargetMode="External"/><Relationship Id="rId70" Type="http://schemas.openxmlformats.org/officeDocument/2006/relationships/hyperlink" Target="mailto:jsolis@texcoresin.com" TargetMode="External"/><Relationship Id="rId91" Type="http://schemas.openxmlformats.org/officeDocument/2006/relationships/hyperlink" Target="mailto:JMGutierrez@EntecResins.com" TargetMode="External"/><Relationship Id="rId145" Type="http://schemas.openxmlformats.org/officeDocument/2006/relationships/hyperlink" Target="mailto:mark.dawson@clariant.com" TargetMode="External"/><Relationship Id="rId166" Type="http://schemas.openxmlformats.org/officeDocument/2006/relationships/hyperlink" Target="mailto:norma.resendez@tricoproducts.com" TargetMode="External"/><Relationship Id="rId187" Type="http://schemas.openxmlformats.org/officeDocument/2006/relationships/hyperlink" Target="mailto:edgar.garcia@veritivcorp.com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hyperlink" Target="mailto:ealvarado@siempaques.com" TargetMode="External"/><Relationship Id="rId233" Type="http://schemas.openxmlformats.org/officeDocument/2006/relationships/hyperlink" Target="mailto:juanmanuel.moreno@clariant.com" TargetMode="External"/><Relationship Id="rId254" Type="http://schemas.openxmlformats.org/officeDocument/2006/relationships/hyperlink" Target="mailto:angeles.ramirez@basf.com" TargetMode="External"/><Relationship Id="rId28" Type="http://schemas.openxmlformats.org/officeDocument/2006/relationships/hyperlink" Target="mailto:Cristina.Vargas@sabic-ip.com" TargetMode="External"/><Relationship Id="rId49" Type="http://schemas.openxmlformats.org/officeDocument/2006/relationships/hyperlink" Target="mailto:Cristina.Vargas@sabic-ip.com" TargetMode="External"/><Relationship Id="rId114" Type="http://schemas.openxmlformats.org/officeDocument/2006/relationships/hyperlink" Target="mailto:joseluis.chavez@polyone.com" TargetMode="External"/><Relationship Id="rId275" Type="http://schemas.openxmlformats.org/officeDocument/2006/relationships/hyperlink" Target="mailto:Cristina.Vargas@sabic-ip.com" TargetMode="External"/><Relationship Id="rId60" Type="http://schemas.openxmlformats.org/officeDocument/2006/relationships/hyperlink" Target="mailto:joseluis.chavez@polyone.com" TargetMode="External"/><Relationship Id="rId81" Type="http://schemas.openxmlformats.org/officeDocument/2006/relationships/hyperlink" Target="mailto:Cristina.Vargas@sabic-ip.com" TargetMode="External"/><Relationship Id="rId135" Type="http://schemas.openxmlformats.org/officeDocument/2006/relationships/hyperlink" Target="mailto:joel.viveros@akzonobel.com" TargetMode="External"/><Relationship Id="rId156" Type="http://schemas.openxmlformats.org/officeDocument/2006/relationships/hyperlink" Target="mailto:NRodriguez@uniformcolor.com" TargetMode="External"/><Relationship Id="rId177" Type="http://schemas.openxmlformats.org/officeDocument/2006/relationships/hyperlink" Target="mailto:smontes@sisamo.com.mx" TargetMode="External"/><Relationship Id="rId198" Type="http://schemas.openxmlformats.org/officeDocument/2006/relationships/hyperlink" Target="about:blank" TargetMode="External"/><Relationship Id="rId202" Type="http://schemas.openxmlformats.org/officeDocument/2006/relationships/hyperlink" Target="mailto:edgar.garcia@veritivcorp.com" TargetMode="External"/><Relationship Id="rId223" Type="http://schemas.openxmlformats.org/officeDocument/2006/relationships/hyperlink" Target="mailto:martin.godinez@valeo.com" TargetMode="External"/><Relationship Id="rId244" Type="http://schemas.openxmlformats.org/officeDocument/2006/relationships/hyperlink" Target="mailto:jdelacruz@uniformcolor.com" TargetMode="External"/><Relationship Id="rId18" Type="http://schemas.openxmlformats.org/officeDocument/2006/relationships/hyperlink" Target="mailto:Cristina.Vargas@sabic-ip.com" TargetMode="External"/><Relationship Id="rId39" Type="http://schemas.openxmlformats.org/officeDocument/2006/relationships/hyperlink" Target="mailto:Cristina.Vargas@sabic-ip.com" TargetMode="External"/><Relationship Id="rId265" Type="http://schemas.openxmlformats.org/officeDocument/2006/relationships/hyperlink" Target="mailto:angeles.ramirez@basf.com" TargetMode="External"/><Relationship Id="rId286" Type="http://schemas.openxmlformats.org/officeDocument/2006/relationships/hyperlink" Target="mailto:graciela.gonzalez@cewmail.com" TargetMode="External"/><Relationship Id="rId50" Type="http://schemas.openxmlformats.org/officeDocument/2006/relationships/hyperlink" Target="mailto:Cristina.Vargas@sabic-ip.com" TargetMode="External"/><Relationship Id="rId104" Type="http://schemas.openxmlformats.org/officeDocument/2006/relationships/hyperlink" Target="mailto:jwright@entecresins.com" TargetMode="External"/><Relationship Id="rId125" Type="http://schemas.openxmlformats.org/officeDocument/2006/relationships/hyperlink" Target="mailto:karla.lombardi@polyone.com" TargetMode="External"/><Relationship Id="rId146" Type="http://schemas.openxmlformats.org/officeDocument/2006/relationships/hyperlink" Target="mailto:mark.dawson@clariant.com" TargetMode="External"/><Relationship Id="rId167" Type="http://schemas.openxmlformats.org/officeDocument/2006/relationships/hyperlink" Target="mailto:juanmanuel.moreno@clariant.com" TargetMode="External"/><Relationship Id="rId188" Type="http://schemas.openxmlformats.org/officeDocument/2006/relationships/hyperlink" Target="mailto:brian@GWFOILS.COM" TargetMode="External"/><Relationship Id="rId71" Type="http://schemas.openxmlformats.org/officeDocument/2006/relationships/hyperlink" Target="mailto:lvillareal@promaplast.com" TargetMode="External"/><Relationship Id="rId92" Type="http://schemas.openxmlformats.org/officeDocument/2006/relationships/hyperlink" Target="mailto:joseluis.chavez@polyone.com" TargetMode="External"/><Relationship Id="rId213" Type="http://schemas.openxmlformats.org/officeDocument/2006/relationships/hyperlink" Target="mailto:edgar.garcia@veritivcorp.com" TargetMode="External"/><Relationship Id="rId234" Type="http://schemas.openxmlformats.org/officeDocument/2006/relationships/hyperlink" Target="mailto:Julio.Delangel@lyondellbasell.com" TargetMode="External"/><Relationship Id="rId2" Type="http://schemas.openxmlformats.org/officeDocument/2006/relationships/hyperlink" Target="mailto:Cristina.Vargas@sabic-ip.com" TargetMode="External"/><Relationship Id="rId29" Type="http://schemas.openxmlformats.org/officeDocument/2006/relationships/hyperlink" Target="mailto:Cristina.Vargas@sabic-ip.com" TargetMode="External"/><Relationship Id="rId255" Type="http://schemas.openxmlformats.org/officeDocument/2006/relationships/hyperlink" Target="mailto:angeles.ramirez@basf.com" TargetMode="External"/><Relationship Id="rId276" Type="http://schemas.openxmlformats.org/officeDocument/2006/relationships/hyperlink" Target="mailto:norma.resendez@tricoproducts.com" TargetMode="External"/><Relationship Id="rId40" Type="http://schemas.openxmlformats.org/officeDocument/2006/relationships/hyperlink" Target="mailto:jason.liu@boiln.com" TargetMode="External"/><Relationship Id="rId115" Type="http://schemas.openxmlformats.org/officeDocument/2006/relationships/hyperlink" Target="mailto:martin.godinez@valeo.com" TargetMode="External"/><Relationship Id="rId136" Type="http://schemas.openxmlformats.org/officeDocument/2006/relationships/hyperlink" Target="mailto:PCarrillo@redspot.com" TargetMode="External"/><Relationship Id="rId157" Type="http://schemas.openxmlformats.org/officeDocument/2006/relationships/hyperlink" Target="mailto:NRodriguez@uniformcolor.com" TargetMode="External"/><Relationship Id="rId178" Type="http://schemas.openxmlformats.org/officeDocument/2006/relationships/hyperlink" Target="mailto:smontes@sisamo.com.mx" TargetMode="External"/><Relationship Id="rId61" Type="http://schemas.openxmlformats.org/officeDocument/2006/relationships/hyperlink" Target="mailto:Cristina.Vargas@sabic-ip.com" TargetMode="External"/><Relationship Id="rId82" Type="http://schemas.openxmlformats.org/officeDocument/2006/relationships/hyperlink" Target="mailto:asaldana@channelpa.com" TargetMode="External"/><Relationship Id="rId199" Type="http://schemas.openxmlformats.org/officeDocument/2006/relationships/hyperlink" Target="mailto:eliudlpb1@gmail.com" TargetMode="External"/><Relationship Id="rId203" Type="http://schemas.openxmlformats.org/officeDocument/2006/relationships/hyperlink" Target="mailto:edgar.garcia@veritivcorp.com" TargetMode="External"/><Relationship Id="rId19" Type="http://schemas.openxmlformats.org/officeDocument/2006/relationships/hyperlink" Target="mailto:Cristina.Vargas@sabic-ip.com" TargetMode="External"/><Relationship Id="rId224" Type="http://schemas.openxmlformats.org/officeDocument/2006/relationships/hyperlink" Target="mailto:ealvarado@siempaques.com" TargetMode="External"/><Relationship Id="rId245" Type="http://schemas.openxmlformats.org/officeDocument/2006/relationships/hyperlink" Target="mailto:jdelacruz@uniformcolor.com" TargetMode="External"/><Relationship Id="rId266" Type="http://schemas.openxmlformats.org/officeDocument/2006/relationships/hyperlink" Target="mailto:angeles.ramirez@basf.com" TargetMode="External"/><Relationship Id="rId287" Type="http://schemas.openxmlformats.org/officeDocument/2006/relationships/hyperlink" Target="mailto:graciela.gonzalez@cewmail.com" TargetMode="External"/><Relationship Id="rId30" Type="http://schemas.openxmlformats.org/officeDocument/2006/relationships/hyperlink" Target="mailto:Cristina.Vargas@sabic-ip.com" TargetMode="External"/><Relationship Id="rId105" Type="http://schemas.openxmlformats.org/officeDocument/2006/relationships/hyperlink" Target="mailto:joseluis.chavez@polyone.com" TargetMode="External"/><Relationship Id="rId126" Type="http://schemas.openxmlformats.org/officeDocument/2006/relationships/hyperlink" Target="mailto:Cristina.Vargas@sabic-ip.com" TargetMode="External"/><Relationship Id="rId147" Type="http://schemas.openxmlformats.org/officeDocument/2006/relationships/hyperlink" Target="mailto:mark.dawson@clariant.com" TargetMode="External"/><Relationship Id="rId168" Type="http://schemas.openxmlformats.org/officeDocument/2006/relationships/hyperlink" Target="mailto:juanmanuel.moreno@clariant.com" TargetMode="External"/><Relationship Id="rId51" Type="http://schemas.openxmlformats.org/officeDocument/2006/relationships/hyperlink" Target="mailto:Cristina.Vargas@sabic-ip.com" TargetMode="External"/><Relationship Id="rId72" Type="http://schemas.openxmlformats.org/officeDocument/2006/relationships/hyperlink" Target="mailto:lvillareal@promaplast.com" TargetMode="External"/><Relationship Id="rId93" Type="http://schemas.openxmlformats.org/officeDocument/2006/relationships/hyperlink" Target="mailto:norma.resendez@tricoproducts.com" TargetMode="External"/><Relationship Id="rId189" Type="http://schemas.openxmlformats.org/officeDocument/2006/relationships/hyperlink" Target="mailto:mavet@londonintegration.com" TargetMode="External"/><Relationship Id="rId3" Type="http://schemas.openxmlformats.org/officeDocument/2006/relationships/hyperlink" Target="mailto:Cristina.Vargas@sabic-ip.com" TargetMode="External"/><Relationship Id="rId214" Type="http://schemas.openxmlformats.org/officeDocument/2006/relationships/hyperlink" Target="mailto:edgar.garcia@veritivcorp.com" TargetMode="External"/><Relationship Id="rId235" Type="http://schemas.openxmlformats.org/officeDocument/2006/relationships/hyperlink" Target="mailto:Julio.Delangel@lyondellbasell.com" TargetMode="External"/><Relationship Id="rId256" Type="http://schemas.openxmlformats.org/officeDocument/2006/relationships/hyperlink" Target="mailto:angeles.ramirez@basf.com" TargetMode="External"/><Relationship Id="rId277" Type="http://schemas.openxmlformats.org/officeDocument/2006/relationships/hyperlink" Target="mailto:norma.resendez@tricoproducts.com" TargetMode="External"/><Relationship Id="rId116" Type="http://schemas.openxmlformats.org/officeDocument/2006/relationships/hyperlink" Target="mailto:Cristina.Vargas@sabic-ip.com" TargetMode="External"/><Relationship Id="rId137" Type="http://schemas.openxmlformats.org/officeDocument/2006/relationships/hyperlink" Target="mailto:PCarrillo@redspot.com" TargetMode="External"/><Relationship Id="rId158" Type="http://schemas.openxmlformats.org/officeDocument/2006/relationships/hyperlink" Target="mailto:karla.lombardi@polyone.com" TargetMode="External"/><Relationship Id="rId20" Type="http://schemas.openxmlformats.org/officeDocument/2006/relationships/hyperlink" Target="mailto:Cristina.Vargas@sabic-ip.com" TargetMode="External"/><Relationship Id="rId41" Type="http://schemas.openxmlformats.org/officeDocument/2006/relationships/hyperlink" Target="mailto:david.lopez@lottechem.com" TargetMode="External"/><Relationship Id="rId62" Type="http://schemas.openxmlformats.org/officeDocument/2006/relationships/hyperlink" Target="mailto:Cristina.Vargas@sabic-ip.com" TargetMode="External"/><Relationship Id="rId83" Type="http://schemas.openxmlformats.org/officeDocument/2006/relationships/hyperlink" Target="mailto:mtorres@chaseplastics.com" TargetMode="External"/><Relationship Id="rId179" Type="http://schemas.openxmlformats.org/officeDocument/2006/relationships/hyperlink" Target="mailto:sales01@kingyao.com" TargetMode="External"/><Relationship Id="rId190" Type="http://schemas.openxmlformats.org/officeDocument/2006/relationships/hyperlink" Target="mailto:edgar.garcia@veritivcorp.com" TargetMode="External"/><Relationship Id="rId204" Type="http://schemas.openxmlformats.org/officeDocument/2006/relationships/hyperlink" Target="mailto:aron.qps1@gmail.com" TargetMode="External"/><Relationship Id="rId225" Type="http://schemas.openxmlformats.org/officeDocument/2006/relationships/hyperlink" Target="mailto:ealvarado@siempaques.com" TargetMode="External"/><Relationship Id="rId246" Type="http://schemas.openxmlformats.org/officeDocument/2006/relationships/hyperlink" Target="mailto:jdelacruz@uniformcolor.com" TargetMode="External"/><Relationship Id="rId267" Type="http://schemas.openxmlformats.org/officeDocument/2006/relationships/hyperlink" Target="mailto:angeles.ramirez@basf.com" TargetMode="External"/><Relationship Id="rId288" Type="http://schemas.openxmlformats.org/officeDocument/2006/relationships/hyperlink" Target="mailto:graciela.gonzalez@cewmail.com" TargetMode="External"/><Relationship Id="rId106" Type="http://schemas.openxmlformats.org/officeDocument/2006/relationships/hyperlink" Target="mailto:asaldana@channelpa.com" TargetMode="External"/><Relationship Id="rId127" Type="http://schemas.openxmlformats.org/officeDocument/2006/relationships/hyperlink" Target="mailto:Cristina.Vargas@sabic-ip.com" TargetMode="External"/><Relationship Id="rId10" Type="http://schemas.openxmlformats.org/officeDocument/2006/relationships/hyperlink" Target="mailto:Cristina.Vargas@sabic-ip.com" TargetMode="External"/><Relationship Id="rId31" Type="http://schemas.openxmlformats.org/officeDocument/2006/relationships/hyperlink" Target="mailto:Cristina.Vargas@sabic-ip.com" TargetMode="External"/><Relationship Id="rId52" Type="http://schemas.openxmlformats.org/officeDocument/2006/relationships/hyperlink" Target="mailto:Cristina.Vargas@sabic-ip.com" TargetMode="External"/><Relationship Id="rId73" Type="http://schemas.openxmlformats.org/officeDocument/2006/relationships/hyperlink" Target="mailto:asaldana@channelpa.com" TargetMode="External"/><Relationship Id="rId94" Type="http://schemas.openxmlformats.org/officeDocument/2006/relationships/hyperlink" Target="mailto:joseluis.chavez@polyone.com" TargetMode="External"/><Relationship Id="rId148" Type="http://schemas.openxmlformats.org/officeDocument/2006/relationships/hyperlink" Target="mailto:mark.dawson@clariant.com" TargetMode="External"/><Relationship Id="rId169" Type="http://schemas.openxmlformats.org/officeDocument/2006/relationships/hyperlink" Target="mailto:juanmanuel.moreno@clariant.com" TargetMode="External"/><Relationship Id="rId4" Type="http://schemas.openxmlformats.org/officeDocument/2006/relationships/hyperlink" Target="mailto:joseluis.chavez@polyone.com" TargetMode="External"/><Relationship Id="rId180" Type="http://schemas.openxmlformats.org/officeDocument/2006/relationships/hyperlink" Target="mailto:sales01@kingyao.com" TargetMode="External"/><Relationship Id="rId215" Type="http://schemas.openxmlformats.org/officeDocument/2006/relationships/hyperlink" Target="mailto:edgar.garcia@veritivcorp.com" TargetMode="External"/><Relationship Id="rId236" Type="http://schemas.openxmlformats.org/officeDocument/2006/relationships/hyperlink" Target="mailto:Julio.Delangel@lyondellbasell.com" TargetMode="External"/><Relationship Id="rId257" Type="http://schemas.openxmlformats.org/officeDocument/2006/relationships/hyperlink" Target="mailto:angeles.ramirez@basf.com" TargetMode="External"/><Relationship Id="rId278" Type="http://schemas.openxmlformats.org/officeDocument/2006/relationships/hyperlink" Target="mailto:e.ordaz@gergonne.mx" TargetMode="External"/><Relationship Id="rId42" Type="http://schemas.openxmlformats.org/officeDocument/2006/relationships/hyperlink" Target="mailto:joseluis.chavez@polyone.com" TargetMode="External"/><Relationship Id="rId84" Type="http://schemas.openxmlformats.org/officeDocument/2006/relationships/hyperlink" Target="mailto:norma.resendez@tricoproducts.com" TargetMode="External"/><Relationship Id="rId138" Type="http://schemas.openxmlformats.org/officeDocument/2006/relationships/hyperlink" Target="mailto:smontes@sisamo.com.mx" TargetMode="External"/><Relationship Id="rId191" Type="http://schemas.openxmlformats.org/officeDocument/2006/relationships/hyperlink" Target="mailto:ealvarado@siempaques.com" TargetMode="External"/><Relationship Id="rId205" Type="http://schemas.openxmlformats.org/officeDocument/2006/relationships/hyperlink" Target="mailto:aron.qps1@gmail.com" TargetMode="External"/><Relationship Id="rId247" Type="http://schemas.openxmlformats.org/officeDocument/2006/relationships/hyperlink" Target="mailto:jdelacruz@uniformcolor.com" TargetMode="External"/><Relationship Id="rId107" Type="http://schemas.openxmlformats.org/officeDocument/2006/relationships/hyperlink" Target="mailto:beth.pede@pereles.com" TargetMode="External"/><Relationship Id="rId289" Type="http://schemas.openxmlformats.org/officeDocument/2006/relationships/hyperlink" Target="mailto:graciela.gonzalez@cewmail.com" TargetMode="External"/><Relationship Id="rId11" Type="http://schemas.openxmlformats.org/officeDocument/2006/relationships/hyperlink" Target="mailto:Cristina.Vargas@sabic-ip.com" TargetMode="External"/><Relationship Id="rId53" Type="http://schemas.openxmlformats.org/officeDocument/2006/relationships/hyperlink" Target="mailto:Cristina.Vargas@sabic-ip.com" TargetMode="External"/><Relationship Id="rId149" Type="http://schemas.openxmlformats.org/officeDocument/2006/relationships/hyperlink" Target="mailto:mark.dawson@clariant.com" TargetMode="External"/><Relationship Id="rId95" Type="http://schemas.openxmlformats.org/officeDocument/2006/relationships/hyperlink" Target="mailto:Cristina.Vargas@sabic-ip.com" TargetMode="External"/><Relationship Id="rId160" Type="http://schemas.openxmlformats.org/officeDocument/2006/relationships/hyperlink" Target="mailto:karla.lombardi@polyone.com" TargetMode="External"/><Relationship Id="rId216" Type="http://schemas.openxmlformats.org/officeDocument/2006/relationships/hyperlink" Target="mailto:edgar.garcia@veritivcorp.com" TargetMode="External"/><Relationship Id="rId258" Type="http://schemas.openxmlformats.org/officeDocument/2006/relationships/hyperlink" Target="mailto:angeles.ramirez@basf.com" TargetMode="External"/><Relationship Id="rId22" Type="http://schemas.openxmlformats.org/officeDocument/2006/relationships/hyperlink" Target="mailto:Cristina.Vargas@sabic-ip.com" TargetMode="External"/><Relationship Id="rId64" Type="http://schemas.openxmlformats.org/officeDocument/2006/relationships/hyperlink" Target="mailto:joseluis.chavez@polyone.com" TargetMode="External"/><Relationship Id="rId118" Type="http://schemas.openxmlformats.org/officeDocument/2006/relationships/hyperlink" Target="mailto:Cristina.Vargas@sabic-ip.com" TargetMode="External"/><Relationship Id="rId171" Type="http://schemas.openxmlformats.org/officeDocument/2006/relationships/hyperlink" Target="mailto:joel.viveros@akzonobel.com" TargetMode="External"/><Relationship Id="rId227" Type="http://schemas.openxmlformats.org/officeDocument/2006/relationships/hyperlink" Target="mailto:ealvarado@siempaques.com" TargetMode="External"/><Relationship Id="rId269" Type="http://schemas.openxmlformats.org/officeDocument/2006/relationships/hyperlink" Target="mailto:martin.godinez@valeo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tel:+86-752-6188777Cell:19982083314" TargetMode="External"/><Relationship Id="rId18" Type="http://schemas.openxmlformats.org/officeDocument/2006/relationships/hyperlink" Target="mailto:Omar.Padilla@imcdmx.com" TargetMode="External"/><Relationship Id="rId26" Type="http://schemas.openxmlformats.org/officeDocument/2006/relationships/hyperlink" Target="mailto:eaviles@chaseplastics.com" TargetMode="External"/><Relationship Id="rId39" Type="http://schemas.openxmlformats.org/officeDocument/2006/relationships/hyperlink" Target="mailto:Marco.Torres@ChannelPA.com" TargetMode="External"/><Relationship Id="rId21" Type="http://schemas.openxmlformats.org/officeDocument/2006/relationships/hyperlink" Target="mailto:slazarus@nationalwebbing.com" TargetMode="External"/><Relationship Id="rId34" Type="http://schemas.openxmlformats.org/officeDocument/2006/relationships/hyperlink" Target="mailto:angel@sunluenmetal.com" TargetMode="External"/><Relationship Id="rId42" Type="http://schemas.openxmlformats.org/officeDocument/2006/relationships/hyperlink" Target="mailto:HectorAbraham.Perez@veritiv.com" TargetMode="External"/><Relationship Id="rId47" Type="http://schemas.openxmlformats.org/officeDocument/2006/relationships/hyperlink" Target="mailto:cristina.arriaga@tecmaq.com.mx" TargetMode="External"/><Relationship Id="rId50" Type="http://schemas.openxmlformats.org/officeDocument/2006/relationships/vmlDrawing" Target="../drawings/vmlDrawing2.vml"/><Relationship Id="rId7" Type="http://schemas.openxmlformats.org/officeDocument/2006/relationships/hyperlink" Target="mailto:sheila.rodriguez@Sabic.com" TargetMode="External"/><Relationship Id="rId2" Type="http://schemas.openxmlformats.org/officeDocument/2006/relationships/hyperlink" Target="mailto:Garrett@BallyhooPlastics.com" TargetMode="External"/><Relationship Id="rId16" Type="http://schemas.openxmlformats.org/officeDocument/2006/relationships/hyperlink" Target="mailto:Ventas2@publipak.com" TargetMode="External"/><Relationship Id="rId29" Type="http://schemas.openxmlformats.org/officeDocument/2006/relationships/hyperlink" Target="mailto:vmora@gp-materials.com" TargetMode="External"/><Relationship Id="rId11" Type="http://schemas.openxmlformats.org/officeDocument/2006/relationships/hyperlink" Target="mailto:dlopez@methode.com" TargetMode="External"/><Relationship Id="rId24" Type="http://schemas.openxmlformats.org/officeDocument/2006/relationships/hyperlink" Target="mailto:Orders@badgercolor.com" TargetMode="External"/><Relationship Id="rId32" Type="http://schemas.openxmlformats.org/officeDocument/2006/relationships/hyperlink" Target="mailto:Elizabeth.Bazaldua@preh.mx" TargetMode="External"/><Relationship Id="rId37" Type="http://schemas.openxmlformats.org/officeDocument/2006/relationships/hyperlink" Target="mailto:chriss@volkertprecision.com" TargetMode="External"/><Relationship Id="rId40" Type="http://schemas.openxmlformats.org/officeDocument/2006/relationships/hyperlink" Target="mailto:matthew@florida-polymers.com" TargetMode="External"/><Relationship Id="rId45" Type="http://schemas.openxmlformats.org/officeDocument/2006/relationships/hyperlink" Target="mailto:johcur@smallpartsinc.com" TargetMode="External"/><Relationship Id="rId5" Type="http://schemas.openxmlformats.org/officeDocument/2006/relationships/hyperlink" Target="mailto:dpatel@marianchicago.com" TargetMode="External"/><Relationship Id="rId15" Type="http://schemas.openxmlformats.org/officeDocument/2006/relationships/hyperlink" Target="mailto:lsauceda@cclind.com" TargetMode="External"/><Relationship Id="rId23" Type="http://schemas.openxmlformats.org/officeDocument/2006/relationships/hyperlink" Target="mailto:Marco.Rebollo@Audia.com" TargetMode="External"/><Relationship Id="rId28" Type="http://schemas.openxmlformats.org/officeDocument/2006/relationships/hyperlink" Target="mailto:jmarsala@englube.com" TargetMode="External"/><Relationship Id="rId36" Type="http://schemas.openxmlformats.org/officeDocument/2006/relationships/hyperlink" Target="mailto:Karen.Espinosa@audia.com" TargetMode="External"/><Relationship Id="rId49" Type="http://schemas.openxmlformats.org/officeDocument/2006/relationships/printerSettings" Target="../printerSettings/printerSettings5.bin"/><Relationship Id="rId10" Type="http://schemas.openxmlformats.org/officeDocument/2006/relationships/hyperlink" Target="mailto:CBentrim@pemnet.com" TargetMode="External"/><Relationship Id="rId19" Type="http://schemas.openxmlformats.org/officeDocument/2006/relationships/hyperlink" Target="mailto:Omar.Padilla@imcdmx.com" TargetMode="External"/><Relationship Id="rId31" Type="http://schemas.openxmlformats.org/officeDocument/2006/relationships/hyperlink" Target="mailto:ashley.groves@ineos.com" TargetMode="External"/><Relationship Id="rId44" Type="http://schemas.openxmlformats.org/officeDocument/2006/relationships/hyperlink" Target="mailto:yair.rojas@covestro.com" TargetMode="External"/><Relationship Id="rId4" Type="http://schemas.openxmlformats.org/officeDocument/2006/relationships/hyperlink" Target="mailto:mumanzor@kingfa.com" TargetMode="External"/><Relationship Id="rId9" Type="http://schemas.openxmlformats.org/officeDocument/2006/relationships/hyperlink" Target="mailto:anna_carter@nexeoplastics.com" TargetMode="External"/><Relationship Id="rId14" Type="http://schemas.openxmlformats.org/officeDocument/2006/relationships/hyperlink" Target="mailto:zsh@szjdyj.com" TargetMode="External"/><Relationship Id="rId22" Type="http://schemas.openxmlformats.org/officeDocument/2006/relationships/hyperlink" Target="mailto:anshkhan0615@gmail.com" TargetMode="External"/><Relationship Id="rId27" Type="http://schemas.openxmlformats.org/officeDocument/2006/relationships/hyperlink" Target="mailto:matsa-queretaro@prodigy.net.mx" TargetMode="External"/><Relationship Id="rId30" Type="http://schemas.openxmlformats.org/officeDocument/2006/relationships/hyperlink" Target="mailto:Ltucker@htfinc.com" TargetMode="External"/><Relationship Id="rId35" Type="http://schemas.openxmlformats.org/officeDocument/2006/relationships/hyperlink" Target="mailto:dresh@itwids.com" TargetMode="External"/><Relationship Id="rId43" Type="http://schemas.openxmlformats.org/officeDocument/2006/relationships/hyperlink" Target="mailto:ken.chen@lyondellbasell.com" TargetMode="External"/><Relationship Id="rId48" Type="http://schemas.openxmlformats.org/officeDocument/2006/relationships/hyperlink" Target="mailto:emma.flores@spirol.com" TargetMode="External"/><Relationship Id="rId8" Type="http://schemas.openxmlformats.org/officeDocument/2006/relationships/hyperlink" Target="mailto:bwhelan@teknorapex.com" TargetMode="External"/><Relationship Id="rId51" Type="http://schemas.openxmlformats.org/officeDocument/2006/relationships/comments" Target="../comments2.xml"/><Relationship Id="rId3" Type="http://schemas.openxmlformats.org/officeDocument/2006/relationships/hyperlink" Target="mailto:LFertig@Entecpolymers.com" TargetMode="External"/><Relationship Id="rId12" Type="http://schemas.openxmlformats.org/officeDocument/2006/relationships/hyperlink" Target="mailto:cecilia.guo@liphing.com" TargetMode="External"/><Relationship Id="rId17" Type="http://schemas.openxmlformats.org/officeDocument/2006/relationships/hyperlink" Target="mailto:Sofia.Lopez@formerra.com" TargetMode="External"/><Relationship Id="rId25" Type="http://schemas.openxmlformats.org/officeDocument/2006/relationships/hyperlink" Target="mailto:laura.garcia@camellia.us.com" TargetMode="External"/><Relationship Id="rId33" Type="http://schemas.openxmlformats.org/officeDocument/2006/relationships/hyperlink" Target="mailto:santiago@qpsgroup.net" TargetMode="External"/><Relationship Id="rId38" Type="http://schemas.openxmlformats.org/officeDocument/2006/relationships/hyperlink" Target="mailto:sergio.contreras@nidec-motor.com" TargetMode="External"/><Relationship Id="rId46" Type="http://schemas.openxmlformats.org/officeDocument/2006/relationships/hyperlink" Target="mailto:pturney@ap-corp.com" TargetMode="External"/><Relationship Id="rId20" Type="http://schemas.openxmlformats.org/officeDocument/2006/relationships/hyperlink" Target="mailto:yovannac@SerendipityElectronics.com" TargetMode="External"/><Relationship Id="rId41" Type="http://schemas.openxmlformats.org/officeDocument/2006/relationships/hyperlink" Target="mailto:info@prover.it" TargetMode="External"/><Relationship Id="rId1" Type="http://schemas.openxmlformats.org/officeDocument/2006/relationships/hyperlink" Target="mailto:JuanManuel.Moreno@avient.com" TargetMode="External"/><Relationship Id="rId6" Type="http://schemas.openxmlformats.org/officeDocument/2006/relationships/hyperlink" Target="mailto:klavertue@prlresi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1118"/>
  <sheetViews>
    <sheetView topLeftCell="C1" zoomScale="115" zoomScaleNormal="115" workbookViewId="0">
      <pane ySplit="2" topLeftCell="A68" activePane="bottomLeft" state="frozen"/>
      <selection pane="bottomLeft" activeCell="G129" sqref="G129"/>
    </sheetView>
  </sheetViews>
  <sheetFormatPr defaultColWidth="14.44140625" defaultRowHeight="13.2" x14ac:dyDescent="0.25"/>
  <cols>
    <col min="1" max="1" width="10.88671875" customWidth="1"/>
    <col min="2" max="2" width="11" customWidth="1"/>
    <col min="3" max="3" width="20.5546875" customWidth="1"/>
    <col min="4" max="4" width="13.5546875" customWidth="1"/>
    <col min="5" max="5" width="37.88671875" customWidth="1"/>
    <col min="6" max="6" width="4.88671875" customWidth="1"/>
    <col min="7" max="7" width="13.88671875" customWidth="1"/>
    <col min="8" max="8" width="9.44140625" customWidth="1"/>
    <col min="9" max="9" width="11.88671875" customWidth="1"/>
    <col min="10" max="11" width="13.33203125" customWidth="1"/>
    <col min="12" max="12" width="7.88671875" style="4" customWidth="1"/>
    <col min="13" max="13" width="9.6640625" bestFit="1" customWidth="1"/>
    <col min="14" max="14" width="7.109375" customWidth="1"/>
    <col min="15" max="15" width="7.88671875" customWidth="1"/>
    <col min="16" max="16" width="7.6640625" customWidth="1"/>
    <col min="17" max="17" width="9.5546875" customWidth="1"/>
    <col min="18" max="18" width="6.5546875" customWidth="1"/>
    <col min="19" max="20" width="8.109375" customWidth="1"/>
    <col min="21" max="21" width="13.88671875" customWidth="1"/>
    <col min="22" max="22" width="11.44140625" customWidth="1"/>
    <col min="23" max="24" width="13.88671875" customWidth="1"/>
    <col min="25" max="25" width="13" customWidth="1"/>
    <col min="26" max="26" width="11.6640625" customWidth="1"/>
    <col min="27" max="27" width="13.88671875" customWidth="1"/>
    <col min="28" max="28" width="9.109375" customWidth="1"/>
    <col min="29" max="29" width="12.5546875" customWidth="1"/>
    <col min="30" max="30" width="9.109375" customWidth="1"/>
    <col min="31" max="31" width="47.88671875" customWidth="1"/>
    <col min="32" max="32" width="25.6640625" customWidth="1"/>
    <col min="33" max="33" width="46.44140625" customWidth="1"/>
    <col min="34" max="34" width="11.109375" customWidth="1"/>
    <col min="35" max="110" width="9.109375" customWidth="1"/>
  </cols>
  <sheetData>
    <row r="1" spans="1:110" x14ac:dyDescent="0.25">
      <c r="A1" s="1" t="s">
        <v>1610</v>
      </c>
      <c r="B1" s="1"/>
      <c r="C1" s="2" t="s">
        <v>0</v>
      </c>
      <c r="D1" s="3">
        <v>44585</v>
      </c>
      <c r="E1" s="68"/>
      <c r="F1" s="1"/>
      <c r="G1" s="4"/>
      <c r="H1" s="1"/>
      <c r="I1" s="5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6"/>
      <c r="AA1" s="1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</row>
    <row r="2" spans="1:110" ht="15" customHeight="1" x14ac:dyDescent="0.2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62" t="s">
        <v>7</v>
      </c>
      <c r="H2" s="8" t="s">
        <v>8</v>
      </c>
      <c r="I2" s="8" t="s">
        <v>9</v>
      </c>
      <c r="J2" s="61" t="s">
        <v>1540</v>
      </c>
      <c r="K2" s="54" t="s">
        <v>1541</v>
      </c>
      <c r="M2" s="8" t="s">
        <v>10</v>
      </c>
      <c r="N2" s="8" t="s">
        <v>11</v>
      </c>
      <c r="O2" s="8" t="s">
        <v>12</v>
      </c>
      <c r="P2" s="8" t="s">
        <v>13</v>
      </c>
      <c r="Q2" s="8" t="s">
        <v>14</v>
      </c>
      <c r="R2" s="8" t="s">
        <v>15</v>
      </c>
      <c r="S2" s="8" t="s">
        <v>16</v>
      </c>
      <c r="T2" s="69" t="s">
        <v>17</v>
      </c>
      <c r="U2" s="74" t="s">
        <v>18</v>
      </c>
      <c r="V2" s="74" t="s">
        <v>19</v>
      </c>
      <c r="W2" s="75" t="s">
        <v>20</v>
      </c>
      <c r="X2" s="75" t="s">
        <v>19</v>
      </c>
      <c r="Y2" s="74" t="s">
        <v>21</v>
      </c>
      <c r="Z2" s="74" t="s">
        <v>22</v>
      </c>
      <c r="AA2" s="74" t="s">
        <v>23</v>
      </c>
      <c r="AB2" s="74" t="s">
        <v>24</v>
      </c>
      <c r="AC2" s="74" t="s">
        <v>25</v>
      </c>
      <c r="AD2" s="74" t="s">
        <v>26</v>
      </c>
      <c r="AE2" s="74" t="s">
        <v>27</v>
      </c>
      <c r="AF2" s="74" t="s">
        <v>28</v>
      </c>
      <c r="AG2" s="74" t="s">
        <v>29</v>
      </c>
      <c r="AH2" s="74" t="s">
        <v>1601</v>
      </c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</row>
    <row r="3" spans="1:110" ht="15" customHeight="1" x14ac:dyDescent="0.25">
      <c r="A3" s="10">
        <v>1101042</v>
      </c>
      <c r="B3" s="11" t="s">
        <v>30</v>
      </c>
      <c r="C3" s="12" t="s">
        <v>31</v>
      </c>
      <c r="D3" s="11" t="s">
        <v>32</v>
      </c>
      <c r="E3" s="10" t="s">
        <v>33</v>
      </c>
      <c r="F3" s="10" t="s">
        <v>34</v>
      </c>
      <c r="G3" s="55">
        <f>IF(U3="Obsolete",U3,U3+X3)</f>
        <v>2.4039999999999999</v>
      </c>
      <c r="H3" s="10">
        <v>6</v>
      </c>
      <c r="I3" s="13">
        <v>3902</v>
      </c>
      <c r="J3" s="56">
        <v>44348</v>
      </c>
      <c r="K3" s="57">
        <v>2.25</v>
      </c>
      <c r="M3" s="14"/>
      <c r="N3" s="14"/>
      <c r="O3" s="14">
        <v>2.4039999999999999</v>
      </c>
      <c r="P3" s="14"/>
      <c r="Q3" s="14">
        <v>2.2909999999999999</v>
      </c>
      <c r="R3" s="14"/>
      <c r="S3" s="14"/>
      <c r="T3" s="70"/>
      <c r="U3" s="76">
        <v>2.4039999999999999</v>
      </c>
      <c r="V3" s="76">
        <v>0</v>
      </c>
      <c r="W3" s="76">
        <v>2.4039999999999999</v>
      </c>
      <c r="X3" s="76">
        <v>0</v>
      </c>
      <c r="Y3" s="77" t="s">
        <v>35</v>
      </c>
      <c r="Z3" s="78">
        <v>1300</v>
      </c>
      <c r="AA3" s="79" t="s">
        <v>36</v>
      </c>
      <c r="AB3" s="79" t="s">
        <v>35</v>
      </c>
      <c r="AC3" s="79" t="s">
        <v>37</v>
      </c>
      <c r="AD3" s="79" t="s">
        <v>38</v>
      </c>
      <c r="AE3" s="79" t="s">
        <v>39</v>
      </c>
      <c r="AF3" s="79" t="s">
        <v>40</v>
      </c>
      <c r="AG3" s="80" t="s">
        <v>41</v>
      </c>
      <c r="AH3" s="79"/>
      <c r="AI3" s="53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</row>
    <row r="4" spans="1:110" ht="15" customHeight="1" x14ac:dyDescent="0.25">
      <c r="A4" s="10">
        <v>1101043</v>
      </c>
      <c r="B4" s="11" t="s">
        <v>30</v>
      </c>
      <c r="C4" s="12" t="s">
        <v>42</v>
      </c>
      <c r="D4" s="11" t="s">
        <v>43</v>
      </c>
      <c r="E4" s="10" t="s">
        <v>33</v>
      </c>
      <c r="F4" s="10" t="s">
        <v>34</v>
      </c>
      <c r="G4" s="55">
        <f t="shared" ref="G4:G14" si="0">IF(U4="Obsolete",U4,U4+V4)</f>
        <v>2.2669999999999999</v>
      </c>
      <c r="H4" s="10">
        <v>6</v>
      </c>
      <c r="I4" s="13">
        <v>4400</v>
      </c>
      <c r="J4" s="56">
        <v>44348</v>
      </c>
      <c r="K4" s="57">
        <v>2.04</v>
      </c>
      <c r="M4" s="14"/>
      <c r="N4" s="14"/>
      <c r="O4" s="14"/>
      <c r="P4" s="14"/>
      <c r="Q4" s="14"/>
      <c r="R4" s="14"/>
      <c r="S4" s="14"/>
      <c r="T4" s="70">
        <v>2.2669999999999999</v>
      </c>
      <c r="U4" s="76">
        <v>2.2669999999999999</v>
      </c>
      <c r="V4" s="76">
        <v>0</v>
      </c>
      <c r="W4" s="76">
        <v>2.2669999999999999</v>
      </c>
      <c r="X4" s="76">
        <v>0</v>
      </c>
      <c r="Y4" s="77" t="s">
        <v>37</v>
      </c>
      <c r="Z4" s="78">
        <v>1500</v>
      </c>
      <c r="AA4" s="79" t="s">
        <v>44</v>
      </c>
      <c r="AB4" s="79" t="s">
        <v>35</v>
      </c>
      <c r="AC4" s="79" t="s">
        <v>37</v>
      </c>
      <c r="AD4" s="79" t="s">
        <v>38</v>
      </c>
      <c r="AE4" s="79" t="s">
        <v>39</v>
      </c>
      <c r="AF4" s="79" t="s">
        <v>40</v>
      </c>
      <c r="AG4" s="80" t="s">
        <v>41</v>
      </c>
      <c r="AH4" s="79"/>
      <c r="AI4" s="53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</row>
    <row r="5" spans="1:110" ht="15" customHeight="1" x14ac:dyDescent="0.25">
      <c r="A5" s="125">
        <v>1101044</v>
      </c>
      <c r="B5" s="11" t="s">
        <v>30</v>
      </c>
      <c r="C5" s="16" t="s">
        <v>45</v>
      </c>
      <c r="D5" s="11" t="s">
        <v>46</v>
      </c>
      <c r="E5" s="10" t="s">
        <v>47</v>
      </c>
      <c r="F5" s="10" t="s">
        <v>34</v>
      </c>
      <c r="G5" s="55">
        <f t="shared" si="0"/>
        <v>2.2799999999999998</v>
      </c>
      <c r="H5" s="10">
        <v>10</v>
      </c>
      <c r="I5" s="13">
        <v>6400</v>
      </c>
      <c r="J5" s="56">
        <v>44616</v>
      </c>
      <c r="K5" s="57">
        <v>2.0299999999999998</v>
      </c>
      <c r="M5" s="14"/>
      <c r="N5" s="14"/>
      <c r="O5" s="14">
        <v>2.62</v>
      </c>
      <c r="P5" s="14"/>
      <c r="Q5" s="14"/>
      <c r="R5" s="14"/>
      <c r="S5" s="14">
        <v>2.2799999999999998</v>
      </c>
      <c r="T5" s="70"/>
      <c r="U5" s="14">
        <v>2.2799999999999998</v>
      </c>
      <c r="V5" s="76">
        <v>0</v>
      </c>
      <c r="W5" s="14">
        <v>2.2799999999999998</v>
      </c>
      <c r="X5" s="76">
        <v>0</v>
      </c>
      <c r="Y5" s="77" t="s">
        <v>35</v>
      </c>
      <c r="Z5" s="78">
        <v>1600</v>
      </c>
      <c r="AA5" s="79" t="s">
        <v>36</v>
      </c>
      <c r="AB5" s="79" t="s">
        <v>35</v>
      </c>
      <c r="AC5" s="79" t="s">
        <v>37</v>
      </c>
      <c r="AD5" s="79" t="s">
        <v>38</v>
      </c>
      <c r="AE5" s="79" t="s">
        <v>1547</v>
      </c>
      <c r="AF5" s="79" t="s">
        <v>1548</v>
      </c>
      <c r="AG5" s="81" t="s">
        <v>1549</v>
      </c>
      <c r="AH5" s="79"/>
      <c r="AI5" s="53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</row>
    <row r="6" spans="1:110" ht="15" customHeight="1" x14ac:dyDescent="0.25">
      <c r="A6" s="10">
        <v>1101045</v>
      </c>
      <c r="B6" s="11" t="s">
        <v>30</v>
      </c>
      <c r="C6" s="12" t="s">
        <v>48</v>
      </c>
      <c r="D6" s="11" t="s">
        <v>49</v>
      </c>
      <c r="E6" s="10" t="s">
        <v>1619</v>
      </c>
      <c r="F6" s="10" t="s">
        <v>34</v>
      </c>
      <c r="G6" s="55">
        <f t="shared" si="0"/>
        <v>4.3179999999999996</v>
      </c>
      <c r="H6" s="10">
        <v>10</v>
      </c>
      <c r="I6" s="13">
        <v>1100</v>
      </c>
      <c r="J6" s="56">
        <v>44461</v>
      </c>
      <c r="K6" s="57">
        <v>4.2480000000000002</v>
      </c>
      <c r="M6" s="14">
        <v>4.3</v>
      </c>
      <c r="N6" s="14"/>
      <c r="O6" s="14"/>
      <c r="P6" s="14"/>
      <c r="Q6" s="14"/>
      <c r="R6" s="14"/>
      <c r="S6" s="14"/>
      <c r="T6" s="70"/>
      <c r="U6" s="76">
        <v>4.3</v>
      </c>
      <c r="V6" s="76">
        <v>1.7999999999999999E-2</v>
      </c>
      <c r="W6" s="76">
        <v>4.3</v>
      </c>
      <c r="X6" s="76">
        <v>1.7999999999999999E-2</v>
      </c>
      <c r="Y6" s="77" t="s">
        <v>37</v>
      </c>
      <c r="Z6" s="78">
        <v>55</v>
      </c>
      <c r="AA6" s="79" t="s">
        <v>36</v>
      </c>
      <c r="AB6" s="79" t="s">
        <v>35</v>
      </c>
      <c r="AC6" s="79" t="s">
        <v>37</v>
      </c>
      <c r="AD6" s="79" t="s">
        <v>38</v>
      </c>
      <c r="AE6" s="79" t="s">
        <v>50</v>
      </c>
      <c r="AF6" s="79" t="s">
        <v>51</v>
      </c>
      <c r="AG6" s="82" t="s">
        <v>52</v>
      </c>
      <c r="AH6" s="79"/>
      <c r="AI6" s="53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</row>
    <row r="7" spans="1:110" ht="15" customHeight="1" x14ac:dyDescent="0.25">
      <c r="A7" s="10">
        <v>1101046</v>
      </c>
      <c r="B7" s="11" t="s">
        <v>30</v>
      </c>
      <c r="C7" s="12" t="s">
        <v>53</v>
      </c>
      <c r="D7" s="11" t="s">
        <v>32</v>
      </c>
      <c r="E7" s="10" t="s">
        <v>33</v>
      </c>
      <c r="F7" s="10" t="s">
        <v>34</v>
      </c>
      <c r="G7" s="55" t="str">
        <f t="shared" si="0"/>
        <v>Obsolete</v>
      </c>
      <c r="H7" s="10">
        <v>6</v>
      </c>
      <c r="I7" s="13"/>
      <c r="J7" s="56"/>
      <c r="K7" s="57"/>
      <c r="M7" s="14"/>
      <c r="N7" s="14"/>
      <c r="O7" s="14"/>
      <c r="P7" s="14"/>
      <c r="Q7" s="14"/>
      <c r="R7" s="14"/>
      <c r="S7" s="14"/>
      <c r="T7" s="70"/>
      <c r="U7" s="76" t="s">
        <v>54</v>
      </c>
      <c r="V7" s="76"/>
      <c r="W7" s="76" t="s">
        <v>54</v>
      </c>
      <c r="X7" s="76"/>
      <c r="Y7" s="77"/>
      <c r="Z7" s="78"/>
      <c r="AA7" s="79" t="s">
        <v>55</v>
      </c>
      <c r="AB7" s="79" t="s">
        <v>37</v>
      </c>
      <c r="AC7" s="79" t="s">
        <v>37</v>
      </c>
      <c r="AD7" s="79"/>
      <c r="AE7" s="79" t="s">
        <v>39</v>
      </c>
      <c r="AF7" s="79" t="s">
        <v>40</v>
      </c>
      <c r="AG7" s="80" t="s">
        <v>41</v>
      </c>
      <c r="AH7" s="79"/>
      <c r="AI7" s="53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</row>
    <row r="8" spans="1:110" ht="15" customHeight="1" x14ac:dyDescent="0.25">
      <c r="A8" s="10">
        <v>1101047</v>
      </c>
      <c r="B8" s="11" t="s">
        <v>30</v>
      </c>
      <c r="C8" s="12" t="s">
        <v>56</v>
      </c>
      <c r="D8" s="11" t="s">
        <v>32</v>
      </c>
      <c r="E8" s="17" t="s">
        <v>57</v>
      </c>
      <c r="F8" s="10" t="s">
        <v>34</v>
      </c>
      <c r="G8" s="55" t="str">
        <f t="shared" si="0"/>
        <v>Obsolete</v>
      </c>
      <c r="H8" s="10"/>
      <c r="I8" s="13"/>
      <c r="J8" s="56"/>
      <c r="K8" s="57"/>
      <c r="M8" s="14"/>
      <c r="N8" s="14"/>
      <c r="O8" s="14"/>
      <c r="P8" s="14"/>
      <c r="Q8" s="14"/>
      <c r="R8" s="14"/>
      <c r="S8" s="14"/>
      <c r="T8" s="70"/>
      <c r="U8" s="76" t="s">
        <v>54</v>
      </c>
      <c r="V8" s="76"/>
      <c r="W8" s="76" t="s">
        <v>54</v>
      </c>
      <c r="X8" s="76"/>
      <c r="Y8" s="77"/>
      <c r="Z8" s="78"/>
      <c r="AA8" s="79" t="s">
        <v>58</v>
      </c>
      <c r="AB8" s="79" t="s">
        <v>37</v>
      </c>
      <c r="AC8" s="79" t="s">
        <v>35</v>
      </c>
      <c r="AD8" s="79"/>
      <c r="AE8" s="79"/>
      <c r="AF8" s="79"/>
      <c r="AG8" s="79"/>
      <c r="AH8" s="79"/>
      <c r="AI8" s="53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</row>
    <row r="9" spans="1:110" ht="15" customHeight="1" x14ac:dyDescent="0.25">
      <c r="A9" s="10">
        <v>1101048</v>
      </c>
      <c r="B9" s="11" t="s">
        <v>30</v>
      </c>
      <c r="C9" s="12" t="s">
        <v>59</v>
      </c>
      <c r="D9" s="11" t="s">
        <v>32</v>
      </c>
      <c r="E9" s="17" t="s">
        <v>57</v>
      </c>
      <c r="F9" s="10" t="s">
        <v>34</v>
      </c>
      <c r="G9" s="55" t="str">
        <f t="shared" si="0"/>
        <v>Obsolete</v>
      </c>
      <c r="H9" s="10"/>
      <c r="I9" s="13"/>
      <c r="J9" s="56"/>
      <c r="K9" s="57"/>
      <c r="M9" s="14"/>
      <c r="N9" s="14"/>
      <c r="O9" s="14"/>
      <c r="P9" s="14"/>
      <c r="Q9" s="14"/>
      <c r="R9" s="14"/>
      <c r="S9" s="14"/>
      <c r="T9" s="70"/>
      <c r="U9" s="76" t="s">
        <v>54</v>
      </c>
      <c r="V9" s="76"/>
      <c r="W9" s="76" t="s">
        <v>54</v>
      </c>
      <c r="X9" s="76"/>
      <c r="Y9" s="77"/>
      <c r="Z9" s="78"/>
      <c r="AA9" s="79" t="s">
        <v>58</v>
      </c>
      <c r="AB9" s="79" t="s">
        <v>37</v>
      </c>
      <c r="AC9" s="79" t="s">
        <v>35</v>
      </c>
      <c r="AD9" s="79"/>
      <c r="AE9" s="79"/>
      <c r="AF9" s="79"/>
      <c r="AG9" s="79"/>
      <c r="AH9" s="79"/>
      <c r="AI9" s="53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</row>
    <row r="10" spans="1:110" ht="13.8" x14ac:dyDescent="0.25">
      <c r="A10" s="10">
        <v>1101049</v>
      </c>
      <c r="B10" s="11" t="s">
        <v>30</v>
      </c>
      <c r="C10" s="12" t="s">
        <v>59</v>
      </c>
      <c r="D10" s="11" t="s">
        <v>32</v>
      </c>
      <c r="E10" s="17" t="s">
        <v>57</v>
      </c>
      <c r="F10" s="10" t="s">
        <v>34</v>
      </c>
      <c r="G10" s="55" t="str">
        <f t="shared" si="0"/>
        <v>Obsolete</v>
      </c>
      <c r="H10" s="10"/>
      <c r="I10" s="13"/>
      <c r="J10" s="56"/>
      <c r="K10" s="57"/>
      <c r="M10" s="14"/>
      <c r="N10" s="14"/>
      <c r="O10" s="14"/>
      <c r="P10" s="14"/>
      <c r="Q10" s="14"/>
      <c r="R10" s="14"/>
      <c r="S10" s="14"/>
      <c r="T10" s="70"/>
      <c r="U10" s="76" t="s">
        <v>54</v>
      </c>
      <c r="V10" s="76"/>
      <c r="W10" s="76" t="s">
        <v>54</v>
      </c>
      <c r="X10" s="76"/>
      <c r="Y10" s="77"/>
      <c r="Z10" s="78"/>
      <c r="AA10" s="79" t="s">
        <v>58</v>
      </c>
      <c r="AB10" s="79" t="s">
        <v>37</v>
      </c>
      <c r="AC10" s="79" t="s">
        <v>35</v>
      </c>
      <c r="AD10" s="79"/>
      <c r="AE10" s="79"/>
      <c r="AF10" s="79"/>
      <c r="AG10" s="79"/>
      <c r="AH10" s="79"/>
      <c r="AI10" s="53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</row>
    <row r="11" spans="1:110" ht="13.8" x14ac:dyDescent="0.25">
      <c r="A11" s="10">
        <v>1101050</v>
      </c>
      <c r="B11" s="11" t="s">
        <v>30</v>
      </c>
      <c r="C11" s="12" t="s">
        <v>60</v>
      </c>
      <c r="D11" s="11" t="s">
        <v>32</v>
      </c>
      <c r="E11" s="17" t="s">
        <v>57</v>
      </c>
      <c r="F11" s="10" t="s">
        <v>34</v>
      </c>
      <c r="G11" s="55" t="str">
        <f t="shared" si="0"/>
        <v>Obsolete</v>
      </c>
      <c r="H11" s="10"/>
      <c r="I11" s="13"/>
      <c r="J11" s="56"/>
      <c r="K11" s="57"/>
      <c r="M11" s="14"/>
      <c r="N11" s="14"/>
      <c r="O11" s="14"/>
      <c r="P11" s="14"/>
      <c r="Q11" s="14"/>
      <c r="R11" s="14"/>
      <c r="S11" s="14"/>
      <c r="T11" s="70"/>
      <c r="U11" s="76" t="s">
        <v>54</v>
      </c>
      <c r="V11" s="76"/>
      <c r="W11" s="76" t="s">
        <v>54</v>
      </c>
      <c r="X11" s="76"/>
      <c r="Y11" s="77"/>
      <c r="Z11" s="78"/>
      <c r="AA11" s="79" t="s">
        <v>58</v>
      </c>
      <c r="AB11" s="79" t="s">
        <v>37</v>
      </c>
      <c r="AC11" s="79" t="s">
        <v>35</v>
      </c>
      <c r="AD11" s="79"/>
      <c r="AE11" s="79"/>
      <c r="AF11" s="79"/>
      <c r="AG11" s="79"/>
      <c r="AH11" s="79"/>
      <c r="AI11" s="53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</row>
    <row r="12" spans="1:110" ht="13.8" x14ac:dyDescent="0.25">
      <c r="A12" s="10">
        <v>1101051</v>
      </c>
      <c r="B12" s="11" t="s">
        <v>30</v>
      </c>
      <c r="C12" s="12" t="s">
        <v>61</v>
      </c>
      <c r="D12" s="11" t="s">
        <v>43</v>
      </c>
      <c r="E12" s="10" t="s">
        <v>33</v>
      </c>
      <c r="F12" s="10" t="s">
        <v>34</v>
      </c>
      <c r="G12" s="55">
        <f t="shared" si="0"/>
        <v>3.18</v>
      </c>
      <c r="H12" s="10">
        <v>7</v>
      </c>
      <c r="I12" s="13"/>
      <c r="J12" s="56"/>
      <c r="K12" s="57"/>
      <c r="M12" s="14"/>
      <c r="N12" s="14"/>
      <c r="O12" s="14"/>
      <c r="P12" s="14"/>
      <c r="Q12" s="14"/>
      <c r="R12" s="14"/>
      <c r="S12" s="14"/>
      <c r="T12" s="70"/>
      <c r="U12" s="76">
        <v>3.18</v>
      </c>
      <c r="V12" s="76">
        <v>0</v>
      </c>
      <c r="W12" s="76">
        <v>3.18</v>
      </c>
      <c r="X12" s="76"/>
      <c r="Y12" s="77" t="s">
        <v>37</v>
      </c>
      <c r="Z12" s="78"/>
      <c r="AA12" s="79" t="s">
        <v>62</v>
      </c>
      <c r="AB12" s="79" t="s">
        <v>35</v>
      </c>
      <c r="AC12" s="79" t="s">
        <v>37</v>
      </c>
      <c r="AD12" s="79"/>
      <c r="AE12" s="79" t="s">
        <v>39</v>
      </c>
      <c r="AF12" s="79" t="s">
        <v>40</v>
      </c>
      <c r="AG12" s="80" t="s">
        <v>41</v>
      </c>
      <c r="AH12" s="79"/>
      <c r="AI12" s="53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</row>
    <row r="13" spans="1:110" ht="13.8" x14ac:dyDescent="0.25">
      <c r="A13" s="10">
        <v>1101052</v>
      </c>
      <c r="B13" s="11" t="s">
        <v>30</v>
      </c>
      <c r="C13" s="12" t="s">
        <v>63</v>
      </c>
      <c r="D13" s="11" t="s">
        <v>43</v>
      </c>
      <c r="E13" s="10" t="s">
        <v>33</v>
      </c>
      <c r="F13" s="10" t="s">
        <v>34</v>
      </c>
      <c r="G13" s="55" t="str">
        <f t="shared" si="0"/>
        <v>Obsolete</v>
      </c>
      <c r="H13" s="10">
        <v>7</v>
      </c>
      <c r="I13" s="13"/>
      <c r="J13" s="56"/>
      <c r="K13" s="57"/>
      <c r="M13" s="14"/>
      <c r="N13" s="14"/>
      <c r="O13" s="14"/>
      <c r="P13" s="14"/>
      <c r="Q13" s="14"/>
      <c r="R13" s="14"/>
      <c r="S13" s="14"/>
      <c r="T13" s="70"/>
      <c r="U13" s="76" t="s">
        <v>54</v>
      </c>
      <c r="V13" s="76"/>
      <c r="W13" s="76" t="s">
        <v>54</v>
      </c>
      <c r="X13" s="76"/>
      <c r="Y13" s="77"/>
      <c r="Z13" s="78"/>
      <c r="AA13" s="79" t="s">
        <v>64</v>
      </c>
      <c r="AB13" s="79" t="s">
        <v>37</v>
      </c>
      <c r="AC13" s="79" t="s">
        <v>37</v>
      </c>
      <c r="AD13" s="79"/>
      <c r="AE13" s="79" t="s">
        <v>39</v>
      </c>
      <c r="AF13" s="79" t="s">
        <v>40</v>
      </c>
      <c r="AG13" s="80" t="s">
        <v>41</v>
      </c>
      <c r="AH13" s="79"/>
      <c r="AI13" s="53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</row>
    <row r="14" spans="1:110" ht="13.8" x14ac:dyDescent="0.25">
      <c r="A14" s="10">
        <v>1101053</v>
      </c>
      <c r="B14" s="11" t="s">
        <v>30</v>
      </c>
      <c r="C14" s="12" t="s">
        <v>65</v>
      </c>
      <c r="D14" s="11" t="s">
        <v>66</v>
      </c>
      <c r="E14" s="10" t="s">
        <v>1619</v>
      </c>
      <c r="F14" s="10" t="s">
        <v>34</v>
      </c>
      <c r="G14" s="55" t="str">
        <f t="shared" si="0"/>
        <v>Obsolete</v>
      </c>
      <c r="H14" s="10">
        <v>7</v>
      </c>
      <c r="I14" s="13"/>
      <c r="J14" s="56"/>
      <c r="K14" s="57"/>
      <c r="M14" s="14"/>
      <c r="N14" s="14"/>
      <c r="O14" s="14">
        <v>1.41</v>
      </c>
      <c r="P14" s="14"/>
      <c r="Q14" s="14"/>
      <c r="R14" s="14">
        <v>1.31</v>
      </c>
      <c r="S14" s="14"/>
      <c r="T14" s="70">
        <v>1.21</v>
      </c>
      <c r="U14" s="76" t="s">
        <v>54</v>
      </c>
      <c r="V14" s="76"/>
      <c r="W14" s="76" t="s">
        <v>54</v>
      </c>
      <c r="X14" s="76"/>
      <c r="Y14" s="77" t="s">
        <v>35</v>
      </c>
      <c r="Z14" s="78">
        <v>1100</v>
      </c>
      <c r="AA14" s="79" t="s">
        <v>36</v>
      </c>
      <c r="AB14" s="79" t="s">
        <v>37</v>
      </c>
      <c r="AC14" s="79" t="s">
        <v>37</v>
      </c>
      <c r="AD14" s="79" t="s">
        <v>38</v>
      </c>
      <c r="AE14" s="79" t="s">
        <v>67</v>
      </c>
      <c r="AF14" s="79" t="s">
        <v>68</v>
      </c>
      <c r="AG14" s="83" t="s">
        <v>69</v>
      </c>
      <c r="AH14" s="79"/>
      <c r="AI14" s="53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</row>
    <row r="15" spans="1:110" ht="13.8" x14ac:dyDescent="0.25">
      <c r="A15" s="10">
        <v>1101054</v>
      </c>
      <c r="B15" s="11" t="s">
        <v>30</v>
      </c>
      <c r="C15" s="12" t="s">
        <v>70</v>
      </c>
      <c r="D15" s="11" t="s">
        <v>32</v>
      </c>
      <c r="E15" s="10" t="s">
        <v>71</v>
      </c>
      <c r="F15" s="10" t="s">
        <v>34</v>
      </c>
      <c r="G15" s="55">
        <v>0</v>
      </c>
      <c r="H15" s="10">
        <v>6</v>
      </c>
      <c r="I15" s="13"/>
      <c r="J15" s="56"/>
      <c r="K15" s="57"/>
      <c r="M15" s="14"/>
      <c r="N15" s="14"/>
      <c r="O15" s="14"/>
      <c r="P15" s="14"/>
      <c r="Q15" s="14"/>
      <c r="R15" s="14"/>
      <c r="S15" s="14"/>
      <c r="T15" s="70"/>
      <c r="U15" s="76">
        <v>0</v>
      </c>
      <c r="V15" s="76"/>
      <c r="W15" s="76">
        <v>0</v>
      </c>
      <c r="X15" s="76"/>
      <c r="Y15" s="77"/>
      <c r="Z15" s="78"/>
      <c r="AA15" s="79" t="s">
        <v>58</v>
      </c>
      <c r="AB15" s="79" t="s">
        <v>35</v>
      </c>
      <c r="AC15" s="79" t="s">
        <v>35</v>
      </c>
      <c r="AD15" s="79"/>
      <c r="AE15" s="79"/>
      <c r="AF15" s="79"/>
      <c r="AG15" s="83"/>
      <c r="AH15" s="79"/>
      <c r="AI15" s="53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</row>
    <row r="16" spans="1:110" ht="13.8" x14ac:dyDescent="0.25">
      <c r="A16" s="10">
        <v>1101055</v>
      </c>
      <c r="B16" s="11" t="s">
        <v>30</v>
      </c>
      <c r="C16" s="12" t="s">
        <v>72</v>
      </c>
      <c r="D16" s="11" t="s">
        <v>66</v>
      </c>
      <c r="E16" s="10" t="s">
        <v>73</v>
      </c>
      <c r="F16" s="10" t="s">
        <v>34</v>
      </c>
      <c r="G16" s="55" t="str">
        <f>IF(U16="Obsolete",U16,U16+V16)</f>
        <v>Obsolete</v>
      </c>
      <c r="H16" s="10"/>
      <c r="I16" s="13"/>
      <c r="J16" s="56"/>
      <c r="K16" s="57"/>
      <c r="M16" s="14"/>
      <c r="N16" s="14"/>
      <c r="O16" s="14"/>
      <c r="P16" s="14"/>
      <c r="Q16" s="14"/>
      <c r="R16" s="14"/>
      <c r="S16" s="14"/>
      <c r="T16" s="70"/>
      <c r="U16" s="76" t="s">
        <v>54</v>
      </c>
      <c r="V16" s="76"/>
      <c r="W16" s="76" t="s">
        <v>54</v>
      </c>
      <c r="X16" s="76"/>
      <c r="Y16" s="84"/>
      <c r="Z16" s="78"/>
      <c r="AA16" s="79" t="s">
        <v>74</v>
      </c>
      <c r="AB16" s="79" t="s">
        <v>37</v>
      </c>
      <c r="AC16" s="79" t="s">
        <v>37</v>
      </c>
      <c r="AD16" s="79"/>
      <c r="AE16" s="79"/>
      <c r="AF16" s="79"/>
      <c r="AG16" s="79"/>
      <c r="AH16" s="79"/>
      <c r="AI16" s="53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</row>
    <row r="17" spans="1:110" ht="13.8" x14ac:dyDescent="0.25">
      <c r="A17" s="10">
        <v>1101056</v>
      </c>
      <c r="B17" s="11" t="s">
        <v>30</v>
      </c>
      <c r="C17" s="12" t="s">
        <v>75</v>
      </c>
      <c r="D17" s="11" t="s">
        <v>66</v>
      </c>
      <c r="E17" s="10" t="s">
        <v>74</v>
      </c>
      <c r="F17" s="10" t="s">
        <v>34</v>
      </c>
      <c r="G17" s="55" t="str">
        <f>IF(U17="Obsolete",U17,U17+V17)</f>
        <v>Obsolete</v>
      </c>
      <c r="H17" s="10"/>
      <c r="I17" s="13"/>
      <c r="J17" s="56"/>
      <c r="K17" s="57"/>
      <c r="M17" s="14"/>
      <c r="N17" s="14"/>
      <c r="O17" s="14"/>
      <c r="P17" s="14"/>
      <c r="Q17" s="14"/>
      <c r="R17" s="14"/>
      <c r="S17" s="14"/>
      <c r="T17" s="70"/>
      <c r="U17" s="76" t="s">
        <v>54</v>
      </c>
      <c r="V17" s="76"/>
      <c r="W17" s="76" t="s">
        <v>54</v>
      </c>
      <c r="X17" s="76"/>
      <c r="Y17" s="84"/>
      <c r="Z17" s="78"/>
      <c r="AA17" s="79" t="s">
        <v>74</v>
      </c>
      <c r="AB17" s="79" t="s">
        <v>37</v>
      </c>
      <c r="AC17" s="79" t="s">
        <v>37</v>
      </c>
      <c r="AD17" s="79"/>
      <c r="AE17" s="79"/>
      <c r="AF17" s="79"/>
      <c r="AG17" s="79"/>
      <c r="AH17" s="79"/>
      <c r="AI17" s="53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</row>
    <row r="18" spans="1:110" ht="13.8" x14ac:dyDescent="0.25">
      <c r="A18" s="10">
        <v>1101057</v>
      </c>
      <c r="B18" s="11" t="s">
        <v>30</v>
      </c>
      <c r="C18" s="12" t="s">
        <v>76</v>
      </c>
      <c r="D18" s="11" t="s">
        <v>77</v>
      </c>
      <c r="E18" s="10" t="s">
        <v>78</v>
      </c>
      <c r="F18" s="10" t="s">
        <v>34</v>
      </c>
      <c r="G18" s="55" t="str">
        <f>IF(U18="Obsolete",U18,U18+V18)</f>
        <v>Obsolete</v>
      </c>
      <c r="H18" s="10"/>
      <c r="I18" s="13"/>
      <c r="J18" s="56"/>
      <c r="K18" s="57"/>
      <c r="M18" s="14"/>
      <c r="N18" s="14"/>
      <c r="O18" s="14"/>
      <c r="P18" s="14"/>
      <c r="Q18" s="14"/>
      <c r="R18" s="14"/>
      <c r="S18" s="14"/>
      <c r="T18" s="70"/>
      <c r="U18" s="76" t="s">
        <v>54</v>
      </c>
      <c r="V18" s="76"/>
      <c r="W18" s="76" t="s">
        <v>54</v>
      </c>
      <c r="X18" s="76"/>
      <c r="Y18" s="84"/>
      <c r="Z18" s="78"/>
      <c r="AA18" s="79" t="s">
        <v>74</v>
      </c>
      <c r="AB18" s="79" t="s">
        <v>37</v>
      </c>
      <c r="AC18" s="79" t="s">
        <v>37</v>
      </c>
      <c r="AD18" s="79"/>
      <c r="AE18" s="79"/>
      <c r="AF18" s="79"/>
      <c r="AG18" s="79"/>
      <c r="AH18" s="79"/>
      <c r="AI18" s="53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</row>
    <row r="19" spans="1:110" ht="13.8" x14ac:dyDescent="0.25">
      <c r="A19" s="10">
        <v>1101058</v>
      </c>
      <c r="B19" s="11" t="s">
        <v>30</v>
      </c>
      <c r="C19" s="52" t="s">
        <v>79</v>
      </c>
      <c r="D19" s="11" t="s">
        <v>80</v>
      </c>
      <c r="E19" s="10" t="s">
        <v>81</v>
      </c>
      <c r="F19" s="10" t="s">
        <v>34</v>
      </c>
      <c r="G19" s="55" t="str">
        <f>IF(U19="Obsolete",U19,U19+V19)</f>
        <v>Obsolete</v>
      </c>
      <c r="H19" s="10"/>
      <c r="I19" s="13"/>
      <c r="J19" s="56"/>
      <c r="K19" s="57"/>
      <c r="M19" s="14"/>
      <c r="N19" s="14"/>
      <c r="O19" s="14"/>
      <c r="P19" s="14"/>
      <c r="Q19" s="14"/>
      <c r="R19" s="14"/>
      <c r="S19" s="14"/>
      <c r="T19" s="70"/>
      <c r="U19" s="76" t="s">
        <v>54</v>
      </c>
      <c r="V19" s="76"/>
      <c r="W19" s="76" t="s">
        <v>54</v>
      </c>
      <c r="X19" s="76"/>
      <c r="Y19" s="84"/>
      <c r="Z19" s="78"/>
      <c r="AA19" s="79" t="s">
        <v>74</v>
      </c>
      <c r="AB19" s="79" t="s">
        <v>37</v>
      </c>
      <c r="AC19" s="79" t="s">
        <v>37</v>
      </c>
      <c r="AD19" s="79"/>
      <c r="AE19" s="79"/>
      <c r="AF19" s="79"/>
      <c r="AG19" s="79"/>
      <c r="AH19" s="79"/>
      <c r="AI19" s="53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</row>
    <row r="20" spans="1:110" ht="13.8" x14ac:dyDescent="0.25">
      <c r="A20" s="10">
        <v>1101059</v>
      </c>
      <c r="B20" s="11" t="s">
        <v>30</v>
      </c>
      <c r="C20" s="12" t="s">
        <v>82</v>
      </c>
      <c r="D20" s="11" t="s">
        <v>32</v>
      </c>
      <c r="E20" s="10" t="s">
        <v>71</v>
      </c>
      <c r="F20" s="10" t="s">
        <v>34</v>
      </c>
      <c r="G20" s="55">
        <v>0</v>
      </c>
      <c r="H20" s="10">
        <v>6</v>
      </c>
      <c r="I20" s="13"/>
      <c r="J20" s="56"/>
      <c r="K20" s="57"/>
      <c r="M20" s="14"/>
      <c r="N20" s="14"/>
      <c r="O20" s="14"/>
      <c r="P20" s="14"/>
      <c r="Q20" s="14"/>
      <c r="R20" s="14"/>
      <c r="S20" s="14"/>
      <c r="T20" s="70"/>
      <c r="U20" s="76">
        <v>0</v>
      </c>
      <c r="V20" s="76"/>
      <c r="W20" s="76">
        <v>0</v>
      </c>
      <c r="X20" s="76"/>
      <c r="Y20" s="84"/>
      <c r="Z20" s="78"/>
      <c r="AA20" s="79" t="s">
        <v>58</v>
      </c>
      <c r="AB20" s="79" t="s">
        <v>35</v>
      </c>
      <c r="AC20" s="79" t="s">
        <v>35</v>
      </c>
      <c r="AD20" s="79"/>
      <c r="AE20" s="79"/>
      <c r="AF20" s="79"/>
      <c r="AG20" s="79"/>
      <c r="AH20" s="79"/>
      <c r="AI20" s="53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</row>
    <row r="21" spans="1:110" ht="13.8" x14ac:dyDescent="0.25">
      <c r="A21" s="10">
        <v>1101060</v>
      </c>
      <c r="B21" s="11" t="s">
        <v>30</v>
      </c>
      <c r="C21" s="12" t="s">
        <v>83</v>
      </c>
      <c r="D21" s="11" t="s">
        <v>84</v>
      </c>
      <c r="E21" s="10" t="s">
        <v>47</v>
      </c>
      <c r="F21" s="10" t="s">
        <v>34</v>
      </c>
      <c r="G21" s="55">
        <f t="shared" ref="G21:G66" si="1">IF(U21="Obsolete",U21,U21+V21)</f>
        <v>2.4700000000000002</v>
      </c>
      <c r="H21" s="10">
        <v>10</v>
      </c>
      <c r="I21" s="13">
        <v>6400</v>
      </c>
      <c r="J21" s="56"/>
      <c r="K21" s="57"/>
      <c r="M21" s="14"/>
      <c r="N21" s="14"/>
      <c r="O21" s="14"/>
      <c r="P21" s="14"/>
      <c r="Q21" s="14"/>
      <c r="R21" s="14"/>
      <c r="S21" s="14">
        <v>2.4700000000000002</v>
      </c>
      <c r="T21" s="70"/>
      <c r="U21" s="76">
        <v>2.4700000000000002</v>
      </c>
      <c r="V21" s="76">
        <v>0</v>
      </c>
      <c r="W21" s="76">
        <v>2.4700000000000002</v>
      </c>
      <c r="X21" s="76">
        <v>0</v>
      </c>
      <c r="Y21" s="77" t="s">
        <v>35</v>
      </c>
      <c r="Z21" s="78">
        <v>1600</v>
      </c>
      <c r="AA21" s="79" t="s">
        <v>36</v>
      </c>
      <c r="AB21" s="79" t="s">
        <v>35</v>
      </c>
      <c r="AC21" s="79" t="s">
        <v>37</v>
      </c>
      <c r="AD21" s="79" t="s">
        <v>38</v>
      </c>
      <c r="AE21" s="79" t="s">
        <v>1547</v>
      </c>
      <c r="AF21" s="79" t="s">
        <v>1548</v>
      </c>
      <c r="AG21" s="81" t="s">
        <v>1549</v>
      </c>
      <c r="AH21" s="79"/>
      <c r="AI21" s="53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</row>
    <row r="22" spans="1:110" ht="13.8" x14ac:dyDescent="0.25">
      <c r="A22" s="10">
        <v>1101061</v>
      </c>
      <c r="B22" s="11" t="s">
        <v>30</v>
      </c>
      <c r="C22" s="12" t="s">
        <v>85</v>
      </c>
      <c r="D22" s="11" t="s">
        <v>86</v>
      </c>
      <c r="E22" s="10" t="s">
        <v>33</v>
      </c>
      <c r="F22" s="10" t="s">
        <v>87</v>
      </c>
      <c r="G22" s="55" t="str">
        <f t="shared" si="1"/>
        <v>Obsolete</v>
      </c>
      <c r="H22" s="10">
        <v>6</v>
      </c>
      <c r="I22" s="13" t="s">
        <v>88</v>
      </c>
      <c r="J22" s="56"/>
      <c r="K22" s="57"/>
      <c r="M22" s="14"/>
      <c r="N22" s="14"/>
      <c r="O22" s="14">
        <v>9.67</v>
      </c>
      <c r="P22" s="14"/>
      <c r="Q22" s="14"/>
      <c r="R22" s="14"/>
      <c r="S22" s="14"/>
      <c r="T22" s="70"/>
      <c r="U22" s="76" t="s">
        <v>54</v>
      </c>
      <c r="V22" s="76"/>
      <c r="W22" s="76" t="s">
        <v>54</v>
      </c>
      <c r="X22" s="76"/>
      <c r="Y22" s="77"/>
      <c r="Z22" s="78"/>
      <c r="AA22" s="79" t="s">
        <v>89</v>
      </c>
      <c r="AB22" s="79" t="s">
        <v>37</v>
      </c>
      <c r="AC22" s="79" t="s">
        <v>37</v>
      </c>
      <c r="AD22" s="79"/>
      <c r="AE22" s="79" t="s">
        <v>39</v>
      </c>
      <c r="AF22" s="79" t="s">
        <v>40</v>
      </c>
      <c r="AG22" s="80" t="s">
        <v>41</v>
      </c>
      <c r="AH22" s="79"/>
      <c r="AI22" s="53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</row>
    <row r="23" spans="1:110" ht="13.8" x14ac:dyDescent="0.25">
      <c r="A23" s="10">
        <v>1101062</v>
      </c>
      <c r="B23" s="11" t="s">
        <v>30</v>
      </c>
      <c r="C23" s="12" t="s">
        <v>90</v>
      </c>
      <c r="D23" s="11" t="s">
        <v>86</v>
      </c>
      <c r="E23" s="10" t="s">
        <v>33</v>
      </c>
      <c r="F23" s="10" t="s">
        <v>34</v>
      </c>
      <c r="G23" s="55" t="str">
        <f t="shared" si="1"/>
        <v>Obsolete</v>
      </c>
      <c r="H23" s="10">
        <v>6</v>
      </c>
      <c r="I23" s="13" t="s">
        <v>88</v>
      </c>
      <c r="J23" s="56"/>
      <c r="K23" s="57"/>
      <c r="M23" s="14"/>
      <c r="N23" s="14"/>
      <c r="O23" s="14">
        <v>8.61</v>
      </c>
      <c r="P23" s="14"/>
      <c r="Q23" s="14"/>
      <c r="R23" s="14"/>
      <c r="S23" s="14"/>
      <c r="T23" s="70"/>
      <c r="U23" s="76" t="s">
        <v>54</v>
      </c>
      <c r="V23" s="76"/>
      <c r="W23" s="76" t="s">
        <v>54</v>
      </c>
      <c r="X23" s="76"/>
      <c r="Y23" s="77"/>
      <c r="Z23" s="78"/>
      <c r="AA23" s="79" t="s">
        <v>89</v>
      </c>
      <c r="AB23" s="79" t="s">
        <v>37</v>
      </c>
      <c r="AC23" s="79" t="s">
        <v>37</v>
      </c>
      <c r="AD23" s="79"/>
      <c r="AE23" s="79" t="s">
        <v>39</v>
      </c>
      <c r="AF23" s="79" t="s">
        <v>40</v>
      </c>
      <c r="AG23" s="80" t="s">
        <v>41</v>
      </c>
      <c r="AH23" s="79"/>
      <c r="AI23" s="53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</row>
    <row r="24" spans="1:110" ht="13.8" x14ac:dyDescent="0.25">
      <c r="A24" s="10">
        <v>1101063</v>
      </c>
      <c r="B24" s="11" t="s">
        <v>30</v>
      </c>
      <c r="C24" s="12" t="s">
        <v>91</v>
      </c>
      <c r="D24" s="11" t="s">
        <v>86</v>
      </c>
      <c r="E24" s="10" t="s">
        <v>33</v>
      </c>
      <c r="F24" s="10" t="s">
        <v>34</v>
      </c>
      <c r="G24" s="55" t="str">
        <f t="shared" si="1"/>
        <v>Obsolete</v>
      </c>
      <c r="H24" s="10">
        <v>6</v>
      </c>
      <c r="I24" s="13" t="s">
        <v>92</v>
      </c>
      <c r="J24" s="56"/>
      <c r="K24" s="57"/>
      <c r="M24" s="14"/>
      <c r="N24" s="14"/>
      <c r="O24" s="14">
        <v>8.61</v>
      </c>
      <c r="P24" s="14"/>
      <c r="Q24" s="14"/>
      <c r="R24" s="14"/>
      <c r="S24" s="14"/>
      <c r="T24" s="70"/>
      <c r="U24" s="76" t="s">
        <v>54</v>
      </c>
      <c r="V24" s="76"/>
      <c r="W24" s="76" t="s">
        <v>54</v>
      </c>
      <c r="X24" s="76"/>
      <c r="Y24" s="77"/>
      <c r="Z24" s="78"/>
      <c r="AA24" s="79" t="s">
        <v>89</v>
      </c>
      <c r="AB24" s="79" t="s">
        <v>37</v>
      </c>
      <c r="AC24" s="79" t="s">
        <v>37</v>
      </c>
      <c r="AD24" s="79"/>
      <c r="AE24" s="79" t="s">
        <v>39</v>
      </c>
      <c r="AF24" s="79" t="s">
        <v>40</v>
      </c>
      <c r="AG24" s="80" t="s">
        <v>41</v>
      </c>
      <c r="AH24" s="79"/>
      <c r="AI24" s="53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</row>
    <row r="25" spans="1:110" ht="13.8" x14ac:dyDescent="0.25">
      <c r="A25" s="10">
        <v>1101064</v>
      </c>
      <c r="B25" s="11" t="s">
        <v>30</v>
      </c>
      <c r="C25" s="12" t="s">
        <v>93</v>
      </c>
      <c r="D25" s="11" t="s">
        <v>32</v>
      </c>
      <c r="E25" s="10" t="s">
        <v>71</v>
      </c>
      <c r="F25" s="10" t="s">
        <v>34</v>
      </c>
      <c r="G25" s="55">
        <f t="shared" si="1"/>
        <v>0</v>
      </c>
      <c r="H25" s="10">
        <v>6</v>
      </c>
      <c r="I25" s="13"/>
      <c r="J25" s="56"/>
      <c r="K25" s="57"/>
      <c r="M25" s="14"/>
      <c r="N25" s="14"/>
      <c r="O25" s="14"/>
      <c r="P25" s="14"/>
      <c r="Q25" s="14"/>
      <c r="R25" s="14"/>
      <c r="S25" s="14"/>
      <c r="T25" s="70"/>
      <c r="U25" s="76">
        <v>0</v>
      </c>
      <c r="V25" s="76"/>
      <c r="W25" s="76">
        <v>0</v>
      </c>
      <c r="X25" s="76"/>
      <c r="Y25" s="77"/>
      <c r="Z25" s="78"/>
      <c r="AA25" s="79" t="s">
        <v>58</v>
      </c>
      <c r="AB25" s="79" t="s">
        <v>35</v>
      </c>
      <c r="AC25" s="79" t="s">
        <v>35</v>
      </c>
      <c r="AD25" s="79"/>
      <c r="AE25" s="79"/>
      <c r="AF25" s="79"/>
      <c r="AG25" s="79"/>
      <c r="AH25" s="79"/>
      <c r="AI25" s="53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</row>
    <row r="26" spans="1:110" ht="13.8" x14ac:dyDescent="0.25">
      <c r="A26" s="10">
        <v>1101065</v>
      </c>
      <c r="B26" s="11" t="s">
        <v>30</v>
      </c>
      <c r="C26" s="20" t="s">
        <v>94</v>
      </c>
      <c r="D26" s="11" t="s">
        <v>32</v>
      </c>
      <c r="E26" s="10" t="s">
        <v>71</v>
      </c>
      <c r="F26" s="10" t="s">
        <v>34</v>
      </c>
      <c r="G26" s="55">
        <f t="shared" si="1"/>
        <v>0</v>
      </c>
      <c r="H26" s="10">
        <v>6</v>
      </c>
      <c r="I26" s="13"/>
      <c r="J26" s="56"/>
      <c r="K26" s="57"/>
      <c r="M26" s="14"/>
      <c r="N26" s="14"/>
      <c r="O26" s="14"/>
      <c r="P26" s="14"/>
      <c r="Q26" s="14"/>
      <c r="R26" s="14"/>
      <c r="S26" s="14"/>
      <c r="T26" s="70"/>
      <c r="U26" s="76">
        <v>0</v>
      </c>
      <c r="V26" s="76"/>
      <c r="W26" s="76">
        <v>0</v>
      </c>
      <c r="X26" s="76"/>
      <c r="Y26" s="77"/>
      <c r="Z26" s="78"/>
      <c r="AA26" s="79" t="s">
        <v>58</v>
      </c>
      <c r="AB26" s="79" t="s">
        <v>35</v>
      </c>
      <c r="AC26" s="79" t="s">
        <v>35</v>
      </c>
      <c r="AD26" s="79"/>
      <c r="AE26" s="79"/>
      <c r="AF26" s="79"/>
      <c r="AG26" s="79"/>
      <c r="AH26" s="79"/>
      <c r="AI26" s="53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</row>
    <row r="27" spans="1:110" ht="13.8" x14ac:dyDescent="0.25">
      <c r="A27" s="10">
        <v>1101066</v>
      </c>
      <c r="B27" s="11" t="s">
        <v>30</v>
      </c>
      <c r="C27" s="20" t="s">
        <v>95</v>
      </c>
      <c r="D27" s="11" t="s">
        <v>32</v>
      </c>
      <c r="E27" s="10" t="s">
        <v>71</v>
      </c>
      <c r="F27" s="10" t="s">
        <v>34</v>
      </c>
      <c r="G27" s="55">
        <f t="shared" si="1"/>
        <v>0</v>
      </c>
      <c r="H27" s="10">
        <v>6</v>
      </c>
      <c r="I27" s="13"/>
      <c r="J27" s="56"/>
      <c r="K27" s="57"/>
      <c r="M27" s="14"/>
      <c r="N27" s="14"/>
      <c r="O27" s="14"/>
      <c r="P27" s="14"/>
      <c r="Q27" s="14"/>
      <c r="R27" s="14"/>
      <c r="S27" s="14"/>
      <c r="T27" s="70"/>
      <c r="U27" s="76">
        <v>0</v>
      </c>
      <c r="V27" s="76"/>
      <c r="W27" s="76">
        <v>0</v>
      </c>
      <c r="X27" s="76"/>
      <c r="Y27" s="77"/>
      <c r="Z27" s="78"/>
      <c r="AA27" s="79" t="s">
        <v>58</v>
      </c>
      <c r="AB27" s="79" t="s">
        <v>35</v>
      </c>
      <c r="AC27" s="79" t="s">
        <v>35</v>
      </c>
      <c r="AD27" s="79"/>
      <c r="AE27" s="79"/>
      <c r="AF27" s="79"/>
      <c r="AG27" s="79"/>
      <c r="AH27" s="79"/>
      <c r="AI27" s="53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</row>
    <row r="28" spans="1:110" ht="13.8" x14ac:dyDescent="0.25">
      <c r="A28" s="10">
        <v>1101067</v>
      </c>
      <c r="B28" s="11" t="s">
        <v>30</v>
      </c>
      <c r="C28" s="20" t="s">
        <v>96</v>
      </c>
      <c r="D28" s="11" t="s">
        <v>32</v>
      </c>
      <c r="E28" s="10" t="s">
        <v>71</v>
      </c>
      <c r="F28" s="10" t="s">
        <v>34</v>
      </c>
      <c r="G28" s="55">
        <f t="shared" si="1"/>
        <v>0</v>
      </c>
      <c r="H28" s="10">
        <v>6</v>
      </c>
      <c r="I28" s="13"/>
      <c r="J28" s="56"/>
      <c r="K28" s="57"/>
      <c r="M28" s="14"/>
      <c r="N28" s="14"/>
      <c r="O28" s="14"/>
      <c r="P28" s="14"/>
      <c r="Q28" s="14"/>
      <c r="R28" s="14"/>
      <c r="S28" s="14"/>
      <c r="T28" s="70"/>
      <c r="U28" s="76">
        <v>0</v>
      </c>
      <c r="V28" s="76"/>
      <c r="W28" s="76">
        <v>0</v>
      </c>
      <c r="X28" s="76"/>
      <c r="Y28" s="77"/>
      <c r="Z28" s="78"/>
      <c r="AA28" s="79" t="s">
        <v>58</v>
      </c>
      <c r="AB28" s="79" t="s">
        <v>35</v>
      </c>
      <c r="AC28" s="79" t="s">
        <v>35</v>
      </c>
      <c r="AD28" s="79"/>
      <c r="AE28" s="79"/>
      <c r="AF28" s="79"/>
      <c r="AG28" s="79"/>
      <c r="AH28" s="79"/>
      <c r="AI28" s="53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</row>
    <row r="29" spans="1:110" ht="13.8" x14ac:dyDescent="0.25">
      <c r="A29" s="10">
        <v>1101068</v>
      </c>
      <c r="B29" s="11" t="s">
        <v>30</v>
      </c>
      <c r="C29" s="20" t="s">
        <v>97</v>
      </c>
      <c r="D29" s="11" t="s">
        <v>32</v>
      </c>
      <c r="E29" s="10" t="s">
        <v>71</v>
      </c>
      <c r="F29" s="10" t="s">
        <v>34</v>
      </c>
      <c r="G29" s="55">
        <f t="shared" si="1"/>
        <v>0</v>
      </c>
      <c r="H29" s="10">
        <v>6</v>
      </c>
      <c r="I29" s="13"/>
      <c r="J29" s="56"/>
      <c r="K29" s="57"/>
      <c r="M29" s="14"/>
      <c r="N29" s="14"/>
      <c r="O29" s="14"/>
      <c r="P29" s="14"/>
      <c r="Q29" s="14"/>
      <c r="R29" s="14"/>
      <c r="S29" s="14"/>
      <c r="T29" s="70"/>
      <c r="U29" s="76">
        <v>0</v>
      </c>
      <c r="V29" s="76"/>
      <c r="W29" s="76">
        <v>0</v>
      </c>
      <c r="X29" s="76"/>
      <c r="Y29" s="77"/>
      <c r="Z29" s="78"/>
      <c r="AA29" s="79" t="s">
        <v>58</v>
      </c>
      <c r="AB29" s="79" t="s">
        <v>35</v>
      </c>
      <c r="AC29" s="79" t="s">
        <v>35</v>
      </c>
      <c r="AD29" s="79"/>
      <c r="AE29" s="79"/>
      <c r="AF29" s="79"/>
      <c r="AG29" s="79"/>
      <c r="AH29" s="79"/>
      <c r="AI29" s="53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</row>
    <row r="30" spans="1:110" ht="13.8" x14ac:dyDescent="0.25">
      <c r="A30" s="10">
        <v>1101069</v>
      </c>
      <c r="B30" s="11" t="s">
        <v>30</v>
      </c>
      <c r="C30" s="20" t="s">
        <v>98</v>
      </c>
      <c r="D30" s="11" t="s">
        <v>32</v>
      </c>
      <c r="E30" s="10" t="s">
        <v>33</v>
      </c>
      <c r="F30" s="10" t="s">
        <v>34</v>
      </c>
      <c r="G30" s="55">
        <f t="shared" si="1"/>
        <v>17.82</v>
      </c>
      <c r="H30" s="10">
        <v>6</v>
      </c>
      <c r="I30" s="13">
        <v>55</v>
      </c>
      <c r="J30" s="56"/>
      <c r="K30" s="57"/>
      <c r="M30" s="14">
        <v>17.82</v>
      </c>
      <c r="N30" s="14"/>
      <c r="O30" s="14"/>
      <c r="P30" s="14"/>
      <c r="Q30" s="14"/>
      <c r="R30" s="14"/>
      <c r="S30" s="14"/>
      <c r="T30" s="70"/>
      <c r="U30" s="76">
        <v>17.82</v>
      </c>
      <c r="V30" s="76">
        <v>0</v>
      </c>
      <c r="W30" s="76">
        <v>17.82</v>
      </c>
      <c r="X30" s="76">
        <v>0</v>
      </c>
      <c r="Y30" s="77" t="s">
        <v>37</v>
      </c>
      <c r="Z30" s="78">
        <v>55</v>
      </c>
      <c r="AA30" s="79" t="s">
        <v>58</v>
      </c>
      <c r="AB30" s="79" t="s">
        <v>35</v>
      </c>
      <c r="AC30" s="79" t="s">
        <v>35</v>
      </c>
      <c r="AD30" s="79"/>
      <c r="AE30" s="79" t="s">
        <v>39</v>
      </c>
      <c r="AF30" s="79" t="s">
        <v>40</v>
      </c>
      <c r="AG30" s="80" t="s">
        <v>41</v>
      </c>
      <c r="AH30" s="79"/>
      <c r="AI30" s="53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</row>
    <row r="31" spans="1:110" ht="13.8" x14ac:dyDescent="0.25">
      <c r="A31" s="10">
        <v>1101070</v>
      </c>
      <c r="B31" s="11" t="s">
        <v>30</v>
      </c>
      <c r="C31" s="20" t="s">
        <v>99</v>
      </c>
      <c r="D31" s="11" t="s">
        <v>32</v>
      </c>
      <c r="E31" s="10" t="s">
        <v>33</v>
      </c>
      <c r="F31" s="10" t="s">
        <v>34</v>
      </c>
      <c r="G31" s="55" t="str">
        <f t="shared" si="1"/>
        <v>Obsolete</v>
      </c>
      <c r="H31" s="10"/>
      <c r="I31" s="13"/>
      <c r="J31" s="56"/>
      <c r="K31" s="57"/>
      <c r="M31" s="14"/>
      <c r="N31" s="14"/>
      <c r="O31" s="14"/>
      <c r="P31" s="14"/>
      <c r="Q31" s="14"/>
      <c r="R31" s="14"/>
      <c r="S31" s="14"/>
      <c r="T31" s="70"/>
      <c r="U31" s="76" t="s">
        <v>54</v>
      </c>
      <c r="V31" s="76"/>
      <c r="W31" s="76" t="s">
        <v>54</v>
      </c>
      <c r="X31" s="76"/>
      <c r="Y31" s="77"/>
      <c r="Z31" s="78"/>
      <c r="AA31" s="79"/>
      <c r="AB31" s="79" t="s">
        <v>37</v>
      </c>
      <c r="AC31" s="79"/>
      <c r="AD31" s="79"/>
      <c r="AE31" s="79" t="s">
        <v>39</v>
      </c>
      <c r="AF31" s="79" t="s">
        <v>40</v>
      </c>
      <c r="AG31" s="80" t="s">
        <v>41</v>
      </c>
      <c r="AH31" s="79"/>
      <c r="AI31" s="53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</row>
    <row r="32" spans="1:110" ht="13.8" x14ac:dyDescent="0.25">
      <c r="A32" s="10">
        <v>1101071</v>
      </c>
      <c r="B32" s="11" t="s">
        <v>30</v>
      </c>
      <c r="C32" s="20" t="s">
        <v>100</v>
      </c>
      <c r="D32" s="11" t="s">
        <v>32</v>
      </c>
      <c r="E32" s="10" t="s">
        <v>101</v>
      </c>
      <c r="F32" s="10" t="s">
        <v>34</v>
      </c>
      <c r="G32" s="55">
        <f t="shared" si="1"/>
        <v>17.5</v>
      </c>
      <c r="H32" s="10">
        <v>4</v>
      </c>
      <c r="I32" s="13">
        <v>110</v>
      </c>
      <c r="J32" s="56"/>
      <c r="K32" s="57"/>
      <c r="M32" s="14">
        <v>17.5</v>
      </c>
      <c r="N32" s="14"/>
      <c r="O32" s="14"/>
      <c r="P32" s="14"/>
      <c r="Q32" s="14"/>
      <c r="R32" s="14"/>
      <c r="S32" s="14"/>
      <c r="T32" s="70"/>
      <c r="U32" s="76">
        <v>17.5</v>
      </c>
      <c r="V32" s="76">
        <v>0</v>
      </c>
      <c r="W32" s="76">
        <v>17.5</v>
      </c>
      <c r="X32" s="76">
        <v>0</v>
      </c>
      <c r="Y32" s="77" t="s">
        <v>37</v>
      </c>
      <c r="Z32" s="78">
        <v>55</v>
      </c>
      <c r="AA32" s="79" t="s">
        <v>102</v>
      </c>
      <c r="AB32" s="79" t="s">
        <v>35</v>
      </c>
      <c r="AC32" s="79"/>
      <c r="AD32" s="79"/>
      <c r="AE32" s="79" t="s">
        <v>103</v>
      </c>
      <c r="AF32" s="79" t="s">
        <v>104</v>
      </c>
      <c r="AG32" s="83" t="s">
        <v>105</v>
      </c>
      <c r="AH32" s="79"/>
      <c r="AI32" s="53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</row>
    <row r="33" spans="1:110" ht="13.8" x14ac:dyDescent="0.25">
      <c r="A33" s="10">
        <v>1101072</v>
      </c>
      <c r="B33" s="11" t="s">
        <v>30</v>
      </c>
      <c r="C33" s="20" t="s">
        <v>106</v>
      </c>
      <c r="D33" s="11" t="s">
        <v>32</v>
      </c>
      <c r="E33" s="10" t="s">
        <v>33</v>
      </c>
      <c r="F33" s="10" t="s">
        <v>34</v>
      </c>
      <c r="G33" s="55">
        <f t="shared" si="1"/>
        <v>0</v>
      </c>
      <c r="H33" s="10">
        <v>6</v>
      </c>
      <c r="I33" s="13">
        <v>55</v>
      </c>
      <c r="J33" s="56"/>
      <c r="K33" s="57"/>
      <c r="M33" s="14">
        <v>18.78</v>
      </c>
      <c r="N33" s="14">
        <v>5.0599999999999996</v>
      </c>
      <c r="O33" s="14">
        <v>3.7</v>
      </c>
      <c r="P33" s="14"/>
      <c r="Q33" s="14"/>
      <c r="R33" s="14">
        <v>2.64</v>
      </c>
      <c r="S33" s="14"/>
      <c r="T33" s="70">
        <v>2.48</v>
      </c>
      <c r="U33" s="76"/>
      <c r="V33" s="76">
        <v>0</v>
      </c>
      <c r="W33" s="76"/>
      <c r="X33" s="76">
        <v>0</v>
      </c>
      <c r="Y33" s="77" t="s">
        <v>37</v>
      </c>
      <c r="Z33" s="78">
        <v>55</v>
      </c>
      <c r="AA33" s="79" t="s">
        <v>58</v>
      </c>
      <c r="AB33" s="79" t="s">
        <v>35</v>
      </c>
      <c r="AC33" s="79" t="s">
        <v>35</v>
      </c>
      <c r="AD33" s="79"/>
      <c r="AE33" s="79" t="s">
        <v>39</v>
      </c>
      <c r="AF33" s="79" t="s">
        <v>40</v>
      </c>
      <c r="AG33" s="80" t="s">
        <v>41</v>
      </c>
      <c r="AH33" s="79"/>
      <c r="AI33" s="53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</row>
    <row r="34" spans="1:110" ht="13.8" x14ac:dyDescent="0.25">
      <c r="A34" s="10">
        <v>1101073</v>
      </c>
      <c r="B34" s="11" t="s">
        <v>30</v>
      </c>
      <c r="C34" s="20" t="s">
        <v>107</v>
      </c>
      <c r="D34" s="11" t="s">
        <v>32</v>
      </c>
      <c r="E34" s="10" t="s">
        <v>33</v>
      </c>
      <c r="F34" s="10" t="s">
        <v>34</v>
      </c>
      <c r="G34" s="55">
        <f t="shared" si="1"/>
        <v>0</v>
      </c>
      <c r="H34" s="10">
        <v>6</v>
      </c>
      <c r="I34" s="13"/>
      <c r="J34" s="56"/>
      <c r="K34" s="57"/>
      <c r="M34" s="14"/>
      <c r="N34" s="14"/>
      <c r="O34" s="14"/>
      <c r="P34" s="14"/>
      <c r="Q34" s="14"/>
      <c r="R34" s="14"/>
      <c r="S34" s="14"/>
      <c r="T34" s="70"/>
      <c r="U34" s="76">
        <v>0</v>
      </c>
      <c r="V34" s="76">
        <v>0</v>
      </c>
      <c r="W34" s="76">
        <v>0</v>
      </c>
      <c r="X34" s="76">
        <v>0</v>
      </c>
      <c r="Y34" s="77"/>
      <c r="Z34" s="78"/>
      <c r="AA34" s="79" t="s">
        <v>58</v>
      </c>
      <c r="AB34" s="79" t="s">
        <v>35</v>
      </c>
      <c r="AC34" s="79" t="s">
        <v>35</v>
      </c>
      <c r="AD34" s="79"/>
      <c r="AE34" s="79" t="s">
        <v>39</v>
      </c>
      <c r="AF34" s="79" t="s">
        <v>40</v>
      </c>
      <c r="AG34" s="80" t="s">
        <v>41</v>
      </c>
      <c r="AH34" s="79"/>
      <c r="AI34" s="53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</row>
    <row r="35" spans="1:110" ht="13.8" x14ac:dyDescent="0.25">
      <c r="A35" s="10">
        <v>1101074</v>
      </c>
      <c r="B35" s="11" t="s">
        <v>30</v>
      </c>
      <c r="C35" s="20" t="s">
        <v>108</v>
      </c>
      <c r="D35" s="11" t="s">
        <v>32</v>
      </c>
      <c r="E35" s="10" t="s">
        <v>33</v>
      </c>
      <c r="F35" s="10" t="s">
        <v>34</v>
      </c>
      <c r="G35" s="55">
        <f t="shared" si="1"/>
        <v>0</v>
      </c>
      <c r="H35" s="10">
        <v>6</v>
      </c>
      <c r="I35" s="13"/>
      <c r="J35" s="56"/>
      <c r="K35" s="57"/>
      <c r="M35" s="14"/>
      <c r="N35" s="14"/>
      <c r="O35" s="14"/>
      <c r="P35" s="14"/>
      <c r="Q35" s="14"/>
      <c r="R35" s="14"/>
      <c r="S35" s="14"/>
      <c r="T35" s="70"/>
      <c r="U35" s="76">
        <v>0</v>
      </c>
      <c r="V35" s="76">
        <v>0</v>
      </c>
      <c r="W35" s="76">
        <v>0</v>
      </c>
      <c r="X35" s="76">
        <v>0</v>
      </c>
      <c r="Y35" s="77"/>
      <c r="Z35" s="78"/>
      <c r="AA35" s="79" t="s">
        <v>58</v>
      </c>
      <c r="AB35" s="79" t="s">
        <v>35</v>
      </c>
      <c r="AC35" s="79" t="s">
        <v>35</v>
      </c>
      <c r="AD35" s="79"/>
      <c r="AE35" s="79" t="s">
        <v>39</v>
      </c>
      <c r="AF35" s="79" t="s">
        <v>40</v>
      </c>
      <c r="AG35" s="80" t="s">
        <v>41</v>
      </c>
      <c r="AH35" s="79"/>
      <c r="AI35" s="53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</row>
    <row r="36" spans="1:110" ht="13.8" x14ac:dyDescent="0.25">
      <c r="A36" s="10">
        <v>1101075</v>
      </c>
      <c r="B36" s="11" t="s">
        <v>30</v>
      </c>
      <c r="C36" s="20" t="s">
        <v>109</v>
      </c>
      <c r="D36" s="11" t="s">
        <v>32</v>
      </c>
      <c r="E36" s="10" t="s">
        <v>33</v>
      </c>
      <c r="F36" s="10" t="s">
        <v>34</v>
      </c>
      <c r="G36" s="55">
        <f t="shared" si="1"/>
        <v>0</v>
      </c>
      <c r="H36" s="10">
        <v>6</v>
      </c>
      <c r="I36" s="13"/>
      <c r="J36" s="56"/>
      <c r="K36" s="57"/>
      <c r="M36" s="14"/>
      <c r="N36" s="14"/>
      <c r="O36" s="14"/>
      <c r="P36" s="14"/>
      <c r="Q36" s="14"/>
      <c r="R36" s="14"/>
      <c r="S36" s="14"/>
      <c r="T36" s="70"/>
      <c r="U36" s="76">
        <v>0</v>
      </c>
      <c r="V36" s="76">
        <v>0</v>
      </c>
      <c r="W36" s="76">
        <v>0</v>
      </c>
      <c r="X36" s="76">
        <v>0</v>
      </c>
      <c r="Y36" s="77"/>
      <c r="Z36" s="78"/>
      <c r="AA36" s="79" t="s">
        <v>58</v>
      </c>
      <c r="AB36" s="79" t="s">
        <v>35</v>
      </c>
      <c r="AC36" s="79" t="s">
        <v>35</v>
      </c>
      <c r="AD36" s="79"/>
      <c r="AE36" s="79" t="s">
        <v>39</v>
      </c>
      <c r="AF36" s="79" t="s">
        <v>40</v>
      </c>
      <c r="AG36" s="80" t="s">
        <v>41</v>
      </c>
      <c r="AH36" s="79"/>
      <c r="AI36" s="53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</row>
    <row r="37" spans="1:110" ht="13.8" x14ac:dyDescent="0.25">
      <c r="A37" s="10">
        <v>1101076</v>
      </c>
      <c r="B37" s="11" t="s">
        <v>30</v>
      </c>
      <c r="C37" s="20" t="s">
        <v>110</v>
      </c>
      <c r="D37" s="11" t="s">
        <v>32</v>
      </c>
      <c r="E37" s="10" t="s">
        <v>33</v>
      </c>
      <c r="F37" s="10" t="s">
        <v>34</v>
      </c>
      <c r="G37" s="55">
        <f t="shared" si="1"/>
        <v>0</v>
      </c>
      <c r="H37" s="10">
        <v>6</v>
      </c>
      <c r="I37" s="13"/>
      <c r="J37" s="56"/>
      <c r="K37" s="57"/>
      <c r="M37" s="14"/>
      <c r="N37" s="14"/>
      <c r="O37" s="14"/>
      <c r="P37" s="14"/>
      <c r="Q37" s="14"/>
      <c r="R37" s="14"/>
      <c r="S37" s="14"/>
      <c r="T37" s="70"/>
      <c r="U37" s="76">
        <v>0</v>
      </c>
      <c r="V37" s="76">
        <v>0</v>
      </c>
      <c r="W37" s="76">
        <v>0</v>
      </c>
      <c r="X37" s="76">
        <v>0</v>
      </c>
      <c r="Y37" s="77"/>
      <c r="Z37" s="78"/>
      <c r="AA37" s="79" t="s">
        <v>58</v>
      </c>
      <c r="AB37" s="79" t="s">
        <v>35</v>
      </c>
      <c r="AC37" s="79" t="s">
        <v>35</v>
      </c>
      <c r="AD37" s="79"/>
      <c r="AE37" s="79" t="s">
        <v>39</v>
      </c>
      <c r="AF37" s="79" t="s">
        <v>40</v>
      </c>
      <c r="AG37" s="80" t="s">
        <v>41</v>
      </c>
      <c r="AH37" s="79"/>
      <c r="AI37" s="53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</row>
    <row r="38" spans="1:110" ht="13.8" x14ac:dyDescent="0.25">
      <c r="A38" s="10">
        <v>1101077</v>
      </c>
      <c r="B38" s="11" t="s">
        <v>30</v>
      </c>
      <c r="C38" s="20" t="s">
        <v>111</v>
      </c>
      <c r="D38" s="11" t="s">
        <v>32</v>
      </c>
      <c r="E38" s="10" t="s">
        <v>33</v>
      </c>
      <c r="F38" s="10" t="s">
        <v>34</v>
      </c>
      <c r="G38" s="55">
        <f t="shared" si="1"/>
        <v>0</v>
      </c>
      <c r="H38" s="10">
        <v>6</v>
      </c>
      <c r="I38" s="13"/>
      <c r="J38" s="56"/>
      <c r="K38" s="57"/>
      <c r="M38" s="14"/>
      <c r="N38" s="14"/>
      <c r="O38" s="14"/>
      <c r="P38" s="14"/>
      <c r="Q38" s="14"/>
      <c r="R38" s="14"/>
      <c r="S38" s="14"/>
      <c r="T38" s="70"/>
      <c r="U38" s="76">
        <v>0</v>
      </c>
      <c r="V38" s="76">
        <v>0</v>
      </c>
      <c r="W38" s="76">
        <v>0</v>
      </c>
      <c r="X38" s="76">
        <v>0</v>
      </c>
      <c r="Y38" s="77"/>
      <c r="Z38" s="78"/>
      <c r="AA38" s="79" t="s">
        <v>58</v>
      </c>
      <c r="AB38" s="79" t="s">
        <v>35</v>
      </c>
      <c r="AC38" s="79" t="s">
        <v>35</v>
      </c>
      <c r="AD38" s="79"/>
      <c r="AE38" s="79" t="s">
        <v>39</v>
      </c>
      <c r="AF38" s="79" t="s">
        <v>40</v>
      </c>
      <c r="AG38" s="80" t="s">
        <v>41</v>
      </c>
      <c r="AH38" s="79"/>
      <c r="AI38" s="53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</row>
    <row r="39" spans="1:110" ht="13.8" x14ac:dyDescent="0.25">
      <c r="A39" s="10">
        <v>1101078</v>
      </c>
      <c r="B39" s="11" t="s">
        <v>30</v>
      </c>
      <c r="C39" s="20" t="s">
        <v>112</v>
      </c>
      <c r="D39" s="11" t="s">
        <v>32</v>
      </c>
      <c r="E39" s="10" t="s">
        <v>33</v>
      </c>
      <c r="F39" s="10" t="s">
        <v>34</v>
      </c>
      <c r="G39" s="55">
        <f t="shared" si="1"/>
        <v>0</v>
      </c>
      <c r="H39" s="10">
        <v>6</v>
      </c>
      <c r="I39" s="13"/>
      <c r="J39" s="56"/>
      <c r="K39" s="57"/>
      <c r="M39" s="14"/>
      <c r="N39" s="14"/>
      <c r="O39" s="14"/>
      <c r="P39" s="14"/>
      <c r="Q39" s="14"/>
      <c r="R39" s="14"/>
      <c r="S39" s="14"/>
      <c r="T39" s="70"/>
      <c r="U39" s="76">
        <v>0</v>
      </c>
      <c r="V39" s="76">
        <v>0</v>
      </c>
      <c r="W39" s="76">
        <v>0</v>
      </c>
      <c r="X39" s="76">
        <v>0</v>
      </c>
      <c r="Y39" s="77"/>
      <c r="Z39" s="78"/>
      <c r="AA39" s="79" t="s">
        <v>58</v>
      </c>
      <c r="AB39" s="79" t="s">
        <v>35</v>
      </c>
      <c r="AC39" s="79" t="s">
        <v>35</v>
      </c>
      <c r="AD39" s="79"/>
      <c r="AE39" s="79" t="s">
        <v>39</v>
      </c>
      <c r="AF39" s="79" t="s">
        <v>40</v>
      </c>
      <c r="AG39" s="80" t="s">
        <v>41</v>
      </c>
      <c r="AH39" s="79"/>
      <c r="AI39" s="53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</row>
    <row r="40" spans="1:110" ht="13.8" x14ac:dyDescent="0.25">
      <c r="A40" s="10">
        <v>1101079</v>
      </c>
      <c r="B40" s="11" t="s">
        <v>30</v>
      </c>
      <c r="C40" s="20" t="s">
        <v>113</v>
      </c>
      <c r="D40" s="11" t="s">
        <v>32</v>
      </c>
      <c r="E40" s="10" t="s">
        <v>33</v>
      </c>
      <c r="F40" s="10" t="s">
        <v>34</v>
      </c>
      <c r="G40" s="55">
        <f t="shared" si="1"/>
        <v>0</v>
      </c>
      <c r="H40" s="10">
        <v>6</v>
      </c>
      <c r="I40" s="13"/>
      <c r="J40" s="56"/>
      <c r="K40" s="57"/>
      <c r="M40" s="14"/>
      <c r="N40" s="14"/>
      <c r="O40" s="14"/>
      <c r="P40" s="14"/>
      <c r="Q40" s="14"/>
      <c r="R40" s="14"/>
      <c r="S40" s="14"/>
      <c r="T40" s="70"/>
      <c r="U40" s="76">
        <v>0</v>
      </c>
      <c r="V40" s="76">
        <v>0</v>
      </c>
      <c r="W40" s="76">
        <v>0</v>
      </c>
      <c r="X40" s="76">
        <v>0</v>
      </c>
      <c r="Y40" s="77"/>
      <c r="Z40" s="78"/>
      <c r="AA40" s="79" t="s">
        <v>58</v>
      </c>
      <c r="AB40" s="79" t="s">
        <v>35</v>
      </c>
      <c r="AC40" s="79" t="s">
        <v>35</v>
      </c>
      <c r="AD40" s="79"/>
      <c r="AE40" s="79" t="s">
        <v>39</v>
      </c>
      <c r="AF40" s="79" t="s">
        <v>40</v>
      </c>
      <c r="AG40" s="80" t="s">
        <v>41</v>
      </c>
      <c r="AH40" s="79"/>
      <c r="AI40" s="53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</row>
    <row r="41" spans="1:110" ht="13.8" x14ac:dyDescent="0.25">
      <c r="A41" s="10">
        <v>1101080</v>
      </c>
      <c r="B41" s="11" t="s">
        <v>30</v>
      </c>
      <c r="C41" s="12" t="s">
        <v>114</v>
      </c>
      <c r="D41" s="11" t="s">
        <v>66</v>
      </c>
      <c r="E41" s="10" t="s">
        <v>33</v>
      </c>
      <c r="F41" s="10" t="s">
        <v>34</v>
      </c>
      <c r="G41" s="55">
        <f t="shared" si="1"/>
        <v>1.83</v>
      </c>
      <c r="H41" s="10">
        <v>6</v>
      </c>
      <c r="I41" s="13">
        <v>1300</v>
      </c>
      <c r="J41" s="56">
        <v>44348</v>
      </c>
      <c r="K41" s="57">
        <v>1.62</v>
      </c>
      <c r="M41" s="14"/>
      <c r="N41" s="14"/>
      <c r="O41" s="15">
        <v>1.8280000000000001</v>
      </c>
      <c r="P41" s="14"/>
      <c r="Q41" s="14">
        <v>1.252</v>
      </c>
      <c r="R41" s="14"/>
      <c r="S41" s="14">
        <v>1.161</v>
      </c>
      <c r="T41" s="70">
        <v>1.07</v>
      </c>
      <c r="U41" s="77">
        <v>1.83</v>
      </c>
      <c r="V41" s="76">
        <v>0</v>
      </c>
      <c r="W41" s="77">
        <v>1.83</v>
      </c>
      <c r="X41" s="76">
        <v>0</v>
      </c>
      <c r="Y41" s="77" t="s">
        <v>35</v>
      </c>
      <c r="Z41" s="78">
        <v>1300</v>
      </c>
      <c r="AA41" s="79" t="s">
        <v>36</v>
      </c>
      <c r="AB41" s="79" t="s">
        <v>35</v>
      </c>
      <c r="AC41" s="79" t="s">
        <v>37</v>
      </c>
      <c r="AD41" s="79" t="s">
        <v>38</v>
      </c>
      <c r="AE41" s="79" t="s">
        <v>39</v>
      </c>
      <c r="AF41" s="79" t="s">
        <v>40</v>
      </c>
      <c r="AG41" s="80" t="s">
        <v>41</v>
      </c>
      <c r="AH41" s="79"/>
      <c r="AI41" s="53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</row>
    <row r="42" spans="1:110" ht="13.8" x14ac:dyDescent="0.25">
      <c r="A42" s="10">
        <v>1101081</v>
      </c>
      <c r="B42" s="11" t="s">
        <v>30</v>
      </c>
      <c r="C42" s="12" t="s">
        <v>115</v>
      </c>
      <c r="D42" s="11" t="s">
        <v>66</v>
      </c>
      <c r="E42" s="10" t="s">
        <v>33</v>
      </c>
      <c r="F42" s="10" t="s">
        <v>34</v>
      </c>
      <c r="G42" s="55">
        <f t="shared" si="1"/>
        <v>1.89</v>
      </c>
      <c r="H42" s="10">
        <v>6</v>
      </c>
      <c r="I42" s="13">
        <v>8800</v>
      </c>
      <c r="J42" s="56"/>
      <c r="K42" s="57"/>
      <c r="M42" s="14"/>
      <c r="N42" s="14"/>
      <c r="O42" s="14"/>
      <c r="P42" s="14"/>
      <c r="Q42" s="14"/>
      <c r="R42" s="14"/>
      <c r="S42" s="14"/>
      <c r="T42" s="70">
        <v>1.89</v>
      </c>
      <c r="U42" s="76">
        <v>1.89</v>
      </c>
      <c r="V42" s="76">
        <v>0</v>
      </c>
      <c r="W42" s="76">
        <v>1.89</v>
      </c>
      <c r="X42" s="76">
        <v>0</v>
      </c>
      <c r="Y42" s="77" t="s">
        <v>35</v>
      </c>
      <c r="Z42" s="78">
        <v>1500</v>
      </c>
      <c r="AA42" s="79" t="s">
        <v>116</v>
      </c>
      <c r="AB42" s="79" t="s">
        <v>35</v>
      </c>
      <c r="AC42" s="79" t="s">
        <v>35</v>
      </c>
      <c r="AD42" s="85">
        <v>41477</v>
      </c>
      <c r="AE42" s="79" t="s">
        <v>39</v>
      </c>
      <c r="AF42" s="79" t="s">
        <v>40</v>
      </c>
      <c r="AG42" s="80" t="s">
        <v>41</v>
      </c>
      <c r="AH42" s="79"/>
      <c r="AI42" s="53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</row>
    <row r="43" spans="1:110" ht="13.8" x14ac:dyDescent="0.25">
      <c r="A43" s="10">
        <v>1101082</v>
      </c>
      <c r="B43" s="11" t="s">
        <v>30</v>
      </c>
      <c r="C43" s="12" t="s">
        <v>117</v>
      </c>
      <c r="D43" s="11" t="s">
        <v>66</v>
      </c>
      <c r="E43" s="10" t="s">
        <v>33</v>
      </c>
      <c r="F43" s="10" t="s">
        <v>34</v>
      </c>
      <c r="G43" s="55">
        <f t="shared" si="1"/>
        <v>1.89</v>
      </c>
      <c r="H43" s="10">
        <v>6</v>
      </c>
      <c r="I43" s="13">
        <v>8800</v>
      </c>
      <c r="J43" s="56"/>
      <c r="K43" s="57"/>
      <c r="M43" s="14"/>
      <c r="N43" s="14"/>
      <c r="O43" s="14"/>
      <c r="P43" s="14"/>
      <c r="Q43" s="14"/>
      <c r="R43" s="14"/>
      <c r="S43" s="14"/>
      <c r="T43" s="70">
        <v>1.89</v>
      </c>
      <c r="U43" s="76">
        <v>1.89</v>
      </c>
      <c r="V43" s="76">
        <v>0</v>
      </c>
      <c r="W43" s="76">
        <v>1.89</v>
      </c>
      <c r="X43" s="76">
        <v>0</v>
      </c>
      <c r="Y43" s="77" t="s">
        <v>35</v>
      </c>
      <c r="Z43" s="78">
        <v>1500</v>
      </c>
      <c r="AA43" s="79" t="s">
        <v>116</v>
      </c>
      <c r="AB43" s="79" t="s">
        <v>35</v>
      </c>
      <c r="AC43" s="79" t="s">
        <v>35</v>
      </c>
      <c r="AD43" s="85">
        <v>41495</v>
      </c>
      <c r="AE43" s="79" t="s">
        <v>39</v>
      </c>
      <c r="AF43" s="79" t="s">
        <v>40</v>
      </c>
      <c r="AG43" s="80" t="s">
        <v>41</v>
      </c>
      <c r="AH43" s="79"/>
      <c r="AI43" s="53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</row>
    <row r="44" spans="1:110" ht="13.8" x14ac:dyDescent="0.25">
      <c r="A44" s="10">
        <v>1101083</v>
      </c>
      <c r="B44" s="11" t="s">
        <v>30</v>
      </c>
      <c r="C44" s="12" t="s">
        <v>118</v>
      </c>
      <c r="D44" s="11" t="s">
        <v>119</v>
      </c>
      <c r="E44" s="10" t="s">
        <v>120</v>
      </c>
      <c r="F44" s="10" t="s">
        <v>34</v>
      </c>
      <c r="G44" s="55">
        <f t="shared" si="1"/>
        <v>2.5749999999999997</v>
      </c>
      <c r="H44" s="10">
        <v>10</v>
      </c>
      <c r="I44" s="13">
        <v>6000</v>
      </c>
      <c r="J44" s="56">
        <v>44452</v>
      </c>
      <c r="K44" s="57">
        <v>2.4249999999999998</v>
      </c>
      <c r="M44" s="14"/>
      <c r="N44" s="14"/>
      <c r="O44" s="14"/>
      <c r="P44" s="14"/>
      <c r="Q44" s="14"/>
      <c r="R44" s="14"/>
      <c r="S44" s="14"/>
      <c r="T44" s="70"/>
      <c r="U44" s="86">
        <v>2.5299999999999998</v>
      </c>
      <c r="V44" s="77">
        <v>4.4999999999999998E-2</v>
      </c>
      <c r="W44" s="86">
        <v>2.5299999999999998</v>
      </c>
      <c r="X44" s="77">
        <v>4.4999999999999998E-2</v>
      </c>
      <c r="Y44" s="77" t="s">
        <v>35</v>
      </c>
      <c r="Z44" s="87">
        <v>1500</v>
      </c>
      <c r="AA44" s="79" t="s">
        <v>121</v>
      </c>
      <c r="AB44" s="79" t="s">
        <v>35</v>
      </c>
      <c r="AC44" s="79" t="s">
        <v>37</v>
      </c>
      <c r="AD44" s="79" t="s">
        <v>38</v>
      </c>
      <c r="AE44" s="79" t="s">
        <v>122</v>
      </c>
      <c r="AF44" s="79" t="s">
        <v>123</v>
      </c>
      <c r="AG44" s="88" t="s">
        <v>124</v>
      </c>
      <c r="AH44" s="79"/>
      <c r="AI44" s="53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</row>
    <row r="45" spans="1:110" ht="12" customHeight="1" x14ac:dyDescent="0.25">
      <c r="A45" s="10">
        <v>1101084</v>
      </c>
      <c r="B45" s="11" t="s">
        <v>30</v>
      </c>
      <c r="C45" s="12" t="s">
        <v>1508</v>
      </c>
      <c r="D45" s="11" t="s">
        <v>32</v>
      </c>
      <c r="E45" s="10" t="s">
        <v>33</v>
      </c>
      <c r="F45" s="10" t="s">
        <v>34</v>
      </c>
      <c r="G45" s="55">
        <f t="shared" si="1"/>
        <v>0</v>
      </c>
      <c r="H45" s="10">
        <v>6</v>
      </c>
      <c r="I45" s="13">
        <v>55</v>
      </c>
      <c r="J45" s="56"/>
      <c r="K45" s="57"/>
      <c r="M45" s="14"/>
      <c r="N45" s="14"/>
      <c r="O45" s="14"/>
      <c r="P45" s="14"/>
      <c r="Q45" s="14"/>
      <c r="R45" s="14"/>
      <c r="S45" s="14"/>
      <c r="T45" s="70"/>
      <c r="U45" s="77"/>
      <c r="V45" s="77"/>
      <c r="W45" s="77"/>
      <c r="X45" s="77"/>
      <c r="Y45" s="77"/>
      <c r="Z45" s="87"/>
      <c r="AA45" s="79"/>
      <c r="AB45" s="79"/>
      <c r="AC45" s="79"/>
      <c r="AD45" s="79"/>
      <c r="AE45" s="79"/>
      <c r="AF45" s="79"/>
      <c r="AG45" s="88"/>
      <c r="AH45" s="79"/>
      <c r="AI45" s="53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</row>
    <row r="46" spans="1:110" ht="13.8" x14ac:dyDescent="0.25">
      <c r="A46" s="10">
        <v>1101090</v>
      </c>
      <c r="B46" s="11" t="s">
        <v>30</v>
      </c>
      <c r="C46" s="12" t="s">
        <v>125</v>
      </c>
      <c r="D46" s="11" t="s">
        <v>46</v>
      </c>
      <c r="E46" s="10" t="s">
        <v>47</v>
      </c>
      <c r="F46" s="10" t="s">
        <v>34</v>
      </c>
      <c r="G46" s="55" t="str">
        <f t="shared" si="1"/>
        <v>Obsolete</v>
      </c>
      <c r="H46" s="10">
        <v>10</v>
      </c>
      <c r="I46" s="13"/>
      <c r="J46" s="56"/>
      <c r="K46" s="57"/>
      <c r="M46" s="14"/>
      <c r="N46" s="14"/>
      <c r="O46" s="14"/>
      <c r="P46" s="14"/>
      <c r="Q46" s="14">
        <v>1.64</v>
      </c>
      <c r="R46" s="14"/>
      <c r="S46" s="14">
        <v>1.36</v>
      </c>
      <c r="T46" s="70"/>
      <c r="U46" s="76" t="s">
        <v>54</v>
      </c>
      <c r="V46" s="76">
        <v>0</v>
      </c>
      <c r="W46" s="76" t="s">
        <v>54</v>
      </c>
      <c r="X46" s="76">
        <v>0</v>
      </c>
      <c r="Y46" s="89" t="s">
        <v>35</v>
      </c>
      <c r="Z46" s="78">
        <v>1600</v>
      </c>
      <c r="AA46" s="79" t="s">
        <v>36</v>
      </c>
      <c r="AB46" s="79" t="s">
        <v>37</v>
      </c>
      <c r="AC46" s="79" t="s">
        <v>37</v>
      </c>
      <c r="AD46" s="79" t="s">
        <v>38</v>
      </c>
      <c r="AE46" s="79" t="s">
        <v>1547</v>
      </c>
      <c r="AF46" s="79" t="s">
        <v>1548</v>
      </c>
      <c r="AG46" s="81" t="s">
        <v>1549</v>
      </c>
      <c r="AH46" s="79"/>
      <c r="AI46" s="53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</row>
    <row r="47" spans="1:110" ht="13.8" x14ac:dyDescent="0.25">
      <c r="A47" s="10">
        <v>1101200</v>
      </c>
      <c r="B47" s="11" t="s">
        <v>30</v>
      </c>
      <c r="C47" s="12" t="s">
        <v>126</v>
      </c>
      <c r="D47" s="11" t="s">
        <v>127</v>
      </c>
      <c r="E47" s="10" t="s">
        <v>1619</v>
      </c>
      <c r="F47" s="10" t="s">
        <v>34</v>
      </c>
      <c r="G47" s="55">
        <f t="shared" si="1"/>
        <v>6.33</v>
      </c>
      <c r="H47" s="10">
        <v>10</v>
      </c>
      <c r="I47" s="13">
        <v>110</v>
      </c>
      <c r="J47" s="56"/>
      <c r="K47" s="57"/>
      <c r="M47" s="14">
        <v>5.97</v>
      </c>
      <c r="N47" s="14"/>
      <c r="O47" s="14"/>
      <c r="P47" s="14"/>
      <c r="Q47" s="14"/>
      <c r="R47" s="14"/>
      <c r="S47" s="14"/>
      <c r="T47" s="70"/>
      <c r="U47" s="76">
        <v>5.97</v>
      </c>
      <c r="V47" s="76">
        <v>0.36</v>
      </c>
      <c r="W47" s="76">
        <v>5.97</v>
      </c>
      <c r="X47" s="76">
        <v>0.36</v>
      </c>
      <c r="Y47" s="77" t="s">
        <v>37</v>
      </c>
      <c r="Z47" s="78">
        <v>55</v>
      </c>
      <c r="AA47" s="79" t="s">
        <v>36</v>
      </c>
      <c r="AB47" s="79" t="s">
        <v>35</v>
      </c>
      <c r="AC47" s="79" t="s">
        <v>37</v>
      </c>
      <c r="AD47" s="79" t="s">
        <v>38</v>
      </c>
      <c r="AE47" s="79" t="s">
        <v>50</v>
      </c>
      <c r="AF47" s="79" t="s">
        <v>51</v>
      </c>
      <c r="AG47" s="82" t="s">
        <v>52</v>
      </c>
      <c r="AH47" s="79"/>
      <c r="AI47" s="53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</row>
    <row r="48" spans="1:110" ht="13.8" x14ac:dyDescent="0.25">
      <c r="A48" s="10">
        <v>1101210</v>
      </c>
      <c r="B48" s="11" t="s">
        <v>30</v>
      </c>
      <c r="C48" s="12" t="s">
        <v>128</v>
      </c>
      <c r="D48" s="11" t="s">
        <v>46</v>
      </c>
      <c r="E48" s="10" t="s">
        <v>47</v>
      </c>
      <c r="F48" s="10" t="s">
        <v>34</v>
      </c>
      <c r="G48" s="55" t="str">
        <f t="shared" si="1"/>
        <v>Obsolete</v>
      </c>
      <c r="H48" s="10">
        <v>11</v>
      </c>
      <c r="I48" s="13">
        <v>6000</v>
      </c>
      <c r="J48" s="56"/>
      <c r="K48" s="57"/>
      <c r="M48" s="14"/>
      <c r="N48" s="14"/>
      <c r="O48" s="14"/>
      <c r="P48" s="14"/>
      <c r="Q48" s="14"/>
      <c r="R48" s="14"/>
      <c r="S48" s="14">
        <v>1.74</v>
      </c>
      <c r="T48" s="70"/>
      <c r="U48" s="76" t="s">
        <v>54</v>
      </c>
      <c r="V48" s="76">
        <v>0</v>
      </c>
      <c r="W48" s="76" t="s">
        <v>54</v>
      </c>
      <c r="X48" s="76">
        <v>0</v>
      </c>
      <c r="Y48" s="89" t="s">
        <v>35</v>
      </c>
      <c r="Z48" s="78">
        <v>1499.144</v>
      </c>
      <c r="AA48" s="79" t="s">
        <v>36</v>
      </c>
      <c r="AB48" s="79" t="s">
        <v>37</v>
      </c>
      <c r="AC48" s="79" t="s">
        <v>37</v>
      </c>
      <c r="AD48" s="79" t="s">
        <v>38</v>
      </c>
      <c r="AE48" s="79" t="s">
        <v>1547</v>
      </c>
      <c r="AF48" s="79" t="s">
        <v>1548</v>
      </c>
      <c r="AG48" s="81" t="s">
        <v>1549</v>
      </c>
      <c r="AH48" s="79"/>
      <c r="AI48" s="53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</row>
    <row r="49" spans="1:110" ht="13.8" x14ac:dyDescent="0.25">
      <c r="A49" s="125">
        <v>1101220</v>
      </c>
      <c r="B49" s="11" t="s">
        <v>30</v>
      </c>
      <c r="C49" s="12" t="s">
        <v>129</v>
      </c>
      <c r="D49" s="11" t="s">
        <v>46</v>
      </c>
      <c r="E49" s="10" t="s">
        <v>47</v>
      </c>
      <c r="F49" s="10" t="s">
        <v>34</v>
      </c>
      <c r="G49" s="55">
        <f t="shared" si="1"/>
        <v>2.57</v>
      </c>
      <c r="H49" s="10">
        <v>10</v>
      </c>
      <c r="I49" s="13">
        <v>6400</v>
      </c>
      <c r="J49" s="56">
        <v>44616</v>
      </c>
      <c r="K49" s="57">
        <v>2.3199999999999998</v>
      </c>
      <c r="M49" s="14"/>
      <c r="N49" s="14"/>
      <c r="O49" s="14">
        <v>2.94</v>
      </c>
      <c r="P49" s="14"/>
      <c r="Q49" s="14"/>
      <c r="R49" s="14"/>
      <c r="S49" s="14">
        <v>2.57</v>
      </c>
      <c r="T49" s="70"/>
      <c r="U49" s="14">
        <v>2.57</v>
      </c>
      <c r="V49" s="76">
        <v>0</v>
      </c>
      <c r="W49" s="14">
        <v>2.57</v>
      </c>
      <c r="X49" s="76">
        <v>0</v>
      </c>
      <c r="Y49" s="77" t="s">
        <v>35</v>
      </c>
      <c r="Z49" s="78">
        <v>1600</v>
      </c>
      <c r="AA49" s="79" t="s">
        <v>36</v>
      </c>
      <c r="AB49" s="79" t="s">
        <v>35</v>
      </c>
      <c r="AC49" s="79" t="s">
        <v>37</v>
      </c>
      <c r="AD49" s="79" t="s">
        <v>38</v>
      </c>
      <c r="AE49" s="79" t="s">
        <v>1547</v>
      </c>
      <c r="AF49" s="79" t="s">
        <v>1548</v>
      </c>
      <c r="AG49" s="81" t="s">
        <v>1549</v>
      </c>
      <c r="AH49" s="79"/>
      <c r="AI49" s="53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</row>
    <row r="50" spans="1:110" ht="13.8" x14ac:dyDescent="0.25">
      <c r="A50" s="10">
        <v>1101223</v>
      </c>
      <c r="B50" s="11" t="s">
        <v>30</v>
      </c>
      <c r="C50" s="12" t="s">
        <v>130</v>
      </c>
      <c r="D50" s="11" t="s">
        <v>131</v>
      </c>
      <c r="E50" s="10" t="s">
        <v>132</v>
      </c>
      <c r="F50" s="10" t="s">
        <v>34</v>
      </c>
      <c r="G50" s="55" t="str">
        <f t="shared" si="1"/>
        <v>Obsolete</v>
      </c>
      <c r="H50" s="10">
        <v>10</v>
      </c>
      <c r="I50" s="13">
        <v>1000</v>
      </c>
      <c r="J50" s="56"/>
      <c r="K50" s="57"/>
      <c r="M50" s="14"/>
      <c r="N50" s="14">
        <v>4.7</v>
      </c>
      <c r="O50" s="14"/>
      <c r="P50" s="14"/>
      <c r="Q50" s="14"/>
      <c r="R50" s="14"/>
      <c r="S50" s="14"/>
      <c r="T50" s="70"/>
      <c r="U50" s="76" t="s">
        <v>54</v>
      </c>
      <c r="V50" s="76"/>
      <c r="W50" s="76" t="s">
        <v>54</v>
      </c>
      <c r="X50" s="76"/>
      <c r="Y50" s="89"/>
      <c r="Z50" s="78">
        <v>25</v>
      </c>
      <c r="AA50" s="79" t="s">
        <v>36</v>
      </c>
      <c r="AB50" s="79" t="s">
        <v>37</v>
      </c>
      <c r="AC50" s="79" t="s">
        <v>37</v>
      </c>
      <c r="AD50" s="79"/>
      <c r="AE50" s="79" t="s">
        <v>133</v>
      </c>
      <c r="AF50" s="79" t="s">
        <v>134</v>
      </c>
      <c r="AG50" s="90" t="s">
        <v>135</v>
      </c>
      <c r="AH50" s="79"/>
      <c r="AI50" s="53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</row>
    <row r="51" spans="1:110" ht="13.8" x14ac:dyDescent="0.25">
      <c r="A51" s="10">
        <v>1101224</v>
      </c>
      <c r="B51" s="11" t="s">
        <v>30</v>
      </c>
      <c r="C51" s="12" t="s">
        <v>136</v>
      </c>
      <c r="D51" s="11" t="s">
        <v>131</v>
      </c>
      <c r="E51" s="10" t="s">
        <v>1619</v>
      </c>
      <c r="F51" s="10" t="s">
        <v>34</v>
      </c>
      <c r="G51" s="55">
        <f t="shared" si="1"/>
        <v>3.13</v>
      </c>
      <c r="H51" s="10">
        <v>10</v>
      </c>
      <c r="I51" s="13">
        <v>440</v>
      </c>
      <c r="J51" s="56">
        <v>44546</v>
      </c>
      <c r="K51" s="57">
        <v>2.9499999999999997</v>
      </c>
      <c r="M51" s="14">
        <v>3.04</v>
      </c>
      <c r="N51" s="14"/>
      <c r="O51" s="14"/>
      <c r="P51" s="14"/>
      <c r="Q51" s="14"/>
      <c r="R51" s="14"/>
      <c r="S51" s="14"/>
      <c r="T51" s="70"/>
      <c r="U51" s="76">
        <v>3.04</v>
      </c>
      <c r="V51" s="76">
        <v>0.09</v>
      </c>
      <c r="W51" s="76">
        <v>3.04</v>
      </c>
      <c r="X51" s="76">
        <v>0.09</v>
      </c>
      <c r="Y51" s="77" t="s">
        <v>37</v>
      </c>
      <c r="Z51" s="78">
        <v>55</v>
      </c>
      <c r="AA51" s="79" t="s">
        <v>36</v>
      </c>
      <c r="AB51" s="79" t="s">
        <v>35</v>
      </c>
      <c r="AC51" s="79" t="s">
        <v>37</v>
      </c>
      <c r="AD51" s="79" t="s">
        <v>38</v>
      </c>
      <c r="AE51" s="79" t="s">
        <v>1637</v>
      </c>
      <c r="AF51" s="79">
        <v>5548845795</v>
      </c>
      <c r="AG51" s="124" t="s">
        <v>1636</v>
      </c>
      <c r="AH51" s="79"/>
      <c r="AI51" s="53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</row>
    <row r="52" spans="1:110" ht="13.8" x14ac:dyDescent="0.25">
      <c r="A52" s="10">
        <v>1101225</v>
      </c>
      <c r="B52" s="11" t="s">
        <v>30</v>
      </c>
      <c r="C52" s="12" t="s">
        <v>137</v>
      </c>
      <c r="D52" s="11" t="s">
        <v>138</v>
      </c>
      <c r="E52" s="10" t="s">
        <v>33</v>
      </c>
      <c r="F52" s="10" t="s">
        <v>34</v>
      </c>
      <c r="G52" s="55">
        <f t="shared" si="1"/>
        <v>19.079999999999998</v>
      </c>
      <c r="H52" s="10">
        <v>6</v>
      </c>
      <c r="I52" s="13">
        <v>110</v>
      </c>
      <c r="J52" s="56"/>
      <c r="K52" s="57"/>
      <c r="M52" s="14">
        <v>19.079999999999998</v>
      </c>
      <c r="N52" s="14"/>
      <c r="O52" s="14"/>
      <c r="P52" s="14"/>
      <c r="Q52" s="14"/>
      <c r="R52" s="14"/>
      <c r="S52" s="14"/>
      <c r="T52" s="70"/>
      <c r="U52" s="76">
        <v>19.079999999999998</v>
      </c>
      <c r="V52" s="76">
        <v>0</v>
      </c>
      <c r="W52" s="76">
        <v>19.079999999999998</v>
      </c>
      <c r="X52" s="76">
        <v>0</v>
      </c>
      <c r="Y52" s="77" t="s">
        <v>35</v>
      </c>
      <c r="Z52" s="78">
        <v>55</v>
      </c>
      <c r="AA52" s="79" t="s">
        <v>36</v>
      </c>
      <c r="AB52" s="79" t="s">
        <v>35</v>
      </c>
      <c r="AC52" s="79" t="s">
        <v>37</v>
      </c>
      <c r="AD52" s="79" t="s">
        <v>38</v>
      </c>
      <c r="AE52" s="79" t="s">
        <v>39</v>
      </c>
      <c r="AF52" s="79" t="s">
        <v>40</v>
      </c>
      <c r="AG52" s="80" t="s">
        <v>41</v>
      </c>
      <c r="AH52" s="79"/>
      <c r="AI52" s="53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</row>
    <row r="53" spans="1:110" ht="13.8" x14ac:dyDescent="0.25">
      <c r="A53" s="10">
        <v>1101226</v>
      </c>
      <c r="B53" s="11" t="s">
        <v>30</v>
      </c>
      <c r="C53" s="12" t="s">
        <v>139</v>
      </c>
      <c r="D53" s="11" t="s">
        <v>140</v>
      </c>
      <c r="E53" s="10" t="s">
        <v>47</v>
      </c>
      <c r="F53" s="10" t="s">
        <v>34</v>
      </c>
      <c r="G53" s="55" t="str">
        <f t="shared" si="1"/>
        <v>Obsolete</v>
      </c>
      <c r="H53" s="22" t="s">
        <v>141</v>
      </c>
      <c r="I53" s="13">
        <v>3200</v>
      </c>
      <c r="J53" s="56"/>
      <c r="K53" s="57"/>
      <c r="M53" s="14"/>
      <c r="N53" s="14"/>
      <c r="O53" s="14"/>
      <c r="P53" s="14"/>
      <c r="Q53" s="14">
        <v>1.86</v>
      </c>
      <c r="R53" s="14"/>
      <c r="S53" s="14">
        <v>1.54</v>
      </c>
      <c r="T53" s="70"/>
      <c r="U53" s="76" t="s">
        <v>54</v>
      </c>
      <c r="V53" s="76">
        <v>0</v>
      </c>
      <c r="W53" s="76" t="s">
        <v>54</v>
      </c>
      <c r="X53" s="76">
        <v>0</v>
      </c>
      <c r="Y53" s="89" t="s">
        <v>35</v>
      </c>
      <c r="Z53" s="78">
        <v>1600</v>
      </c>
      <c r="AA53" s="79" t="s">
        <v>36</v>
      </c>
      <c r="AB53" s="79" t="s">
        <v>37</v>
      </c>
      <c r="AC53" s="79" t="s">
        <v>37</v>
      </c>
      <c r="AD53" s="79" t="s">
        <v>38</v>
      </c>
      <c r="AE53" s="79" t="s">
        <v>1547</v>
      </c>
      <c r="AF53" s="79" t="s">
        <v>1548</v>
      </c>
      <c r="AG53" s="81" t="s">
        <v>1549</v>
      </c>
      <c r="AH53" s="79"/>
      <c r="AI53" s="53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</row>
    <row r="54" spans="1:110" ht="13.8" x14ac:dyDescent="0.25">
      <c r="A54" s="10">
        <v>1101227</v>
      </c>
      <c r="B54" s="11" t="s">
        <v>30</v>
      </c>
      <c r="C54" s="12" t="s">
        <v>142</v>
      </c>
      <c r="D54" s="11" t="s">
        <v>143</v>
      </c>
      <c r="E54" s="10" t="s">
        <v>33</v>
      </c>
      <c r="F54" s="10" t="s">
        <v>34</v>
      </c>
      <c r="G54" s="55" t="str">
        <f t="shared" si="1"/>
        <v>Obsolete</v>
      </c>
      <c r="H54" s="10">
        <v>6</v>
      </c>
      <c r="I54" s="13"/>
      <c r="J54" s="56"/>
      <c r="K54" s="57"/>
      <c r="M54" s="14"/>
      <c r="N54" s="14"/>
      <c r="O54" s="14"/>
      <c r="P54" s="14"/>
      <c r="Q54" s="14"/>
      <c r="R54" s="14">
        <v>3.03</v>
      </c>
      <c r="S54" s="14"/>
      <c r="T54" s="70">
        <v>2.29</v>
      </c>
      <c r="U54" s="76" t="s">
        <v>54</v>
      </c>
      <c r="V54" s="76"/>
      <c r="W54" s="76" t="s">
        <v>54</v>
      </c>
      <c r="X54" s="76"/>
      <c r="Y54" s="77"/>
      <c r="Z54" s="78"/>
      <c r="AA54" s="79" t="s">
        <v>36</v>
      </c>
      <c r="AB54" s="79" t="s">
        <v>37</v>
      </c>
      <c r="AC54" s="79" t="s">
        <v>37</v>
      </c>
      <c r="AD54" s="79"/>
      <c r="AE54" s="79" t="s">
        <v>39</v>
      </c>
      <c r="AF54" s="79" t="s">
        <v>40</v>
      </c>
      <c r="AG54" s="80" t="s">
        <v>41</v>
      </c>
      <c r="AH54" s="79"/>
      <c r="AI54" s="53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</row>
    <row r="55" spans="1:110" ht="13.8" x14ac:dyDescent="0.25">
      <c r="A55" s="10">
        <v>1101228</v>
      </c>
      <c r="B55" s="11" t="s">
        <v>30</v>
      </c>
      <c r="C55" s="12" t="s">
        <v>144</v>
      </c>
      <c r="D55" s="11" t="s">
        <v>143</v>
      </c>
      <c r="E55" s="10" t="s">
        <v>33</v>
      </c>
      <c r="F55" s="10" t="s">
        <v>34</v>
      </c>
      <c r="G55" s="55">
        <f t="shared" si="1"/>
        <v>2.1113137528801973</v>
      </c>
      <c r="H55" s="10">
        <v>6</v>
      </c>
      <c r="I55" s="13">
        <v>4500</v>
      </c>
      <c r="J55" s="56"/>
      <c r="K55" s="57"/>
      <c r="M55" s="14"/>
      <c r="N55" s="14"/>
      <c r="O55" s="14"/>
      <c r="P55" s="14"/>
      <c r="Q55" s="14"/>
      <c r="R55" s="14">
        <v>2.1113137528801973</v>
      </c>
      <c r="S55" s="14"/>
      <c r="T55" s="70"/>
      <c r="U55" s="76">
        <v>2.1113137528801973</v>
      </c>
      <c r="V55" s="76">
        <v>0</v>
      </c>
      <c r="W55" s="76">
        <v>2.1113137528801973</v>
      </c>
      <c r="X55" s="76">
        <v>0</v>
      </c>
      <c r="Y55" s="77" t="s">
        <v>35</v>
      </c>
      <c r="Z55" s="78">
        <v>1500</v>
      </c>
      <c r="AA55" s="79" t="s">
        <v>36</v>
      </c>
      <c r="AB55" s="79" t="s">
        <v>35</v>
      </c>
      <c r="AC55" s="79" t="s">
        <v>37</v>
      </c>
      <c r="AD55" s="79" t="s">
        <v>38</v>
      </c>
      <c r="AE55" s="79" t="s">
        <v>39</v>
      </c>
      <c r="AF55" s="79" t="s">
        <v>40</v>
      </c>
      <c r="AG55" s="80" t="s">
        <v>41</v>
      </c>
      <c r="AH55" s="79"/>
      <c r="AI55" s="53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</row>
    <row r="56" spans="1:110" ht="13.8" x14ac:dyDescent="0.25">
      <c r="A56" s="10">
        <v>1101229</v>
      </c>
      <c r="B56" s="11" t="s">
        <v>30</v>
      </c>
      <c r="C56" s="12" t="s">
        <v>145</v>
      </c>
      <c r="D56" s="11" t="s">
        <v>146</v>
      </c>
      <c r="E56" s="10" t="s">
        <v>1619</v>
      </c>
      <c r="F56" s="10" t="s">
        <v>34</v>
      </c>
      <c r="G56" s="55">
        <f t="shared" si="1"/>
        <v>2.7457000000000003</v>
      </c>
      <c r="H56" s="10">
        <v>4</v>
      </c>
      <c r="I56" s="13">
        <v>1100</v>
      </c>
      <c r="J56" s="56"/>
      <c r="K56" s="57"/>
      <c r="M56" s="14"/>
      <c r="N56" s="14"/>
      <c r="O56" s="14">
        <v>3.14</v>
      </c>
      <c r="P56" s="14">
        <v>2.35</v>
      </c>
      <c r="Q56" s="14"/>
      <c r="R56" s="14"/>
      <c r="S56" s="14"/>
      <c r="T56" s="70"/>
      <c r="U56" s="76">
        <v>2.35</v>
      </c>
      <c r="V56" s="76">
        <v>0.3957</v>
      </c>
      <c r="W56" s="76">
        <v>2.35</v>
      </c>
      <c r="X56" s="76">
        <v>0.3957</v>
      </c>
      <c r="Y56" s="77" t="s">
        <v>35</v>
      </c>
      <c r="Z56" s="87">
        <v>55</v>
      </c>
      <c r="AA56" s="79" t="s">
        <v>36</v>
      </c>
      <c r="AB56" s="79" t="s">
        <v>35</v>
      </c>
      <c r="AC56" s="79" t="s">
        <v>37</v>
      </c>
      <c r="AD56" s="79" t="s">
        <v>38</v>
      </c>
      <c r="AE56" s="79" t="s">
        <v>147</v>
      </c>
      <c r="AF56" s="79" t="s">
        <v>148</v>
      </c>
      <c r="AG56" s="79" t="s">
        <v>149</v>
      </c>
      <c r="AH56" s="79"/>
      <c r="AI56" s="53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</row>
    <row r="57" spans="1:110" ht="13.8" x14ac:dyDescent="0.25">
      <c r="A57" s="10">
        <v>1101230</v>
      </c>
      <c r="B57" s="11" t="s">
        <v>30</v>
      </c>
      <c r="C57" s="12" t="s">
        <v>150</v>
      </c>
      <c r="D57" s="11" t="s">
        <v>151</v>
      </c>
      <c r="E57" s="10" t="s">
        <v>33</v>
      </c>
      <c r="F57" s="10" t="s">
        <v>34</v>
      </c>
      <c r="G57" s="55" t="str">
        <f t="shared" si="1"/>
        <v>Obsolete</v>
      </c>
      <c r="H57" s="10">
        <v>7</v>
      </c>
      <c r="I57" s="13"/>
      <c r="J57" s="56"/>
      <c r="K57" s="57"/>
      <c r="M57" s="14"/>
      <c r="N57" s="14"/>
      <c r="O57" s="14"/>
      <c r="P57" s="14"/>
      <c r="Q57" s="14"/>
      <c r="R57" s="14"/>
      <c r="S57" s="14"/>
      <c r="T57" s="70"/>
      <c r="U57" s="76" t="s">
        <v>54</v>
      </c>
      <c r="V57" s="76"/>
      <c r="W57" s="76" t="s">
        <v>54</v>
      </c>
      <c r="X57" s="76"/>
      <c r="Y57" s="77"/>
      <c r="Z57" s="78"/>
      <c r="AA57" s="79" t="s">
        <v>36</v>
      </c>
      <c r="AB57" s="79" t="s">
        <v>37</v>
      </c>
      <c r="AC57" s="79" t="s">
        <v>37</v>
      </c>
      <c r="AD57" s="79"/>
      <c r="AE57" s="79" t="s">
        <v>39</v>
      </c>
      <c r="AF57" s="79" t="s">
        <v>40</v>
      </c>
      <c r="AG57" s="80" t="s">
        <v>41</v>
      </c>
      <c r="AH57" s="79"/>
      <c r="AI57" s="53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</row>
    <row r="58" spans="1:110" ht="13.8" x14ac:dyDescent="0.25">
      <c r="A58" s="10">
        <v>1101231</v>
      </c>
      <c r="B58" s="11" t="s">
        <v>30</v>
      </c>
      <c r="C58" s="12" t="s">
        <v>152</v>
      </c>
      <c r="D58" s="11" t="s">
        <v>66</v>
      </c>
      <c r="E58" s="10" t="s">
        <v>1619</v>
      </c>
      <c r="F58" s="10" t="s">
        <v>34</v>
      </c>
      <c r="G58" s="55">
        <f t="shared" si="1"/>
        <v>3.7199999999999998</v>
      </c>
      <c r="H58" s="10">
        <v>10</v>
      </c>
      <c r="I58" s="13">
        <v>55</v>
      </c>
      <c r="J58" s="56"/>
      <c r="K58" s="57"/>
      <c r="M58" s="14">
        <v>2.4</v>
      </c>
      <c r="N58" s="14"/>
      <c r="O58" s="14"/>
      <c r="P58" s="14"/>
      <c r="Q58" s="14"/>
      <c r="R58" s="14"/>
      <c r="S58" s="14"/>
      <c r="T58" s="70"/>
      <c r="U58" s="76">
        <v>3</v>
      </c>
      <c r="V58" s="76">
        <v>0.72</v>
      </c>
      <c r="W58" s="76">
        <v>2.5099999999999998</v>
      </c>
      <c r="X58" s="76">
        <v>0.72</v>
      </c>
      <c r="Y58" s="77" t="s">
        <v>37</v>
      </c>
      <c r="Z58" s="78">
        <v>55</v>
      </c>
      <c r="AA58" s="79" t="s">
        <v>36</v>
      </c>
      <c r="AB58" s="79" t="s">
        <v>35</v>
      </c>
      <c r="AC58" s="79" t="s">
        <v>37</v>
      </c>
      <c r="AD58" s="79" t="s">
        <v>38</v>
      </c>
      <c r="AE58" s="79" t="s">
        <v>133</v>
      </c>
      <c r="AF58" s="79" t="s">
        <v>134</v>
      </c>
      <c r="AG58" s="90" t="s">
        <v>135</v>
      </c>
      <c r="AH58" s="79"/>
      <c r="AI58" s="53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</row>
    <row r="59" spans="1:110" ht="13.8" x14ac:dyDescent="0.25">
      <c r="A59" s="10">
        <v>1101232</v>
      </c>
      <c r="B59" s="11" t="s">
        <v>30</v>
      </c>
      <c r="C59" s="12" t="s">
        <v>153</v>
      </c>
      <c r="D59" s="11" t="s">
        <v>143</v>
      </c>
      <c r="E59" s="10" t="s">
        <v>33</v>
      </c>
      <c r="F59" s="10" t="s">
        <v>34</v>
      </c>
      <c r="G59" s="55">
        <f t="shared" si="1"/>
        <v>2.0369999999999999</v>
      </c>
      <c r="H59" s="10">
        <v>6</v>
      </c>
      <c r="I59" s="13">
        <v>8800</v>
      </c>
      <c r="J59" s="56">
        <v>44348</v>
      </c>
      <c r="K59" s="57">
        <v>1.9595213687619639</v>
      </c>
      <c r="M59" s="14"/>
      <c r="N59" s="14"/>
      <c r="O59" s="15">
        <v>2.7669999999999999</v>
      </c>
      <c r="P59" s="14"/>
      <c r="Q59" s="14"/>
      <c r="R59" s="15">
        <v>2.617</v>
      </c>
      <c r="S59" s="14"/>
      <c r="T59" s="71">
        <v>2.0369999999999999</v>
      </c>
      <c r="U59" s="77">
        <v>2.0369999999999999</v>
      </c>
      <c r="V59" s="76">
        <v>0</v>
      </c>
      <c r="W59" s="77">
        <v>2.0369999999999999</v>
      </c>
      <c r="X59" s="76">
        <v>0</v>
      </c>
      <c r="Y59" s="77" t="s">
        <v>35</v>
      </c>
      <c r="Z59" s="78">
        <v>1500</v>
      </c>
      <c r="AA59" s="79" t="s">
        <v>36</v>
      </c>
      <c r="AB59" s="79" t="s">
        <v>35</v>
      </c>
      <c r="AC59" s="79" t="s">
        <v>37</v>
      </c>
      <c r="AD59" s="79" t="s">
        <v>38</v>
      </c>
      <c r="AE59" s="79" t="s">
        <v>39</v>
      </c>
      <c r="AF59" s="79" t="s">
        <v>40</v>
      </c>
      <c r="AG59" s="80" t="s">
        <v>41</v>
      </c>
      <c r="AH59" s="79"/>
      <c r="AI59" s="53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</row>
    <row r="60" spans="1:110" ht="13.8" x14ac:dyDescent="0.25">
      <c r="A60" s="10">
        <v>1101233</v>
      </c>
      <c r="B60" s="11" t="s">
        <v>30</v>
      </c>
      <c r="C60" s="12" t="s">
        <v>154</v>
      </c>
      <c r="D60" s="11" t="s">
        <v>155</v>
      </c>
      <c r="E60" s="10" t="s">
        <v>1619</v>
      </c>
      <c r="F60" s="10" t="s">
        <v>34</v>
      </c>
      <c r="G60" s="55">
        <f t="shared" si="1"/>
        <v>4.0949999999999998</v>
      </c>
      <c r="H60" s="10">
        <v>10</v>
      </c>
      <c r="I60" s="13">
        <v>275</v>
      </c>
      <c r="J60" s="56">
        <v>44489</v>
      </c>
      <c r="K60" s="57">
        <v>3.9350000000000001</v>
      </c>
      <c r="M60" s="14">
        <v>4.05</v>
      </c>
      <c r="N60" s="14"/>
      <c r="O60" s="14"/>
      <c r="P60" s="14"/>
      <c r="Q60" s="14"/>
      <c r="R60" s="14"/>
      <c r="S60" s="14"/>
      <c r="T60" s="70"/>
      <c r="U60" s="76">
        <v>4.05</v>
      </c>
      <c r="V60" s="76">
        <v>4.4999999999999998E-2</v>
      </c>
      <c r="W60" s="76">
        <v>4.05</v>
      </c>
      <c r="X60" s="76">
        <v>4.4999999999999998E-2</v>
      </c>
      <c r="Y60" s="77" t="s">
        <v>37</v>
      </c>
      <c r="Z60" s="78">
        <v>55</v>
      </c>
      <c r="AA60" s="79" t="s">
        <v>36</v>
      </c>
      <c r="AB60" s="79" t="s">
        <v>35</v>
      </c>
      <c r="AC60" s="79" t="s">
        <v>37</v>
      </c>
      <c r="AD60" s="79" t="s">
        <v>38</v>
      </c>
      <c r="AE60" s="79" t="s">
        <v>50</v>
      </c>
      <c r="AF60" s="79" t="s">
        <v>51</v>
      </c>
      <c r="AG60" s="82" t="s">
        <v>52</v>
      </c>
      <c r="AH60" s="79"/>
      <c r="AI60" s="53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</row>
    <row r="61" spans="1:110" ht="13.8" x14ac:dyDescent="0.25">
      <c r="A61" s="10">
        <v>1101234</v>
      </c>
      <c r="B61" s="11" t="s">
        <v>30</v>
      </c>
      <c r="C61" s="12" t="s">
        <v>156</v>
      </c>
      <c r="D61" s="11" t="s">
        <v>49</v>
      </c>
      <c r="E61" s="10" t="s">
        <v>1619</v>
      </c>
      <c r="F61" s="10" t="s">
        <v>34</v>
      </c>
      <c r="G61" s="55" t="str">
        <f t="shared" si="1"/>
        <v>Obsolete</v>
      </c>
      <c r="H61" s="10">
        <v>10</v>
      </c>
      <c r="I61" s="13">
        <v>55</v>
      </c>
      <c r="J61" s="56"/>
      <c r="K61" s="57"/>
      <c r="M61" s="14">
        <v>2.77</v>
      </c>
      <c r="N61" s="14"/>
      <c r="O61" s="14"/>
      <c r="P61" s="14"/>
      <c r="Q61" s="14"/>
      <c r="R61" s="14"/>
      <c r="S61" s="14"/>
      <c r="T61" s="70"/>
      <c r="U61" s="76" t="s">
        <v>54</v>
      </c>
      <c r="V61" s="76">
        <v>0</v>
      </c>
      <c r="W61" s="76" t="s">
        <v>54</v>
      </c>
      <c r="X61" s="76">
        <v>0</v>
      </c>
      <c r="Y61" s="77" t="s">
        <v>37</v>
      </c>
      <c r="Z61" s="78">
        <v>55</v>
      </c>
      <c r="AA61" s="79" t="s">
        <v>36</v>
      </c>
      <c r="AB61" s="79" t="s">
        <v>37</v>
      </c>
      <c r="AC61" s="79" t="s">
        <v>37</v>
      </c>
      <c r="AD61" s="79" t="s">
        <v>38</v>
      </c>
      <c r="AE61" s="79" t="s">
        <v>50</v>
      </c>
      <c r="AF61" s="79" t="s">
        <v>51</v>
      </c>
      <c r="AG61" s="82" t="s">
        <v>52</v>
      </c>
      <c r="AH61" s="79"/>
      <c r="AI61" s="53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</row>
    <row r="62" spans="1:110" ht="13.8" x14ac:dyDescent="0.25">
      <c r="A62" s="10">
        <v>1101235</v>
      </c>
      <c r="B62" s="11" t="s">
        <v>30</v>
      </c>
      <c r="C62" s="16" t="s">
        <v>157</v>
      </c>
      <c r="D62" s="11"/>
      <c r="E62" s="10" t="s">
        <v>33</v>
      </c>
      <c r="F62" s="10" t="s">
        <v>34</v>
      </c>
      <c r="G62" s="55" t="str">
        <f t="shared" si="1"/>
        <v>Obsolete</v>
      </c>
      <c r="H62" s="10">
        <v>9</v>
      </c>
      <c r="I62" s="13" t="s">
        <v>158</v>
      </c>
      <c r="J62" s="56"/>
      <c r="K62" s="57"/>
      <c r="M62" s="14"/>
      <c r="N62" s="14"/>
      <c r="O62" s="14">
        <v>3.62</v>
      </c>
      <c r="P62" s="14"/>
      <c r="Q62" s="14"/>
      <c r="R62" s="14"/>
      <c r="S62" s="14"/>
      <c r="T62" s="70"/>
      <c r="U62" s="76" t="s">
        <v>54</v>
      </c>
      <c r="V62" s="76"/>
      <c r="W62" s="76" t="s">
        <v>54</v>
      </c>
      <c r="X62" s="76"/>
      <c r="Y62" s="77"/>
      <c r="Z62" s="78"/>
      <c r="AA62" s="79" t="s">
        <v>36</v>
      </c>
      <c r="AB62" s="79" t="s">
        <v>37</v>
      </c>
      <c r="AC62" s="79" t="s">
        <v>37</v>
      </c>
      <c r="AD62" s="79"/>
      <c r="AE62" s="79" t="s">
        <v>39</v>
      </c>
      <c r="AF62" s="79" t="s">
        <v>40</v>
      </c>
      <c r="AG62" s="80" t="s">
        <v>41</v>
      </c>
      <c r="AH62" s="79"/>
      <c r="AI62" s="53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</row>
    <row r="63" spans="1:110" ht="13.8" x14ac:dyDescent="0.25">
      <c r="A63" s="10">
        <v>1101236</v>
      </c>
      <c r="B63" s="11" t="s">
        <v>30</v>
      </c>
      <c r="C63" s="12" t="s">
        <v>159</v>
      </c>
      <c r="D63" s="11" t="s">
        <v>143</v>
      </c>
      <c r="E63" s="10" t="s">
        <v>33</v>
      </c>
      <c r="F63" s="10" t="s">
        <v>34</v>
      </c>
      <c r="G63" s="55" t="str">
        <f t="shared" si="1"/>
        <v>Obsolete</v>
      </c>
      <c r="H63" s="10">
        <v>9</v>
      </c>
      <c r="I63" s="13"/>
      <c r="J63" s="56"/>
      <c r="K63" s="57"/>
      <c r="M63" s="14"/>
      <c r="N63" s="14"/>
      <c r="O63" s="14"/>
      <c r="P63" s="14"/>
      <c r="Q63" s="14"/>
      <c r="R63" s="14"/>
      <c r="S63" s="14"/>
      <c r="T63" s="70"/>
      <c r="U63" s="76" t="s">
        <v>54</v>
      </c>
      <c r="V63" s="76" t="s">
        <v>38</v>
      </c>
      <c r="W63" s="76" t="s">
        <v>54</v>
      </c>
      <c r="X63" s="76" t="s">
        <v>38</v>
      </c>
      <c r="Y63" s="77"/>
      <c r="Z63" s="78"/>
      <c r="AA63" s="79" t="s">
        <v>36</v>
      </c>
      <c r="AB63" s="79" t="s">
        <v>37</v>
      </c>
      <c r="AC63" s="79" t="s">
        <v>37</v>
      </c>
      <c r="AD63" s="79"/>
      <c r="AE63" s="79" t="s">
        <v>39</v>
      </c>
      <c r="AF63" s="79" t="s">
        <v>40</v>
      </c>
      <c r="AG63" s="80" t="s">
        <v>41</v>
      </c>
      <c r="AH63" s="79"/>
      <c r="AI63" s="53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</row>
    <row r="64" spans="1:110" ht="13.8" x14ac:dyDescent="0.25">
      <c r="A64" s="10">
        <v>1101237</v>
      </c>
      <c r="B64" s="11" t="s">
        <v>30</v>
      </c>
      <c r="C64" s="12" t="s">
        <v>160</v>
      </c>
      <c r="D64" s="11" t="s">
        <v>143</v>
      </c>
      <c r="E64" s="10" t="s">
        <v>33</v>
      </c>
      <c r="F64" s="10" t="s">
        <v>34</v>
      </c>
      <c r="G64" s="55" t="str">
        <f t="shared" si="1"/>
        <v>Obsolete</v>
      </c>
      <c r="H64" s="10">
        <v>9</v>
      </c>
      <c r="I64" s="13">
        <v>1500</v>
      </c>
      <c r="J64" s="56"/>
      <c r="K64" s="57"/>
      <c r="M64" s="14"/>
      <c r="N64" s="14"/>
      <c r="O64" s="14"/>
      <c r="P64" s="14"/>
      <c r="Q64" s="14"/>
      <c r="R64" s="14"/>
      <c r="S64" s="14"/>
      <c r="T64" s="70"/>
      <c r="U64" s="76" t="s">
        <v>54</v>
      </c>
      <c r="V64" s="76"/>
      <c r="W64" s="76" t="s">
        <v>54</v>
      </c>
      <c r="X64" s="76"/>
      <c r="Y64" s="77"/>
      <c r="Z64" s="78">
        <v>55</v>
      </c>
      <c r="AA64" s="79" t="s">
        <v>36</v>
      </c>
      <c r="AB64" s="79" t="s">
        <v>37</v>
      </c>
      <c r="AC64" s="79" t="s">
        <v>37</v>
      </c>
      <c r="AD64" s="79"/>
      <c r="AE64" s="79" t="s">
        <v>39</v>
      </c>
      <c r="AF64" s="79" t="s">
        <v>40</v>
      </c>
      <c r="AG64" s="80" t="s">
        <v>41</v>
      </c>
      <c r="AH64" s="79"/>
      <c r="AI64" s="53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</row>
    <row r="65" spans="1:110" ht="13.8" x14ac:dyDescent="0.25">
      <c r="A65" s="10">
        <v>1101238</v>
      </c>
      <c r="B65" s="11" t="s">
        <v>30</v>
      </c>
      <c r="C65" s="12" t="s">
        <v>161</v>
      </c>
      <c r="D65" s="11" t="s">
        <v>143</v>
      </c>
      <c r="E65" s="10" t="s">
        <v>33</v>
      </c>
      <c r="F65" s="10" t="s">
        <v>34</v>
      </c>
      <c r="G65" s="55">
        <f t="shared" si="1"/>
        <v>3.33</v>
      </c>
      <c r="H65" s="10">
        <v>8</v>
      </c>
      <c r="I65" s="13">
        <v>1100</v>
      </c>
      <c r="J65" s="56"/>
      <c r="K65" s="57"/>
      <c r="M65" s="14"/>
      <c r="N65" s="14"/>
      <c r="O65" s="14"/>
      <c r="P65" s="14"/>
      <c r="Q65" s="14"/>
      <c r="R65" s="14"/>
      <c r="S65" s="14"/>
      <c r="T65" s="70">
        <v>3.33</v>
      </c>
      <c r="U65" s="76">
        <v>3.33</v>
      </c>
      <c r="V65" s="76">
        <v>0</v>
      </c>
      <c r="W65" s="76">
        <v>3.33</v>
      </c>
      <c r="X65" s="76">
        <v>0</v>
      </c>
      <c r="Y65" s="77" t="s">
        <v>35</v>
      </c>
      <c r="Z65" s="78">
        <v>1500</v>
      </c>
      <c r="AA65" s="79" t="s">
        <v>162</v>
      </c>
      <c r="AB65" s="79" t="s">
        <v>35</v>
      </c>
      <c r="AC65" s="79" t="s">
        <v>35</v>
      </c>
      <c r="AD65" s="85">
        <v>41554</v>
      </c>
      <c r="AE65" s="79" t="s">
        <v>39</v>
      </c>
      <c r="AF65" s="79" t="s">
        <v>40</v>
      </c>
      <c r="AG65" s="80" t="s">
        <v>41</v>
      </c>
      <c r="AH65" s="79"/>
      <c r="AI65" s="53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</row>
    <row r="66" spans="1:110" ht="13.8" x14ac:dyDescent="0.25">
      <c r="A66" s="24">
        <v>1101239</v>
      </c>
      <c r="B66" s="11" t="s">
        <v>30</v>
      </c>
      <c r="C66" s="16" t="s">
        <v>163</v>
      </c>
      <c r="D66" s="10" t="s">
        <v>143</v>
      </c>
      <c r="E66" s="10" t="s">
        <v>164</v>
      </c>
      <c r="F66" s="10" t="s">
        <v>34</v>
      </c>
      <c r="G66" s="55">
        <f t="shared" si="1"/>
        <v>1.95</v>
      </c>
      <c r="H66" s="10">
        <v>12</v>
      </c>
      <c r="I66" s="13">
        <v>1500</v>
      </c>
      <c r="J66" s="56"/>
      <c r="K66" s="57"/>
      <c r="M66" s="15"/>
      <c r="N66" s="15"/>
      <c r="O66" s="15"/>
      <c r="P66" s="15"/>
      <c r="Q66" s="15"/>
      <c r="R66" s="15"/>
      <c r="S66" s="15"/>
      <c r="T66" s="71">
        <v>1.66</v>
      </c>
      <c r="U66" s="76">
        <v>1.66</v>
      </c>
      <c r="V66" s="76">
        <v>0.28999999999999998</v>
      </c>
      <c r="W66" s="76">
        <v>1.66</v>
      </c>
      <c r="X66" s="76">
        <v>0.28999999999999998</v>
      </c>
      <c r="Y66" s="77" t="s">
        <v>35</v>
      </c>
      <c r="Z66" s="87">
        <v>1500</v>
      </c>
      <c r="AA66" s="79" t="s">
        <v>36</v>
      </c>
      <c r="AB66" s="79" t="s">
        <v>35</v>
      </c>
      <c r="AC66" s="79" t="s">
        <v>37</v>
      </c>
      <c r="AD66" s="79" t="s">
        <v>38</v>
      </c>
      <c r="AE66" s="79" t="s">
        <v>165</v>
      </c>
      <c r="AF66" s="79" t="s">
        <v>166</v>
      </c>
      <c r="AG66" s="80" t="s">
        <v>167</v>
      </c>
      <c r="AH66" s="79"/>
      <c r="AI66" s="53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</row>
    <row r="67" spans="1:110" ht="13.8" x14ac:dyDescent="0.25">
      <c r="A67" s="10">
        <v>1101240</v>
      </c>
      <c r="B67" s="11" t="s">
        <v>30</v>
      </c>
      <c r="C67" s="16" t="s">
        <v>168</v>
      </c>
      <c r="D67" s="10" t="s">
        <v>143</v>
      </c>
      <c r="E67" s="10" t="s">
        <v>169</v>
      </c>
      <c r="F67" s="10" t="s">
        <v>34</v>
      </c>
      <c r="G67" s="58" t="s">
        <v>170</v>
      </c>
      <c r="H67" s="10"/>
      <c r="I67" s="13"/>
      <c r="J67" s="56"/>
      <c r="K67" s="57"/>
      <c r="M67" s="15"/>
      <c r="N67" s="15"/>
      <c r="O67" s="15"/>
      <c r="P67" s="15"/>
      <c r="Q67" s="15"/>
      <c r="R67" s="15"/>
      <c r="S67" s="15"/>
      <c r="T67" s="71"/>
      <c r="U67" s="77">
        <v>0</v>
      </c>
      <c r="V67" s="77">
        <v>0</v>
      </c>
      <c r="W67" s="77">
        <v>0</v>
      </c>
      <c r="X67" s="77">
        <v>0</v>
      </c>
      <c r="Y67" s="77"/>
      <c r="Z67" s="87"/>
      <c r="AA67" s="79" t="s">
        <v>36</v>
      </c>
      <c r="AB67" s="79" t="s">
        <v>37</v>
      </c>
      <c r="AC67" s="79" t="s">
        <v>37</v>
      </c>
      <c r="AD67" s="79" t="s">
        <v>38</v>
      </c>
      <c r="AE67" s="91" t="s">
        <v>57</v>
      </c>
      <c r="AF67" s="91" t="s">
        <v>57</v>
      </c>
      <c r="AG67" s="91" t="s">
        <v>57</v>
      </c>
      <c r="AH67" s="79"/>
      <c r="AI67" s="53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</row>
    <row r="68" spans="1:110" ht="13.8" x14ac:dyDescent="0.25">
      <c r="A68" s="125">
        <v>1101241</v>
      </c>
      <c r="B68" s="11" t="s">
        <v>30</v>
      </c>
      <c r="C68" s="16" t="s">
        <v>171</v>
      </c>
      <c r="D68" s="10" t="s">
        <v>143</v>
      </c>
      <c r="E68" s="10" t="s">
        <v>172</v>
      </c>
      <c r="F68" s="10" t="s">
        <v>34</v>
      </c>
      <c r="G68" s="55">
        <f t="shared" ref="G68:G131" si="2">IF(U68="Obsolete",U68,U68+V68)</f>
        <v>2.85</v>
      </c>
      <c r="H68" s="10">
        <v>20</v>
      </c>
      <c r="I68" s="13">
        <v>35274</v>
      </c>
      <c r="J68" s="56">
        <v>44616</v>
      </c>
      <c r="K68" s="57">
        <v>1.66</v>
      </c>
      <c r="M68" s="15"/>
      <c r="N68" s="15"/>
      <c r="O68" s="15"/>
      <c r="P68" s="15"/>
      <c r="Q68" s="15"/>
      <c r="R68" s="15"/>
      <c r="S68" s="15"/>
      <c r="T68" s="71">
        <v>2.85</v>
      </c>
      <c r="U68" s="71">
        <v>2.85</v>
      </c>
      <c r="V68" s="77">
        <v>0</v>
      </c>
      <c r="W68" s="71">
        <v>2.85</v>
      </c>
      <c r="X68" s="77">
        <v>0</v>
      </c>
      <c r="Y68" s="77" t="s">
        <v>35</v>
      </c>
      <c r="Z68" s="87">
        <v>55</v>
      </c>
      <c r="AA68" s="79" t="s">
        <v>36</v>
      </c>
      <c r="AB68" s="79" t="s">
        <v>37</v>
      </c>
      <c r="AC68" s="79" t="s">
        <v>37</v>
      </c>
      <c r="AD68" s="79" t="s">
        <v>38</v>
      </c>
      <c r="AE68" s="79" t="s">
        <v>173</v>
      </c>
      <c r="AF68" s="79" t="s">
        <v>174</v>
      </c>
      <c r="AG68" s="82" t="s">
        <v>175</v>
      </c>
      <c r="AH68" s="79"/>
      <c r="AI68" s="53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</row>
    <row r="69" spans="1:110" ht="13.8" x14ac:dyDescent="0.25">
      <c r="A69" s="10">
        <v>1101242</v>
      </c>
      <c r="B69" s="11" t="s">
        <v>30</v>
      </c>
      <c r="C69" s="16" t="s">
        <v>176</v>
      </c>
      <c r="D69" s="10" t="s">
        <v>143</v>
      </c>
      <c r="E69" s="10" t="s">
        <v>33</v>
      </c>
      <c r="F69" s="10" t="s">
        <v>34</v>
      </c>
      <c r="G69" s="55">
        <f t="shared" si="2"/>
        <v>0</v>
      </c>
      <c r="H69" s="10">
        <v>10</v>
      </c>
      <c r="I69" s="13"/>
      <c r="J69" s="56"/>
      <c r="K69" s="57"/>
      <c r="M69" s="15"/>
      <c r="N69" s="15"/>
      <c r="O69" s="15"/>
      <c r="P69" s="15"/>
      <c r="Q69" s="15"/>
      <c r="R69" s="15"/>
      <c r="S69" s="15"/>
      <c r="T69" s="71"/>
      <c r="U69" s="77">
        <v>0</v>
      </c>
      <c r="V69" s="77">
        <v>0</v>
      </c>
      <c r="W69" s="77">
        <v>0</v>
      </c>
      <c r="X69" s="77">
        <v>0</v>
      </c>
      <c r="Y69" s="77"/>
      <c r="Z69" s="87"/>
      <c r="AA69" s="79"/>
      <c r="AB69" s="79"/>
      <c r="AC69" s="79"/>
      <c r="AD69" s="79"/>
      <c r="AE69" s="79"/>
      <c r="AF69" s="79"/>
      <c r="AG69" s="92"/>
      <c r="AH69" s="79"/>
      <c r="AI69" s="53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</row>
    <row r="70" spans="1:110" ht="13.8" x14ac:dyDescent="0.25">
      <c r="A70" s="10">
        <v>1101260</v>
      </c>
      <c r="B70" s="11" t="s">
        <v>30</v>
      </c>
      <c r="C70" s="12" t="s">
        <v>177</v>
      </c>
      <c r="D70" s="11" t="s">
        <v>46</v>
      </c>
      <c r="E70" s="10" t="s">
        <v>1619</v>
      </c>
      <c r="F70" s="10" t="s">
        <v>34</v>
      </c>
      <c r="G70" s="55">
        <f t="shared" si="2"/>
        <v>4.1879999999999997</v>
      </c>
      <c r="H70" s="10">
        <v>10</v>
      </c>
      <c r="I70" s="13">
        <v>2200</v>
      </c>
      <c r="J70" s="56">
        <v>44461</v>
      </c>
      <c r="K70" s="57">
        <v>4.0779999999999994</v>
      </c>
      <c r="M70" s="14">
        <v>4.17</v>
      </c>
      <c r="N70" s="14"/>
      <c r="O70" s="14"/>
      <c r="P70" s="14"/>
      <c r="Q70" s="14"/>
      <c r="R70" s="14"/>
      <c r="S70" s="23"/>
      <c r="T70" s="70"/>
      <c r="U70" s="76">
        <v>4.17</v>
      </c>
      <c r="V70" s="76">
        <v>1.7999999999999999E-2</v>
      </c>
      <c r="W70" s="76">
        <v>4.17</v>
      </c>
      <c r="X70" s="76">
        <v>1.7999999999999999E-2</v>
      </c>
      <c r="Y70" s="77" t="s">
        <v>37</v>
      </c>
      <c r="Z70" s="78">
        <v>55</v>
      </c>
      <c r="AA70" s="79" t="s">
        <v>36</v>
      </c>
      <c r="AB70" s="79" t="s">
        <v>35</v>
      </c>
      <c r="AC70" s="79" t="s">
        <v>37</v>
      </c>
      <c r="AD70" s="79" t="s">
        <v>38</v>
      </c>
      <c r="AE70" s="79" t="s">
        <v>50</v>
      </c>
      <c r="AF70" s="79" t="s">
        <v>51</v>
      </c>
      <c r="AG70" s="82" t="s">
        <v>52</v>
      </c>
      <c r="AH70" s="79"/>
      <c r="AI70" s="53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</row>
    <row r="71" spans="1:110" ht="13.8" x14ac:dyDescent="0.25">
      <c r="A71" s="10">
        <v>1101261</v>
      </c>
      <c r="B71" s="11" t="s">
        <v>30</v>
      </c>
      <c r="C71" s="12" t="s">
        <v>178</v>
      </c>
      <c r="D71" s="11" t="s">
        <v>179</v>
      </c>
      <c r="E71" s="10" t="s">
        <v>1619</v>
      </c>
      <c r="F71" s="10" t="s">
        <v>34</v>
      </c>
      <c r="G71" s="55">
        <f t="shared" si="2"/>
        <v>6.19</v>
      </c>
      <c r="H71" s="10">
        <v>9</v>
      </c>
      <c r="I71" s="13">
        <v>110</v>
      </c>
      <c r="J71" s="56"/>
      <c r="K71" s="57"/>
      <c r="M71" s="14">
        <v>5.83</v>
      </c>
      <c r="N71" s="14"/>
      <c r="O71" s="14"/>
      <c r="P71" s="14"/>
      <c r="Q71" s="14"/>
      <c r="R71" s="14"/>
      <c r="S71" s="14"/>
      <c r="T71" s="70"/>
      <c r="U71" s="76">
        <v>5.83</v>
      </c>
      <c r="V71" s="76">
        <v>0.36</v>
      </c>
      <c r="W71" s="76">
        <v>5.83</v>
      </c>
      <c r="X71" s="76">
        <v>0.36</v>
      </c>
      <c r="Y71" s="77" t="s">
        <v>37</v>
      </c>
      <c r="Z71" s="78">
        <v>55</v>
      </c>
      <c r="AA71" s="79" t="s">
        <v>36</v>
      </c>
      <c r="AB71" s="79" t="s">
        <v>35</v>
      </c>
      <c r="AC71" s="79" t="s">
        <v>37</v>
      </c>
      <c r="AD71" s="79" t="s">
        <v>38</v>
      </c>
      <c r="AE71" s="79" t="s">
        <v>50</v>
      </c>
      <c r="AF71" s="79" t="s">
        <v>51</v>
      </c>
      <c r="AG71" s="82" t="s">
        <v>52</v>
      </c>
      <c r="AH71" s="79"/>
      <c r="AI71" s="53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</row>
    <row r="72" spans="1:110" ht="20.399999999999999" x14ac:dyDescent="0.25">
      <c r="A72" s="24">
        <v>1101265</v>
      </c>
      <c r="B72" s="11" t="s">
        <v>30</v>
      </c>
      <c r="C72" s="25" t="s">
        <v>180</v>
      </c>
      <c r="D72" s="26" t="s">
        <v>181</v>
      </c>
      <c r="E72" s="10" t="s">
        <v>1616</v>
      </c>
      <c r="F72" s="10" t="s">
        <v>34</v>
      </c>
      <c r="G72" s="55">
        <f t="shared" si="2"/>
        <v>2.9268000000000001</v>
      </c>
      <c r="H72" s="10">
        <v>4</v>
      </c>
      <c r="I72" s="13">
        <v>1650</v>
      </c>
      <c r="J72" s="56">
        <v>44441</v>
      </c>
      <c r="K72" s="57">
        <v>2.5568</v>
      </c>
      <c r="M72" s="14"/>
      <c r="N72" s="14"/>
      <c r="O72" s="14">
        <v>2.66</v>
      </c>
      <c r="P72" s="14"/>
      <c r="Q72" s="14"/>
      <c r="R72" s="14"/>
      <c r="S72" s="14"/>
      <c r="T72" s="70"/>
      <c r="U72" s="76">
        <v>2.66</v>
      </c>
      <c r="V72" s="76">
        <v>0.26679999999999998</v>
      </c>
      <c r="W72" s="76">
        <v>2.66</v>
      </c>
      <c r="X72" s="76">
        <f>0.045+0.1401</f>
        <v>0.18509999999999999</v>
      </c>
      <c r="Y72" s="77" t="s">
        <v>35</v>
      </c>
      <c r="Z72" s="87">
        <v>55</v>
      </c>
      <c r="AA72" s="79" t="s">
        <v>36</v>
      </c>
      <c r="AB72" s="79" t="s">
        <v>35</v>
      </c>
      <c r="AC72" s="79" t="s">
        <v>37</v>
      </c>
      <c r="AD72" s="79" t="s">
        <v>38</v>
      </c>
      <c r="AE72" s="79" t="s">
        <v>182</v>
      </c>
      <c r="AF72" s="79" t="s">
        <v>183</v>
      </c>
      <c r="AG72" s="94" t="s">
        <v>184</v>
      </c>
      <c r="AH72" s="79"/>
      <c r="AI72" s="53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</row>
    <row r="73" spans="1:110" ht="13.8" x14ac:dyDescent="0.25">
      <c r="A73" s="24">
        <v>1101266</v>
      </c>
      <c r="B73" s="11" t="s">
        <v>30</v>
      </c>
      <c r="C73" s="25" t="s">
        <v>185</v>
      </c>
      <c r="D73" s="26" t="s">
        <v>181</v>
      </c>
      <c r="E73" s="10" t="s">
        <v>1616</v>
      </c>
      <c r="F73" s="10" t="s">
        <v>34</v>
      </c>
      <c r="G73" s="55">
        <f t="shared" si="2"/>
        <v>2.9268000000000001</v>
      </c>
      <c r="H73" s="10">
        <v>4</v>
      </c>
      <c r="I73" s="13">
        <v>1650</v>
      </c>
      <c r="J73" s="56">
        <v>44441</v>
      </c>
      <c r="K73" s="57">
        <v>2.5568</v>
      </c>
      <c r="M73" s="14"/>
      <c r="N73" s="14"/>
      <c r="O73" s="14">
        <v>2.66</v>
      </c>
      <c r="P73" s="14"/>
      <c r="Q73" s="14"/>
      <c r="R73" s="14"/>
      <c r="S73" s="14"/>
      <c r="T73" s="70"/>
      <c r="U73" s="76">
        <v>2.66</v>
      </c>
      <c r="V73" s="76">
        <v>0.26679999999999998</v>
      </c>
      <c r="W73" s="76">
        <v>2.66</v>
      </c>
      <c r="X73" s="76">
        <f>0.045+0.1401</f>
        <v>0.18509999999999999</v>
      </c>
      <c r="Y73" s="77" t="s">
        <v>35</v>
      </c>
      <c r="Z73" s="95">
        <v>55</v>
      </c>
      <c r="AA73" s="83" t="s">
        <v>36</v>
      </c>
      <c r="AB73" s="83" t="s">
        <v>186</v>
      </c>
      <c r="AC73" s="79" t="s">
        <v>37</v>
      </c>
      <c r="AD73" s="79" t="s">
        <v>38</v>
      </c>
      <c r="AE73" s="79" t="s">
        <v>182</v>
      </c>
      <c r="AF73" s="79" t="s">
        <v>183</v>
      </c>
      <c r="AG73" s="79" t="s">
        <v>184</v>
      </c>
      <c r="AH73" s="96"/>
      <c r="AI73" s="73"/>
      <c r="AJ73" s="27"/>
      <c r="AK73" s="28"/>
      <c r="AL73" s="27"/>
      <c r="AM73" s="28"/>
      <c r="AN73" s="27"/>
      <c r="AO73" s="28"/>
      <c r="AP73" s="27"/>
      <c r="AQ73" s="28"/>
      <c r="AR73" s="27"/>
      <c r="AS73" s="28"/>
      <c r="AT73" s="27"/>
      <c r="AU73" s="28"/>
      <c r="AV73" s="27"/>
      <c r="AW73" s="28"/>
      <c r="AX73" s="27"/>
      <c r="AY73" s="28"/>
      <c r="AZ73" s="27"/>
      <c r="BA73" s="28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</row>
    <row r="74" spans="1:110" ht="13.8" x14ac:dyDescent="0.25">
      <c r="A74" s="10">
        <v>1101267</v>
      </c>
      <c r="B74" s="11" t="s">
        <v>30</v>
      </c>
      <c r="C74" s="16" t="s">
        <v>187</v>
      </c>
      <c r="D74" s="10" t="s">
        <v>32</v>
      </c>
      <c r="E74" s="10" t="s">
        <v>188</v>
      </c>
      <c r="F74" s="10" t="s">
        <v>34</v>
      </c>
      <c r="G74" s="55" t="str">
        <f t="shared" si="2"/>
        <v>Obsolete</v>
      </c>
      <c r="H74" s="10">
        <v>1</v>
      </c>
      <c r="I74" s="13"/>
      <c r="J74" s="56"/>
      <c r="K74" s="57"/>
      <c r="M74" s="15"/>
      <c r="N74" s="15"/>
      <c r="O74" s="15"/>
      <c r="P74" s="15"/>
      <c r="Q74" s="15"/>
      <c r="R74" s="15"/>
      <c r="S74" s="15"/>
      <c r="T74" s="71"/>
      <c r="U74" s="77" t="s">
        <v>54</v>
      </c>
      <c r="V74" s="77"/>
      <c r="W74" s="77" t="s">
        <v>54</v>
      </c>
      <c r="X74" s="77"/>
      <c r="Y74" s="77"/>
      <c r="Z74" s="87">
        <v>1300</v>
      </c>
      <c r="AA74" s="79" t="s">
        <v>189</v>
      </c>
      <c r="AB74" s="79" t="s">
        <v>35</v>
      </c>
      <c r="AC74" s="79" t="s">
        <v>35</v>
      </c>
      <c r="AD74" s="79"/>
      <c r="AE74" s="79" t="s">
        <v>190</v>
      </c>
      <c r="AF74" s="79" t="s">
        <v>191</v>
      </c>
      <c r="AG74" s="79" t="s">
        <v>192</v>
      </c>
      <c r="AH74" s="96"/>
      <c r="AI74" s="73"/>
      <c r="AJ74" s="27"/>
      <c r="AK74" s="28"/>
      <c r="AL74" s="27"/>
      <c r="AM74" s="28"/>
      <c r="AN74" s="27"/>
      <c r="AO74" s="28"/>
      <c r="AP74" s="27"/>
      <c r="AQ74" s="28"/>
      <c r="AR74" s="27"/>
      <c r="AS74" s="28"/>
      <c r="AT74" s="27"/>
      <c r="AU74" s="28"/>
      <c r="AV74" s="27"/>
      <c r="AW74" s="28"/>
      <c r="AX74" s="27"/>
      <c r="AY74" s="28"/>
      <c r="AZ74" s="27"/>
      <c r="BA74" s="28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</row>
    <row r="75" spans="1:110" ht="13.8" x14ac:dyDescent="0.25">
      <c r="A75" s="10">
        <v>1102003</v>
      </c>
      <c r="B75" s="11" t="s">
        <v>30</v>
      </c>
      <c r="C75" s="12" t="s">
        <v>193</v>
      </c>
      <c r="D75" s="11" t="s">
        <v>66</v>
      </c>
      <c r="E75" s="10" t="s">
        <v>194</v>
      </c>
      <c r="F75" s="10" t="s">
        <v>34</v>
      </c>
      <c r="G75" s="55">
        <f t="shared" si="2"/>
        <v>1.02</v>
      </c>
      <c r="H75" s="10">
        <v>2</v>
      </c>
      <c r="I75" s="13">
        <v>1650</v>
      </c>
      <c r="J75" s="56"/>
      <c r="K75" s="57"/>
      <c r="M75" s="14"/>
      <c r="N75" s="14"/>
      <c r="O75" s="14"/>
      <c r="P75" s="14"/>
      <c r="Q75" s="14"/>
      <c r="R75" s="14"/>
      <c r="S75" s="14"/>
      <c r="T75" s="70"/>
      <c r="U75" s="76">
        <v>1.01</v>
      </c>
      <c r="V75" s="76">
        <v>0.01</v>
      </c>
      <c r="W75" s="76">
        <v>1.01</v>
      </c>
      <c r="X75" s="76">
        <v>0.01</v>
      </c>
      <c r="Y75" s="89"/>
      <c r="Z75" s="78">
        <v>1650</v>
      </c>
      <c r="AA75" s="79" t="s">
        <v>36</v>
      </c>
      <c r="AB75" s="79" t="s">
        <v>37</v>
      </c>
      <c r="AC75" s="79" t="s">
        <v>37</v>
      </c>
      <c r="AD75" s="79"/>
      <c r="AE75" s="79" t="s">
        <v>195</v>
      </c>
      <c r="AF75" s="79" t="s">
        <v>196</v>
      </c>
      <c r="AG75" s="79" t="s">
        <v>197</v>
      </c>
      <c r="AH75" s="96"/>
      <c r="AI75" s="73"/>
      <c r="AJ75" s="27"/>
      <c r="AK75" s="28"/>
      <c r="AL75" s="27"/>
      <c r="AM75" s="28"/>
      <c r="AN75" s="27"/>
      <c r="AO75" s="28"/>
      <c r="AP75" s="27"/>
      <c r="AQ75" s="28"/>
      <c r="AR75" s="27"/>
      <c r="AS75" s="28"/>
      <c r="AT75" s="27"/>
      <c r="AU75" s="28"/>
      <c r="AV75" s="27"/>
      <c r="AW75" s="28"/>
      <c r="AX75" s="27"/>
      <c r="AY75" s="28"/>
      <c r="AZ75" s="27"/>
      <c r="BA75" s="28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</row>
    <row r="76" spans="1:110" ht="13.8" x14ac:dyDescent="0.25">
      <c r="A76" s="24">
        <v>1102004</v>
      </c>
      <c r="B76" s="11" t="s">
        <v>30</v>
      </c>
      <c r="C76" s="25" t="s">
        <v>198</v>
      </c>
      <c r="D76" s="26" t="s">
        <v>66</v>
      </c>
      <c r="E76" s="10" t="s">
        <v>36</v>
      </c>
      <c r="F76" s="10" t="s">
        <v>34</v>
      </c>
      <c r="G76" s="55" t="str">
        <f t="shared" si="2"/>
        <v>Obsolete</v>
      </c>
      <c r="H76" s="10">
        <v>7</v>
      </c>
      <c r="I76" s="13">
        <v>1100</v>
      </c>
      <c r="J76" s="56"/>
      <c r="K76" s="57"/>
      <c r="M76" s="14"/>
      <c r="N76" s="14"/>
      <c r="O76" s="14">
        <v>2.29</v>
      </c>
      <c r="P76" s="14"/>
      <c r="Q76" s="14"/>
      <c r="R76" s="14"/>
      <c r="S76" s="14"/>
      <c r="T76" s="70"/>
      <c r="U76" s="76" t="s">
        <v>54</v>
      </c>
      <c r="V76" s="76"/>
      <c r="W76" s="76" t="s">
        <v>54</v>
      </c>
      <c r="X76" s="76"/>
      <c r="Y76" s="89"/>
      <c r="Z76" s="87">
        <v>1100</v>
      </c>
      <c r="AA76" s="79" t="s">
        <v>36</v>
      </c>
      <c r="AB76" s="79" t="s">
        <v>37</v>
      </c>
      <c r="AC76" s="79" t="s">
        <v>37</v>
      </c>
      <c r="AD76" s="79"/>
      <c r="AE76" s="79"/>
      <c r="AF76" s="79"/>
      <c r="AG76" s="79"/>
      <c r="AH76" s="96"/>
      <c r="AI76" s="73"/>
      <c r="AJ76" s="27"/>
      <c r="AK76" s="28"/>
      <c r="AL76" s="27"/>
      <c r="AM76" s="28"/>
      <c r="AN76" s="27"/>
      <c r="AO76" s="28"/>
      <c r="AP76" s="27"/>
      <c r="AQ76" s="28"/>
      <c r="AR76" s="27"/>
      <c r="AS76" s="28"/>
      <c r="AT76" s="27"/>
      <c r="AU76" s="28"/>
      <c r="AV76" s="27"/>
      <c r="AW76" s="28"/>
      <c r="AX76" s="27"/>
      <c r="AY76" s="28"/>
      <c r="AZ76" s="27"/>
      <c r="BA76" s="28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</row>
    <row r="77" spans="1:110" ht="13.8" x14ac:dyDescent="0.25">
      <c r="A77" s="24">
        <v>1102005</v>
      </c>
      <c r="B77" s="11" t="s">
        <v>30</v>
      </c>
      <c r="C77" s="25" t="s">
        <v>199</v>
      </c>
      <c r="D77" s="26" t="s">
        <v>66</v>
      </c>
      <c r="E77" s="10" t="s">
        <v>33</v>
      </c>
      <c r="F77" s="10" t="s">
        <v>34</v>
      </c>
      <c r="G77" s="55" t="str">
        <f t="shared" si="2"/>
        <v>Obsolete</v>
      </c>
      <c r="H77" s="10">
        <v>6</v>
      </c>
      <c r="I77" s="13"/>
      <c r="J77" s="56"/>
      <c r="K77" s="57"/>
      <c r="M77" s="14"/>
      <c r="N77" s="14"/>
      <c r="O77" s="14"/>
      <c r="P77" s="14"/>
      <c r="Q77" s="14"/>
      <c r="R77" s="14"/>
      <c r="S77" s="14"/>
      <c r="T77" s="70"/>
      <c r="U77" s="76" t="s">
        <v>54</v>
      </c>
      <c r="V77" s="76"/>
      <c r="W77" s="76" t="s">
        <v>54</v>
      </c>
      <c r="X77" s="76"/>
      <c r="Y77" s="77"/>
      <c r="Z77" s="78"/>
      <c r="AA77" s="79" t="s">
        <v>189</v>
      </c>
      <c r="AB77" s="79" t="s">
        <v>37</v>
      </c>
      <c r="AC77" s="79" t="s">
        <v>37</v>
      </c>
      <c r="AD77" s="79"/>
      <c r="AE77" s="79" t="s">
        <v>39</v>
      </c>
      <c r="AF77" s="79" t="s">
        <v>40</v>
      </c>
      <c r="AG77" s="79" t="s">
        <v>41</v>
      </c>
      <c r="AH77" s="96"/>
      <c r="AI77" s="73"/>
      <c r="AJ77" s="27"/>
      <c r="AK77" s="28"/>
      <c r="AL77" s="27"/>
      <c r="AM77" s="28"/>
      <c r="AN77" s="27"/>
      <c r="AO77" s="28"/>
      <c r="AP77" s="27"/>
      <c r="AQ77" s="28"/>
      <c r="AR77" s="27"/>
      <c r="AS77" s="28"/>
      <c r="AT77" s="27"/>
      <c r="AU77" s="28"/>
      <c r="AV77" s="27"/>
      <c r="AW77" s="28"/>
      <c r="AX77" s="27"/>
      <c r="AY77" s="28"/>
      <c r="AZ77" s="27"/>
      <c r="BA77" s="28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</row>
    <row r="78" spans="1:110" ht="13.8" x14ac:dyDescent="0.25">
      <c r="A78" s="24">
        <v>1102006</v>
      </c>
      <c r="B78" s="11" t="s">
        <v>30</v>
      </c>
      <c r="C78" s="25" t="s">
        <v>200</v>
      </c>
      <c r="D78" s="26" t="s">
        <v>66</v>
      </c>
      <c r="E78" s="10" t="s">
        <v>194</v>
      </c>
      <c r="F78" s="10" t="s">
        <v>34</v>
      </c>
      <c r="G78" s="55" t="str">
        <f t="shared" si="2"/>
        <v>Obsolete</v>
      </c>
      <c r="H78" s="10"/>
      <c r="I78" s="13">
        <v>1650</v>
      </c>
      <c r="J78" s="56"/>
      <c r="K78" s="57"/>
      <c r="M78" s="14"/>
      <c r="N78" s="14"/>
      <c r="O78" s="14"/>
      <c r="P78" s="14">
        <v>1.3</v>
      </c>
      <c r="Q78" s="14"/>
      <c r="R78" s="14"/>
      <c r="S78" s="14"/>
      <c r="T78" s="70"/>
      <c r="U78" s="76" t="s">
        <v>54</v>
      </c>
      <c r="V78" s="76"/>
      <c r="W78" s="76" t="s">
        <v>54</v>
      </c>
      <c r="X78" s="76"/>
      <c r="Y78" s="97"/>
      <c r="Z78" s="78">
        <v>1650</v>
      </c>
      <c r="AA78" s="79" t="s">
        <v>36</v>
      </c>
      <c r="AB78" s="79" t="s">
        <v>37</v>
      </c>
      <c r="AC78" s="79" t="s">
        <v>37</v>
      </c>
      <c r="AD78" s="79"/>
      <c r="AE78" s="79" t="s">
        <v>201</v>
      </c>
      <c r="AF78" s="79" t="s">
        <v>202</v>
      </c>
      <c r="AG78" s="79" t="s">
        <v>203</v>
      </c>
      <c r="AH78" s="96"/>
      <c r="AI78" s="73"/>
      <c r="AJ78" s="27"/>
      <c r="AK78" s="28"/>
      <c r="AL78" s="27"/>
      <c r="AM78" s="28"/>
      <c r="AN78" s="27"/>
      <c r="AO78" s="28"/>
      <c r="AP78" s="27"/>
      <c r="AQ78" s="28"/>
      <c r="AR78" s="27"/>
      <c r="AS78" s="28"/>
      <c r="AT78" s="27"/>
      <c r="AU78" s="28"/>
      <c r="AV78" s="27"/>
      <c r="AW78" s="28"/>
      <c r="AX78" s="27"/>
      <c r="AY78" s="28"/>
      <c r="AZ78" s="27"/>
      <c r="BA78" s="28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</row>
    <row r="79" spans="1:110" ht="20.399999999999999" x14ac:dyDescent="0.25">
      <c r="A79" s="24">
        <v>1102007</v>
      </c>
      <c r="B79" s="11" t="s">
        <v>30</v>
      </c>
      <c r="C79" s="25" t="s">
        <v>204</v>
      </c>
      <c r="D79" s="26" t="s">
        <v>66</v>
      </c>
      <c r="E79" s="10" t="s">
        <v>205</v>
      </c>
      <c r="F79" s="10" t="s">
        <v>34</v>
      </c>
      <c r="G79" s="55" t="str">
        <f t="shared" si="2"/>
        <v>Obsolete</v>
      </c>
      <c r="H79" s="10"/>
      <c r="I79" s="13">
        <v>10000</v>
      </c>
      <c r="J79" s="56"/>
      <c r="K79" s="57"/>
      <c r="M79" s="14"/>
      <c r="N79" s="14"/>
      <c r="O79" s="14"/>
      <c r="P79" s="14"/>
      <c r="Q79" s="14"/>
      <c r="R79" s="14"/>
      <c r="S79" s="14"/>
      <c r="T79" s="70">
        <v>0.57999999999999996</v>
      </c>
      <c r="U79" s="76" t="s">
        <v>54</v>
      </c>
      <c r="V79" s="76"/>
      <c r="W79" s="76" t="s">
        <v>54</v>
      </c>
      <c r="X79" s="76"/>
      <c r="Y79" s="97"/>
      <c r="Z79" s="78"/>
      <c r="AA79" s="79" t="s">
        <v>206</v>
      </c>
      <c r="AB79" s="79" t="s">
        <v>37</v>
      </c>
      <c r="AC79" s="79" t="s">
        <v>37</v>
      </c>
      <c r="AD79" s="79"/>
      <c r="AE79" s="79" t="s">
        <v>207</v>
      </c>
      <c r="AF79" s="79" t="s">
        <v>208</v>
      </c>
      <c r="AG79" s="79" t="s">
        <v>209</v>
      </c>
      <c r="AH79" s="79"/>
      <c r="AI79" s="53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</row>
    <row r="80" spans="1:110" ht="20.399999999999999" x14ac:dyDescent="0.25">
      <c r="A80" s="24">
        <v>1102008</v>
      </c>
      <c r="B80" s="11" t="s">
        <v>30</v>
      </c>
      <c r="C80" s="25" t="s">
        <v>210</v>
      </c>
      <c r="D80" s="26" t="s">
        <v>66</v>
      </c>
      <c r="E80" s="10" t="s">
        <v>194</v>
      </c>
      <c r="F80" s="10" t="s">
        <v>34</v>
      </c>
      <c r="G80" s="55" t="str">
        <f t="shared" si="2"/>
        <v>Obsolete</v>
      </c>
      <c r="H80" s="10"/>
      <c r="I80" s="13">
        <v>55</v>
      </c>
      <c r="J80" s="56"/>
      <c r="K80" s="57"/>
      <c r="M80" s="14">
        <v>3.7</v>
      </c>
      <c r="N80" s="14"/>
      <c r="O80" s="14"/>
      <c r="P80" s="14"/>
      <c r="Q80" s="14"/>
      <c r="R80" s="14"/>
      <c r="S80" s="14"/>
      <c r="T80" s="70"/>
      <c r="U80" s="76" t="s">
        <v>54</v>
      </c>
      <c r="V80" s="76"/>
      <c r="W80" s="76" t="s">
        <v>54</v>
      </c>
      <c r="X80" s="76"/>
      <c r="Y80" s="97"/>
      <c r="Z80" s="78">
        <v>55</v>
      </c>
      <c r="AA80" s="79" t="s">
        <v>206</v>
      </c>
      <c r="AB80" s="79" t="s">
        <v>37</v>
      </c>
      <c r="AC80" s="79" t="s">
        <v>37</v>
      </c>
      <c r="AD80" s="79"/>
      <c r="AE80" s="79" t="s">
        <v>201</v>
      </c>
      <c r="AF80" s="79" t="s">
        <v>202</v>
      </c>
      <c r="AG80" s="79" t="s">
        <v>203</v>
      </c>
      <c r="AH80" s="79"/>
      <c r="AI80" s="53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</row>
    <row r="81" spans="1:110" ht="13.8" x14ac:dyDescent="0.25">
      <c r="A81" s="24">
        <v>1102009</v>
      </c>
      <c r="B81" s="11" t="s">
        <v>30</v>
      </c>
      <c r="C81" s="25" t="s">
        <v>211</v>
      </c>
      <c r="D81" s="26" t="s">
        <v>66</v>
      </c>
      <c r="E81" s="10" t="s">
        <v>132</v>
      </c>
      <c r="F81" s="10" t="s">
        <v>34</v>
      </c>
      <c r="G81" s="55">
        <f t="shared" si="2"/>
        <v>1.45</v>
      </c>
      <c r="H81" s="10">
        <v>10</v>
      </c>
      <c r="I81" s="13">
        <v>55</v>
      </c>
      <c r="J81" s="56"/>
      <c r="K81" s="57"/>
      <c r="M81" s="14">
        <v>1.45</v>
      </c>
      <c r="N81" s="14"/>
      <c r="O81" s="14"/>
      <c r="P81" s="14"/>
      <c r="Q81" s="14"/>
      <c r="R81" s="14"/>
      <c r="S81" s="14"/>
      <c r="T81" s="70"/>
      <c r="U81" s="76">
        <v>1.45</v>
      </c>
      <c r="V81" s="76">
        <v>0</v>
      </c>
      <c r="W81" s="76">
        <v>1.45</v>
      </c>
      <c r="X81" s="76">
        <v>0</v>
      </c>
      <c r="Y81" s="77" t="s">
        <v>37</v>
      </c>
      <c r="Z81" s="78">
        <v>55</v>
      </c>
      <c r="AA81" s="79" t="s">
        <v>36</v>
      </c>
      <c r="AB81" s="79" t="s">
        <v>35</v>
      </c>
      <c r="AC81" s="79" t="s">
        <v>37</v>
      </c>
      <c r="AD81" s="79" t="s">
        <v>38</v>
      </c>
      <c r="AE81" s="79" t="s">
        <v>133</v>
      </c>
      <c r="AF81" s="79" t="s">
        <v>134</v>
      </c>
      <c r="AG81" s="79" t="s">
        <v>135</v>
      </c>
      <c r="AH81" s="79"/>
      <c r="AI81" s="53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</row>
    <row r="82" spans="1:110" ht="13.8" x14ac:dyDescent="0.25">
      <c r="A82" s="24">
        <v>1102010</v>
      </c>
      <c r="B82" s="11" t="s">
        <v>30</v>
      </c>
      <c r="C82" s="25" t="s">
        <v>212</v>
      </c>
      <c r="D82" s="26" t="s">
        <v>66</v>
      </c>
      <c r="E82" s="10" t="s">
        <v>172</v>
      </c>
      <c r="F82" s="10" t="s">
        <v>34</v>
      </c>
      <c r="G82" s="55">
        <f t="shared" si="2"/>
        <v>1.8283977158212967</v>
      </c>
      <c r="H82" s="10">
        <v>20</v>
      </c>
      <c r="I82" s="13">
        <v>35724</v>
      </c>
      <c r="J82" s="56">
        <v>44273</v>
      </c>
      <c r="K82" s="57">
        <v>0.95840000000000003</v>
      </c>
      <c r="M82" s="14"/>
      <c r="N82" s="14"/>
      <c r="O82" s="14"/>
      <c r="P82" s="14"/>
      <c r="Q82" s="14"/>
      <c r="R82" s="14"/>
      <c r="S82" s="14"/>
      <c r="T82" s="70"/>
      <c r="U82" s="76">
        <v>1.82</v>
      </c>
      <c r="V82" s="76">
        <f>300/I82</f>
        <v>8.3977158212966072E-3</v>
      </c>
      <c r="W82" s="76">
        <v>1.82</v>
      </c>
      <c r="X82" s="76">
        <v>8.3977158212966072E-3</v>
      </c>
      <c r="Y82" s="77" t="s">
        <v>35</v>
      </c>
      <c r="Z82" s="78">
        <v>1763</v>
      </c>
      <c r="AA82" s="79" t="s">
        <v>121</v>
      </c>
      <c r="AB82" s="79" t="s">
        <v>35</v>
      </c>
      <c r="AC82" s="79" t="s">
        <v>37</v>
      </c>
      <c r="AD82" s="79" t="s">
        <v>38</v>
      </c>
      <c r="AE82" s="79" t="s">
        <v>173</v>
      </c>
      <c r="AF82" s="79" t="s">
        <v>174</v>
      </c>
      <c r="AG82" s="79" t="s">
        <v>175</v>
      </c>
      <c r="AH82" s="79"/>
      <c r="AI82" s="53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</row>
    <row r="83" spans="1:110" ht="13.8" x14ac:dyDescent="0.25">
      <c r="A83" s="24">
        <v>1102011</v>
      </c>
      <c r="B83" s="11" t="s">
        <v>30</v>
      </c>
      <c r="C83" s="25" t="s">
        <v>213</v>
      </c>
      <c r="D83" s="26" t="s">
        <v>66</v>
      </c>
      <c r="E83" s="10" t="s">
        <v>214</v>
      </c>
      <c r="F83" s="10" t="s">
        <v>34</v>
      </c>
      <c r="G83" s="55">
        <f t="shared" si="2"/>
        <v>0</v>
      </c>
      <c r="H83" s="10"/>
      <c r="I83" s="13"/>
      <c r="J83" s="56"/>
      <c r="K83" s="57"/>
      <c r="M83" s="14"/>
      <c r="N83" s="14"/>
      <c r="O83" s="14"/>
      <c r="P83" s="14"/>
      <c r="Q83" s="14"/>
      <c r="R83" s="14"/>
      <c r="S83" s="14"/>
      <c r="T83" s="70"/>
      <c r="U83" s="76">
        <v>0</v>
      </c>
      <c r="V83" s="76">
        <v>0</v>
      </c>
      <c r="W83" s="76">
        <v>0</v>
      </c>
      <c r="X83" s="76">
        <v>0</v>
      </c>
      <c r="Y83" s="77" t="s">
        <v>37</v>
      </c>
      <c r="Z83" s="78"/>
      <c r="AA83" s="79" t="s">
        <v>121</v>
      </c>
      <c r="AB83" s="79" t="s">
        <v>35</v>
      </c>
      <c r="AC83" s="79" t="s">
        <v>37</v>
      </c>
      <c r="AD83" s="79" t="s">
        <v>38</v>
      </c>
      <c r="AE83" s="79" t="s">
        <v>215</v>
      </c>
      <c r="AF83" s="79"/>
      <c r="AG83" s="79"/>
      <c r="AH83" s="79"/>
      <c r="AI83" s="53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</row>
    <row r="84" spans="1:110" ht="13.8" x14ac:dyDescent="0.25">
      <c r="A84" s="24">
        <v>1102012</v>
      </c>
      <c r="B84" s="11" t="s">
        <v>30</v>
      </c>
      <c r="C84" s="25" t="s">
        <v>216</v>
      </c>
      <c r="D84" s="26" t="s">
        <v>66</v>
      </c>
      <c r="E84" s="10" t="s">
        <v>172</v>
      </c>
      <c r="F84" s="10" t="s">
        <v>34</v>
      </c>
      <c r="G84" s="55">
        <f t="shared" si="2"/>
        <v>1.7785</v>
      </c>
      <c r="H84" s="10">
        <v>20</v>
      </c>
      <c r="I84" s="13">
        <v>35724</v>
      </c>
      <c r="J84" s="56">
        <v>44390</v>
      </c>
      <c r="K84" s="57">
        <v>1.7783977158212967</v>
      </c>
      <c r="M84" s="14"/>
      <c r="N84" s="14" t="s">
        <v>1608</v>
      </c>
      <c r="O84" s="14"/>
      <c r="P84" s="14"/>
      <c r="Q84" s="14"/>
      <c r="R84" s="14"/>
      <c r="S84" s="14"/>
      <c r="T84" s="70"/>
      <c r="U84" s="76">
        <v>1.2789999999999999</v>
      </c>
      <c r="V84" s="76">
        <f>0.008+0.4915</f>
        <v>0.4995</v>
      </c>
      <c r="W84" s="76">
        <v>1.2789999999999999</v>
      </c>
      <c r="X84" s="76">
        <f>0.008+0.4915</f>
        <v>0.4995</v>
      </c>
      <c r="Y84" s="77" t="s">
        <v>37</v>
      </c>
      <c r="Z84" s="78"/>
      <c r="AA84" s="79" t="s">
        <v>121</v>
      </c>
      <c r="AB84" s="79" t="s">
        <v>35</v>
      </c>
      <c r="AC84" s="79" t="s">
        <v>37</v>
      </c>
      <c r="AD84" s="79" t="s">
        <v>38</v>
      </c>
      <c r="AE84" s="79" t="s">
        <v>173</v>
      </c>
      <c r="AF84" s="79" t="s">
        <v>174</v>
      </c>
      <c r="AG84" s="79" t="s">
        <v>175</v>
      </c>
      <c r="AH84" s="79"/>
      <c r="AI84" s="53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</row>
    <row r="85" spans="1:110" ht="13.8" x14ac:dyDescent="0.25">
      <c r="A85" s="24">
        <v>1102013</v>
      </c>
      <c r="B85" s="11" t="s">
        <v>30</v>
      </c>
      <c r="C85" s="25" t="s">
        <v>217</v>
      </c>
      <c r="D85" s="26" t="s">
        <v>66</v>
      </c>
      <c r="E85" s="10" t="s">
        <v>214</v>
      </c>
      <c r="F85" s="10" t="s">
        <v>34</v>
      </c>
      <c r="G85" s="55">
        <f t="shared" si="2"/>
        <v>0</v>
      </c>
      <c r="H85" s="10"/>
      <c r="I85" s="13"/>
      <c r="J85" s="56"/>
      <c r="K85" s="57"/>
      <c r="M85" s="14"/>
      <c r="N85" s="14"/>
      <c r="O85" s="14"/>
      <c r="P85" s="14"/>
      <c r="Q85" s="14"/>
      <c r="R85" s="14"/>
      <c r="S85" s="14"/>
      <c r="T85" s="70"/>
      <c r="U85" s="76">
        <v>0</v>
      </c>
      <c r="V85" s="76">
        <v>0</v>
      </c>
      <c r="W85" s="76">
        <v>0</v>
      </c>
      <c r="X85" s="76">
        <v>0</v>
      </c>
      <c r="Y85" s="77" t="s">
        <v>37</v>
      </c>
      <c r="Z85" s="78"/>
      <c r="AA85" s="79"/>
      <c r="AB85" s="79"/>
      <c r="AC85" s="79"/>
      <c r="AD85" s="79"/>
      <c r="AE85" s="79"/>
      <c r="AF85" s="79"/>
      <c r="AG85" s="79"/>
      <c r="AH85" s="79"/>
      <c r="AI85" s="53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</row>
    <row r="86" spans="1:110" ht="13.8" x14ac:dyDescent="0.25">
      <c r="A86" s="24">
        <v>1102014</v>
      </c>
      <c r="B86" s="11" t="s">
        <v>30</v>
      </c>
      <c r="C86" s="25" t="s">
        <v>218</v>
      </c>
      <c r="D86" s="26" t="s">
        <v>66</v>
      </c>
      <c r="E86" s="10" t="s">
        <v>33</v>
      </c>
      <c r="F86" s="10" t="s">
        <v>34</v>
      </c>
      <c r="G86" s="55">
        <f t="shared" si="2"/>
        <v>3.2789999999999999</v>
      </c>
      <c r="H86" s="10">
        <v>6</v>
      </c>
      <c r="I86" s="13">
        <v>1500</v>
      </c>
      <c r="J86" s="56">
        <v>44348</v>
      </c>
      <c r="K86" s="57">
        <v>3.098332221480987</v>
      </c>
      <c r="M86" s="14"/>
      <c r="N86" s="14"/>
      <c r="O86" s="14"/>
      <c r="P86" s="14"/>
      <c r="Q86" s="14">
        <v>3.2789999999999999</v>
      </c>
      <c r="R86" s="14"/>
      <c r="S86" s="14"/>
      <c r="T86" s="70"/>
      <c r="U86" s="76">
        <v>3.2789999999999999</v>
      </c>
      <c r="V86" s="76">
        <v>0</v>
      </c>
      <c r="W86" s="76">
        <v>3.2789999999999999</v>
      </c>
      <c r="X86" s="76">
        <v>0</v>
      </c>
      <c r="Y86" s="77" t="s">
        <v>37</v>
      </c>
      <c r="Z86" s="78"/>
      <c r="AA86" s="79" t="s">
        <v>121</v>
      </c>
      <c r="AB86" s="79" t="s">
        <v>35</v>
      </c>
      <c r="AC86" s="79" t="s">
        <v>37</v>
      </c>
      <c r="AD86" s="79" t="s">
        <v>38</v>
      </c>
      <c r="AE86" s="79"/>
      <c r="AF86" s="79"/>
      <c r="AG86" s="79"/>
      <c r="AH86" s="79"/>
      <c r="AI86" s="53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</row>
    <row r="87" spans="1:110" ht="13.8" x14ac:dyDescent="0.25">
      <c r="A87" s="24">
        <v>1102015</v>
      </c>
      <c r="B87" s="11" t="s">
        <v>30</v>
      </c>
      <c r="C87" s="25" t="s">
        <v>1501</v>
      </c>
      <c r="D87" s="26" t="s">
        <v>66</v>
      </c>
      <c r="E87" s="10" t="s">
        <v>172</v>
      </c>
      <c r="F87" s="10" t="s">
        <v>34</v>
      </c>
      <c r="G87" s="55">
        <f t="shared" si="2"/>
        <v>0</v>
      </c>
      <c r="H87" s="10">
        <v>20</v>
      </c>
      <c r="I87" s="13">
        <v>8800</v>
      </c>
      <c r="J87" s="56"/>
      <c r="K87" s="57"/>
      <c r="M87" s="14"/>
      <c r="N87" s="14"/>
      <c r="O87" s="14"/>
      <c r="P87" s="14"/>
      <c r="Q87" s="14"/>
      <c r="R87" s="14"/>
      <c r="S87" s="14"/>
      <c r="T87" s="70"/>
      <c r="U87" s="76">
        <v>0</v>
      </c>
      <c r="V87" s="76">
        <v>0</v>
      </c>
      <c r="W87" s="76">
        <v>0</v>
      </c>
      <c r="X87" s="76">
        <v>0</v>
      </c>
      <c r="Y87" s="77" t="s">
        <v>37</v>
      </c>
      <c r="Z87" s="78"/>
      <c r="AA87" s="79" t="s">
        <v>121</v>
      </c>
      <c r="AB87" s="79" t="s">
        <v>35</v>
      </c>
      <c r="AC87" s="79" t="s">
        <v>37</v>
      </c>
      <c r="AD87" s="79" t="s">
        <v>38</v>
      </c>
      <c r="AE87" s="79" t="s">
        <v>173</v>
      </c>
      <c r="AF87" s="79" t="s">
        <v>174</v>
      </c>
      <c r="AG87" s="79" t="s">
        <v>175</v>
      </c>
      <c r="AH87" s="79"/>
      <c r="AI87" s="53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</row>
    <row r="88" spans="1:110" ht="13.8" x14ac:dyDescent="0.25">
      <c r="A88" s="24">
        <v>1102016</v>
      </c>
      <c r="B88" s="11" t="s">
        <v>30</v>
      </c>
      <c r="C88" s="25" t="s">
        <v>1514</v>
      </c>
      <c r="D88" s="26" t="s">
        <v>66</v>
      </c>
      <c r="E88" s="10" t="s">
        <v>172</v>
      </c>
      <c r="F88" s="10" t="s">
        <v>34</v>
      </c>
      <c r="G88" s="55">
        <f t="shared" si="2"/>
        <v>1.0449999999999999</v>
      </c>
      <c r="H88" s="10">
        <v>20</v>
      </c>
      <c r="I88" s="13">
        <v>8800</v>
      </c>
      <c r="J88" s="56"/>
      <c r="K88" s="57"/>
      <c r="M88" s="14"/>
      <c r="N88" s="14"/>
      <c r="O88" s="14"/>
      <c r="P88" s="14"/>
      <c r="Q88" s="14"/>
      <c r="R88" s="14"/>
      <c r="S88" s="14"/>
      <c r="T88" s="70"/>
      <c r="U88" s="76">
        <v>1</v>
      </c>
      <c r="V88" s="76">
        <v>4.4999999999999998E-2</v>
      </c>
      <c r="W88" s="76">
        <v>1</v>
      </c>
      <c r="X88" s="76">
        <v>0</v>
      </c>
      <c r="Y88" s="77" t="s">
        <v>35</v>
      </c>
      <c r="Z88" s="78"/>
      <c r="AA88" s="79" t="s">
        <v>121</v>
      </c>
      <c r="AB88" s="79" t="s">
        <v>35</v>
      </c>
      <c r="AC88" s="79" t="s">
        <v>37</v>
      </c>
      <c r="AD88" s="79" t="s">
        <v>38</v>
      </c>
      <c r="AE88" s="79" t="s">
        <v>173</v>
      </c>
      <c r="AF88" s="79" t="s">
        <v>174</v>
      </c>
      <c r="AG88" s="79" t="s">
        <v>175</v>
      </c>
      <c r="AH88" s="79"/>
      <c r="AI88" s="53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</row>
    <row r="89" spans="1:110" ht="13.8" x14ac:dyDescent="0.25">
      <c r="A89" s="122">
        <v>1102017</v>
      </c>
      <c r="B89" s="11" t="s">
        <v>30</v>
      </c>
      <c r="C89" s="25" t="s">
        <v>1571</v>
      </c>
      <c r="D89" s="26" t="s">
        <v>66</v>
      </c>
      <c r="E89" s="10" t="s">
        <v>214</v>
      </c>
      <c r="F89" s="10" t="s">
        <v>34</v>
      </c>
      <c r="G89" s="55">
        <f t="shared" si="2"/>
        <v>1.7496511562083261</v>
      </c>
      <c r="H89" s="10">
        <v>10</v>
      </c>
      <c r="I89" s="13">
        <f>10000*2.20462</f>
        <v>22046.199999999997</v>
      </c>
      <c r="J89" s="56">
        <v>44616</v>
      </c>
      <c r="K89" s="57">
        <v>1.7977000000000001</v>
      </c>
      <c r="M89" s="14"/>
      <c r="N89" s="14"/>
      <c r="O89" s="14"/>
      <c r="P89" s="14"/>
      <c r="Q89" s="14"/>
      <c r="R89" s="14"/>
      <c r="S89" s="14"/>
      <c r="T89" s="70"/>
      <c r="U89" s="76">
        <f>2.714/2.20462</f>
        <v>1.2310511562083262</v>
      </c>
      <c r="V89" s="76">
        <v>0.51859999999999995</v>
      </c>
      <c r="W89" s="76">
        <f>2.714/2.20462</f>
        <v>1.2310511562083262</v>
      </c>
      <c r="X89" s="76">
        <f>22972.94/44300</f>
        <v>0.51857652370203156</v>
      </c>
      <c r="Y89" s="77" t="s">
        <v>35</v>
      </c>
      <c r="Z89" s="78"/>
      <c r="AA89" s="79" t="s">
        <v>121</v>
      </c>
      <c r="AB89" s="79" t="s">
        <v>35</v>
      </c>
      <c r="AC89" s="79" t="s">
        <v>37</v>
      </c>
      <c r="AD89" s="79" t="s">
        <v>38</v>
      </c>
      <c r="AE89" s="79" t="s">
        <v>1568</v>
      </c>
      <c r="AF89" s="79" t="s">
        <v>1569</v>
      </c>
      <c r="AG89" s="79" t="s">
        <v>1570</v>
      </c>
      <c r="AH89" s="79"/>
      <c r="AI89" s="53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</row>
    <row r="90" spans="1:110" ht="13.8" x14ac:dyDescent="0.25">
      <c r="A90" s="24">
        <v>1103001</v>
      </c>
      <c r="B90" s="11" t="s">
        <v>30</v>
      </c>
      <c r="C90" s="12" t="s">
        <v>219</v>
      </c>
      <c r="D90" s="11" t="s">
        <v>32</v>
      </c>
      <c r="E90" s="10" t="s">
        <v>220</v>
      </c>
      <c r="F90" s="10" t="s">
        <v>34</v>
      </c>
      <c r="G90" s="55">
        <f t="shared" si="2"/>
        <v>4.3449999999999998</v>
      </c>
      <c r="H90" s="10">
        <v>6</v>
      </c>
      <c r="I90" s="13">
        <v>330</v>
      </c>
      <c r="J90" s="56">
        <v>44489</v>
      </c>
      <c r="K90" s="57">
        <v>4.03</v>
      </c>
      <c r="M90" s="14">
        <v>4.3</v>
      </c>
      <c r="N90" s="14"/>
      <c r="O90" s="14"/>
      <c r="P90" s="14"/>
      <c r="Q90" s="14"/>
      <c r="R90" s="14"/>
      <c r="S90" s="14"/>
      <c r="T90" s="70"/>
      <c r="U90" s="76">
        <v>4.3</v>
      </c>
      <c r="V90" s="76">
        <f>0.045</f>
        <v>4.4999999999999998E-2</v>
      </c>
      <c r="W90" s="76">
        <v>4.3</v>
      </c>
      <c r="X90" s="76">
        <f>0.045</f>
        <v>4.4999999999999998E-2</v>
      </c>
      <c r="Y90" s="77" t="s">
        <v>37</v>
      </c>
      <c r="Z90" s="78">
        <v>55</v>
      </c>
      <c r="AA90" s="79" t="s">
        <v>36</v>
      </c>
      <c r="AB90" s="79" t="s">
        <v>35</v>
      </c>
      <c r="AC90" s="79" t="s">
        <v>37</v>
      </c>
      <c r="AD90" s="79" t="s">
        <v>38</v>
      </c>
      <c r="AE90" s="79" t="s">
        <v>221</v>
      </c>
      <c r="AF90" s="79" t="s">
        <v>222</v>
      </c>
      <c r="AG90" s="79" t="s">
        <v>223</v>
      </c>
      <c r="AH90" s="79"/>
      <c r="AI90" s="53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</row>
    <row r="91" spans="1:110" ht="13.8" x14ac:dyDescent="0.25">
      <c r="A91" s="24">
        <v>1103003</v>
      </c>
      <c r="B91" s="11" t="s">
        <v>30</v>
      </c>
      <c r="C91" s="12" t="s">
        <v>224</v>
      </c>
      <c r="D91" s="11" t="s">
        <v>32</v>
      </c>
      <c r="E91" s="10" t="s">
        <v>225</v>
      </c>
      <c r="F91" s="10" t="s">
        <v>34</v>
      </c>
      <c r="G91" s="55" t="str">
        <f t="shared" si="2"/>
        <v>Obsolete</v>
      </c>
      <c r="H91" s="10">
        <v>12</v>
      </c>
      <c r="I91" s="13"/>
      <c r="J91" s="56"/>
      <c r="K91" s="57"/>
      <c r="M91" s="14"/>
      <c r="N91" s="14"/>
      <c r="O91" s="14"/>
      <c r="P91" s="14"/>
      <c r="Q91" s="14"/>
      <c r="R91" s="14"/>
      <c r="S91" s="14"/>
      <c r="T91" s="70"/>
      <c r="U91" s="76" t="s">
        <v>54</v>
      </c>
      <c r="V91" s="76"/>
      <c r="W91" s="76" t="s">
        <v>54</v>
      </c>
      <c r="X91" s="76"/>
      <c r="Y91" s="97"/>
      <c r="Z91" s="78"/>
      <c r="AA91" s="79" t="s">
        <v>64</v>
      </c>
      <c r="AB91" s="79" t="s">
        <v>37</v>
      </c>
      <c r="AC91" s="79" t="s">
        <v>37</v>
      </c>
      <c r="AD91" s="91" t="s">
        <v>57</v>
      </c>
      <c r="AE91" s="79" t="s">
        <v>226</v>
      </c>
      <c r="AF91" s="79" t="s">
        <v>227</v>
      </c>
      <c r="AG91" s="79" t="s">
        <v>228</v>
      </c>
      <c r="AH91" s="79"/>
      <c r="AI91" s="53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</row>
    <row r="92" spans="1:110" ht="13.8" x14ac:dyDescent="0.25">
      <c r="A92" s="24">
        <v>1103004</v>
      </c>
      <c r="B92" s="11" t="s">
        <v>30</v>
      </c>
      <c r="C92" s="12" t="s">
        <v>229</v>
      </c>
      <c r="D92" s="11" t="s">
        <v>32</v>
      </c>
      <c r="E92" s="10" t="s">
        <v>230</v>
      </c>
      <c r="F92" s="10" t="s">
        <v>34</v>
      </c>
      <c r="G92" s="55" t="str">
        <f t="shared" si="2"/>
        <v>Obsolete</v>
      </c>
      <c r="H92" s="10">
        <v>12</v>
      </c>
      <c r="I92" s="13"/>
      <c r="J92" s="56"/>
      <c r="K92" s="57"/>
      <c r="M92" s="14"/>
      <c r="N92" s="14"/>
      <c r="O92" s="14"/>
      <c r="P92" s="14"/>
      <c r="Q92" s="14"/>
      <c r="R92" s="14"/>
      <c r="S92" s="14"/>
      <c r="T92" s="70">
        <v>2.95</v>
      </c>
      <c r="U92" s="76" t="s">
        <v>54</v>
      </c>
      <c r="V92" s="76"/>
      <c r="W92" s="76" t="s">
        <v>54</v>
      </c>
      <c r="X92" s="76"/>
      <c r="Y92" s="97"/>
      <c r="Z92" s="78"/>
      <c r="AA92" s="79" t="s">
        <v>64</v>
      </c>
      <c r="AB92" s="79" t="s">
        <v>37</v>
      </c>
      <c r="AC92" s="79" t="s">
        <v>37</v>
      </c>
      <c r="AD92" s="79"/>
      <c r="AE92" s="79" t="s">
        <v>226</v>
      </c>
      <c r="AF92" s="79" t="s">
        <v>227</v>
      </c>
      <c r="AG92" s="79" t="s">
        <v>228</v>
      </c>
      <c r="AH92" s="79"/>
      <c r="AI92" s="53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</row>
    <row r="93" spans="1:110" ht="13.8" x14ac:dyDescent="0.25">
      <c r="A93" s="24">
        <v>1103005</v>
      </c>
      <c r="B93" s="11" t="s">
        <v>30</v>
      </c>
      <c r="C93" s="12" t="s">
        <v>231</v>
      </c>
      <c r="D93" s="11" t="s">
        <v>32</v>
      </c>
      <c r="E93" s="10" t="s">
        <v>33</v>
      </c>
      <c r="F93" s="10" t="s">
        <v>34</v>
      </c>
      <c r="G93" s="55">
        <f t="shared" si="2"/>
        <v>18.309999999999999</v>
      </c>
      <c r="H93" s="10">
        <v>6</v>
      </c>
      <c r="I93" s="13">
        <v>55</v>
      </c>
      <c r="J93" s="56"/>
      <c r="K93" s="57"/>
      <c r="M93" s="14">
        <v>18.309999999999999</v>
      </c>
      <c r="N93" s="14"/>
      <c r="O93" s="14"/>
      <c r="P93" s="14"/>
      <c r="Q93" s="14"/>
      <c r="R93" s="14"/>
      <c r="S93" s="14"/>
      <c r="T93" s="70"/>
      <c r="U93" s="76">
        <v>18.309999999999999</v>
      </c>
      <c r="V93" s="76">
        <v>0</v>
      </c>
      <c r="W93" s="76">
        <v>18.309999999999999</v>
      </c>
      <c r="X93" s="76">
        <v>0</v>
      </c>
      <c r="Y93" s="77" t="s">
        <v>35</v>
      </c>
      <c r="Z93" s="78">
        <v>1300</v>
      </c>
      <c r="AA93" s="79" t="s">
        <v>36</v>
      </c>
      <c r="AB93" s="79" t="s">
        <v>35</v>
      </c>
      <c r="AC93" s="79" t="s">
        <v>37</v>
      </c>
      <c r="AD93" s="79" t="s">
        <v>38</v>
      </c>
      <c r="AE93" s="79" t="s">
        <v>39</v>
      </c>
      <c r="AF93" s="79" t="s">
        <v>40</v>
      </c>
      <c r="AG93" s="79" t="s">
        <v>41</v>
      </c>
      <c r="AH93" s="79"/>
      <c r="AI93" s="53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</row>
    <row r="94" spans="1:110" ht="13.8" x14ac:dyDescent="0.25">
      <c r="A94" s="24">
        <v>1103006</v>
      </c>
      <c r="B94" s="11" t="s">
        <v>30</v>
      </c>
      <c r="C94" s="12" t="s">
        <v>232</v>
      </c>
      <c r="D94" s="11" t="s">
        <v>32</v>
      </c>
      <c r="E94" s="10" t="s">
        <v>33</v>
      </c>
      <c r="F94" s="10" t="s">
        <v>34</v>
      </c>
      <c r="G94" s="55">
        <f t="shared" si="2"/>
        <v>2.15</v>
      </c>
      <c r="H94" s="10">
        <v>6</v>
      </c>
      <c r="I94" s="13">
        <v>4400</v>
      </c>
      <c r="J94" s="56"/>
      <c r="K94" s="57"/>
      <c r="M94" s="14"/>
      <c r="N94" s="14"/>
      <c r="O94" s="14"/>
      <c r="P94" s="14"/>
      <c r="Q94" s="14"/>
      <c r="R94" s="14">
        <v>2.15</v>
      </c>
      <c r="S94" s="14"/>
      <c r="T94" s="70"/>
      <c r="U94" s="76">
        <v>2.15</v>
      </c>
      <c r="V94" s="76">
        <v>0</v>
      </c>
      <c r="W94" s="76">
        <v>2.15</v>
      </c>
      <c r="X94" s="76">
        <v>0</v>
      </c>
      <c r="Y94" s="77" t="s">
        <v>35</v>
      </c>
      <c r="Z94" s="78"/>
      <c r="AA94" s="79" t="s">
        <v>36</v>
      </c>
      <c r="AB94" s="79" t="s">
        <v>35</v>
      </c>
      <c r="AC94" s="79" t="s">
        <v>37</v>
      </c>
      <c r="AD94" s="79" t="s">
        <v>38</v>
      </c>
      <c r="AE94" s="79" t="s">
        <v>39</v>
      </c>
      <c r="AF94" s="79" t="s">
        <v>40</v>
      </c>
      <c r="AG94" s="79" t="s">
        <v>41</v>
      </c>
      <c r="AH94" s="79"/>
      <c r="AI94" s="53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</row>
    <row r="95" spans="1:110" ht="13.8" x14ac:dyDescent="0.25">
      <c r="A95" s="24">
        <v>1103007</v>
      </c>
      <c r="B95" s="11" t="s">
        <v>30</v>
      </c>
      <c r="C95" s="12" t="s">
        <v>233</v>
      </c>
      <c r="D95" s="11" t="s">
        <v>32</v>
      </c>
      <c r="E95" s="10" t="s">
        <v>33</v>
      </c>
      <c r="F95" s="10" t="s">
        <v>34</v>
      </c>
      <c r="G95" s="55">
        <f t="shared" si="2"/>
        <v>2.74</v>
      </c>
      <c r="H95" s="10">
        <v>6</v>
      </c>
      <c r="I95" s="13">
        <v>1100</v>
      </c>
      <c r="J95" s="56"/>
      <c r="K95" s="57"/>
      <c r="M95" s="14"/>
      <c r="N95" s="14"/>
      <c r="O95" s="14">
        <v>2.74</v>
      </c>
      <c r="P95" s="14"/>
      <c r="Q95" s="14"/>
      <c r="R95" s="14"/>
      <c r="S95" s="14"/>
      <c r="T95" s="70"/>
      <c r="U95" s="76">
        <v>2.74</v>
      </c>
      <c r="V95" s="76">
        <v>0</v>
      </c>
      <c r="W95" s="76">
        <v>2.74</v>
      </c>
      <c r="X95" s="76">
        <v>0</v>
      </c>
      <c r="Y95" s="77" t="s">
        <v>35</v>
      </c>
      <c r="Z95" s="78">
        <v>1500</v>
      </c>
      <c r="AA95" s="79" t="s">
        <v>234</v>
      </c>
      <c r="AB95" s="79" t="s">
        <v>35</v>
      </c>
      <c r="AC95" s="79" t="s">
        <v>37</v>
      </c>
      <c r="AD95" s="79" t="s">
        <v>38</v>
      </c>
      <c r="AE95" s="79" t="s">
        <v>39</v>
      </c>
      <c r="AF95" s="79" t="s">
        <v>40</v>
      </c>
      <c r="AG95" s="79" t="s">
        <v>41</v>
      </c>
      <c r="AH95" s="79"/>
      <c r="AI95" s="53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</row>
    <row r="96" spans="1:110" ht="13.8" x14ac:dyDescent="0.25">
      <c r="A96" s="24">
        <v>1103008</v>
      </c>
      <c r="B96" s="11" t="s">
        <v>30</v>
      </c>
      <c r="C96" s="12" t="s">
        <v>235</v>
      </c>
      <c r="D96" s="11" t="s">
        <v>32</v>
      </c>
      <c r="E96" s="10" t="s">
        <v>33</v>
      </c>
      <c r="F96" s="10" t="s">
        <v>34</v>
      </c>
      <c r="G96" s="55">
        <f t="shared" si="2"/>
        <v>2.61</v>
      </c>
      <c r="H96" s="10">
        <v>6</v>
      </c>
      <c r="I96" s="13">
        <v>1100</v>
      </c>
      <c r="J96" s="56"/>
      <c r="K96" s="57"/>
      <c r="M96" s="14"/>
      <c r="N96" s="14"/>
      <c r="O96" s="14">
        <v>2.61</v>
      </c>
      <c r="P96" s="14"/>
      <c r="Q96" s="14"/>
      <c r="R96" s="14">
        <v>2.37</v>
      </c>
      <c r="S96" s="14"/>
      <c r="T96" s="70">
        <v>2.04</v>
      </c>
      <c r="U96" s="76">
        <v>2.61</v>
      </c>
      <c r="V96" s="76">
        <v>0</v>
      </c>
      <c r="W96" s="76">
        <v>2.61</v>
      </c>
      <c r="X96" s="76">
        <v>0</v>
      </c>
      <c r="Y96" s="77" t="s">
        <v>35</v>
      </c>
      <c r="Z96" s="78">
        <v>1500</v>
      </c>
      <c r="AA96" s="79" t="s">
        <v>234</v>
      </c>
      <c r="AB96" s="79" t="s">
        <v>35</v>
      </c>
      <c r="AC96" s="79" t="s">
        <v>37</v>
      </c>
      <c r="AD96" s="79" t="s">
        <v>38</v>
      </c>
      <c r="AE96" s="79" t="s">
        <v>39</v>
      </c>
      <c r="AF96" s="79" t="s">
        <v>40</v>
      </c>
      <c r="AG96" s="79" t="s">
        <v>41</v>
      </c>
      <c r="AH96" s="79"/>
      <c r="AI96" s="53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</row>
    <row r="97" spans="1:110" ht="13.8" x14ac:dyDescent="0.25">
      <c r="A97" s="24">
        <v>1103009</v>
      </c>
      <c r="B97" s="11" t="s">
        <v>30</v>
      </c>
      <c r="C97" s="12" t="s">
        <v>236</v>
      </c>
      <c r="D97" s="11" t="s">
        <v>32</v>
      </c>
      <c r="E97" s="10" t="s">
        <v>33</v>
      </c>
      <c r="F97" s="10" t="s">
        <v>34</v>
      </c>
      <c r="G97" s="55">
        <f t="shared" si="2"/>
        <v>3.06</v>
      </c>
      <c r="H97" s="10">
        <v>6</v>
      </c>
      <c r="I97" s="13">
        <v>8800</v>
      </c>
      <c r="J97" s="56"/>
      <c r="K97" s="57"/>
      <c r="M97" s="14"/>
      <c r="N97" s="14"/>
      <c r="O97" s="14">
        <v>4.1900000000000004</v>
      </c>
      <c r="P97" s="14"/>
      <c r="Q97" s="14"/>
      <c r="R97" s="14">
        <v>3.59</v>
      </c>
      <c r="S97" s="14"/>
      <c r="T97" s="70">
        <v>3.06</v>
      </c>
      <c r="U97" s="76">
        <v>3.06</v>
      </c>
      <c r="V97" s="76">
        <v>0</v>
      </c>
      <c r="W97" s="76">
        <v>2.79</v>
      </c>
      <c r="X97" s="76">
        <v>0</v>
      </c>
      <c r="Y97" s="77" t="s">
        <v>35</v>
      </c>
      <c r="Z97" s="78">
        <v>1500</v>
      </c>
      <c r="AA97" s="79" t="s">
        <v>234</v>
      </c>
      <c r="AB97" s="79" t="s">
        <v>35</v>
      </c>
      <c r="AC97" s="79" t="s">
        <v>37</v>
      </c>
      <c r="AD97" s="79" t="s">
        <v>38</v>
      </c>
      <c r="AE97" s="79" t="s">
        <v>39</v>
      </c>
      <c r="AF97" s="79" t="s">
        <v>40</v>
      </c>
      <c r="AG97" s="79" t="s">
        <v>41</v>
      </c>
      <c r="AH97" s="79"/>
      <c r="AI97" s="53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</row>
    <row r="98" spans="1:110" ht="13.8" x14ac:dyDescent="0.25">
      <c r="A98" s="24">
        <v>1103010</v>
      </c>
      <c r="B98" s="11" t="s">
        <v>30</v>
      </c>
      <c r="C98" s="12" t="s">
        <v>237</v>
      </c>
      <c r="D98" s="11" t="s">
        <v>32</v>
      </c>
      <c r="E98" s="10" t="s">
        <v>33</v>
      </c>
      <c r="F98" s="10" t="s">
        <v>34</v>
      </c>
      <c r="G98" s="55" t="str">
        <f t="shared" si="2"/>
        <v>Obsolete</v>
      </c>
      <c r="H98" s="30" t="s">
        <v>238</v>
      </c>
      <c r="I98" s="13" t="s">
        <v>17</v>
      </c>
      <c r="J98" s="56"/>
      <c r="K98" s="57"/>
      <c r="M98" s="14"/>
      <c r="N98" s="14"/>
      <c r="O98" s="14"/>
      <c r="P98" s="14"/>
      <c r="Q98" s="14"/>
      <c r="R98" s="14"/>
      <c r="S98" s="14"/>
      <c r="T98" s="70">
        <v>3.42</v>
      </c>
      <c r="U98" s="76" t="s">
        <v>54</v>
      </c>
      <c r="V98" s="76"/>
      <c r="W98" s="76" t="s">
        <v>54</v>
      </c>
      <c r="X98" s="76"/>
      <c r="Y98" s="77"/>
      <c r="Z98" s="78"/>
      <c r="AA98" s="79" t="s">
        <v>234</v>
      </c>
      <c r="AB98" s="79" t="s">
        <v>37</v>
      </c>
      <c r="AC98" s="79" t="s">
        <v>37</v>
      </c>
      <c r="AD98" s="79"/>
      <c r="AE98" s="79" t="s">
        <v>39</v>
      </c>
      <c r="AF98" s="79" t="s">
        <v>40</v>
      </c>
      <c r="AG98" s="79" t="s">
        <v>41</v>
      </c>
      <c r="AH98" s="79"/>
      <c r="AI98" s="53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</row>
    <row r="99" spans="1:110" ht="13.8" x14ac:dyDescent="0.25">
      <c r="A99" s="24">
        <v>1103011</v>
      </c>
      <c r="B99" s="11" t="s">
        <v>30</v>
      </c>
      <c r="C99" s="12" t="s">
        <v>239</v>
      </c>
      <c r="D99" s="11" t="s">
        <v>32</v>
      </c>
      <c r="E99" s="10" t="s">
        <v>101</v>
      </c>
      <c r="F99" s="10" t="s">
        <v>34</v>
      </c>
      <c r="G99" s="55">
        <f t="shared" si="2"/>
        <v>8.8699999999999992</v>
      </c>
      <c r="H99" s="10">
        <v>6</v>
      </c>
      <c r="I99" s="13">
        <v>1100</v>
      </c>
      <c r="J99" s="56"/>
      <c r="K99" s="57"/>
      <c r="M99" s="14"/>
      <c r="N99" s="14">
        <v>8.8699999999999992</v>
      </c>
      <c r="O99" s="14"/>
      <c r="P99" s="14"/>
      <c r="Q99" s="14"/>
      <c r="R99" s="14"/>
      <c r="S99" s="14"/>
      <c r="T99" s="70"/>
      <c r="U99" s="76">
        <v>8.8699999999999992</v>
      </c>
      <c r="V99" s="76">
        <v>0</v>
      </c>
      <c r="W99" s="76">
        <v>8.8699999999999992</v>
      </c>
      <c r="X99" s="76">
        <v>0</v>
      </c>
      <c r="Y99" s="77" t="s">
        <v>35</v>
      </c>
      <c r="Z99" s="78">
        <v>50</v>
      </c>
      <c r="AA99" s="79" t="s">
        <v>234</v>
      </c>
      <c r="AB99" s="79" t="s">
        <v>35</v>
      </c>
      <c r="AC99" s="79" t="s">
        <v>37</v>
      </c>
      <c r="AD99" s="79" t="s">
        <v>38</v>
      </c>
      <c r="AE99" s="79" t="s">
        <v>103</v>
      </c>
      <c r="AF99" s="79" t="s">
        <v>104</v>
      </c>
      <c r="AG99" s="79" t="s">
        <v>105</v>
      </c>
      <c r="AH99" s="79"/>
      <c r="AI99" s="53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</row>
    <row r="100" spans="1:110" ht="13.8" x14ac:dyDescent="0.25">
      <c r="A100" s="24">
        <v>1103012</v>
      </c>
      <c r="B100" s="11" t="s">
        <v>30</v>
      </c>
      <c r="C100" s="16" t="s">
        <v>240</v>
      </c>
      <c r="D100" s="11" t="s">
        <v>32</v>
      </c>
      <c r="E100" s="10" t="s">
        <v>205</v>
      </c>
      <c r="F100" s="10" t="s">
        <v>34</v>
      </c>
      <c r="G100" s="55" t="str">
        <f t="shared" si="2"/>
        <v>Obsolete</v>
      </c>
      <c r="H100" s="10"/>
      <c r="I100" s="13"/>
      <c r="J100" s="56"/>
      <c r="K100" s="57"/>
      <c r="M100" s="14"/>
      <c r="N100" s="14"/>
      <c r="O100" s="14"/>
      <c r="P100" s="14"/>
      <c r="Q100" s="14"/>
      <c r="R100" s="14"/>
      <c r="S100" s="14"/>
      <c r="T100" s="70"/>
      <c r="U100" s="76" t="s">
        <v>54</v>
      </c>
      <c r="V100" s="76"/>
      <c r="W100" s="76" t="s">
        <v>54</v>
      </c>
      <c r="X100" s="76"/>
      <c r="Y100" s="97"/>
      <c r="Z100" s="78"/>
      <c r="AA100" s="79"/>
      <c r="AB100" s="79" t="s">
        <v>37</v>
      </c>
      <c r="AC100" s="79" t="s">
        <v>37</v>
      </c>
      <c r="AD100" s="79"/>
      <c r="AE100" s="79"/>
      <c r="AF100" s="79"/>
      <c r="AG100" s="79"/>
      <c r="AH100" s="79"/>
      <c r="AI100" s="53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</row>
    <row r="101" spans="1:110" ht="13.8" x14ac:dyDescent="0.25">
      <c r="A101" s="24">
        <v>1103013</v>
      </c>
      <c r="B101" s="11" t="s">
        <v>30</v>
      </c>
      <c r="C101" s="12" t="s">
        <v>241</v>
      </c>
      <c r="D101" s="11" t="s">
        <v>32</v>
      </c>
      <c r="E101" s="10" t="s">
        <v>33</v>
      </c>
      <c r="F101" s="10" t="s">
        <v>34</v>
      </c>
      <c r="G101" s="55" t="str">
        <f t="shared" si="2"/>
        <v>Obsolete</v>
      </c>
      <c r="H101" s="10">
        <v>6</v>
      </c>
      <c r="I101" s="13"/>
      <c r="J101" s="56"/>
      <c r="K101" s="57"/>
      <c r="M101" s="14"/>
      <c r="N101" s="14"/>
      <c r="O101" s="14"/>
      <c r="P101" s="14"/>
      <c r="Q101" s="14"/>
      <c r="R101" s="14"/>
      <c r="S101" s="14"/>
      <c r="T101" s="70"/>
      <c r="U101" s="76" t="s">
        <v>54</v>
      </c>
      <c r="V101" s="76"/>
      <c r="W101" s="76" t="s">
        <v>54</v>
      </c>
      <c r="X101" s="76"/>
      <c r="Y101" s="77"/>
      <c r="Z101" s="78"/>
      <c r="AA101" s="79" t="s">
        <v>242</v>
      </c>
      <c r="AB101" s="79" t="s">
        <v>37</v>
      </c>
      <c r="AC101" s="79" t="s">
        <v>37</v>
      </c>
      <c r="AD101" s="79"/>
      <c r="AE101" s="79" t="s">
        <v>39</v>
      </c>
      <c r="AF101" s="79" t="s">
        <v>40</v>
      </c>
      <c r="AG101" s="79" t="s">
        <v>41</v>
      </c>
      <c r="AH101" s="79"/>
      <c r="AI101" s="53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</row>
    <row r="102" spans="1:110" ht="13.8" x14ac:dyDescent="0.25">
      <c r="A102" s="24">
        <v>1103014</v>
      </c>
      <c r="B102" s="11" t="s">
        <v>30</v>
      </c>
      <c r="C102" s="12" t="s">
        <v>243</v>
      </c>
      <c r="D102" s="11" t="s">
        <v>32</v>
      </c>
      <c r="E102" s="10" t="s">
        <v>230</v>
      </c>
      <c r="F102" s="10" t="s">
        <v>34</v>
      </c>
      <c r="G102" s="55" t="str">
        <f t="shared" si="2"/>
        <v>Obsolete</v>
      </c>
      <c r="H102" s="10"/>
      <c r="I102" s="13"/>
      <c r="J102" s="56"/>
      <c r="K102" s="57"/>
      <c r="M102" s="14"/>
      <c r="N102" s="14"/>
      <c r="O102" s="14">
        <v>4.9800000000000004</v>
      </c>
      <c r="P102" s="14"/>
      <c r="Q102" s="14"/>
      <c r="R102" s="14"/>
      <c r="S102" s="14"/>
      <c r="T102" s="70"/>
      <c r="U102" s="76" t="s">
        <v>54</v>
      </c>
      <c r="V102" s="76"/>
      <c r="W102" s="76" t="s">
        <v>54</v>
      </c>
      <c r="X102" s="76"/>
      <c r="Y102" s="97"/>
      <c r="Z102" s="78"/>
      <c r="AA102" s="79" t="s">
        <v>64</v>
      </c>
      <c r="AB102" s="79" t="s">
        <v>37</v>
      </c>
      <c r="AC102" s="79" t="s">
        <v>37</v>
      </c>
      <c r="AD102" s="79"/>
      <c r="AE102" s="79" t="s">
        <v>244</v>
      </c>
      <c r="AF102" s="79" t="s">
        <v>245</v>
      </c>
      <c r="AG102" s="79" t="s">
        <v>246</v>
      </c>
      <c r="AH102" s="79"/>
      <c r="AI102" s="53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</row>
    <row r="103" spans="1:110" ht="13.8" x14ac:dyDescent="0.25">
      <c r="A103" s="24">
        <v>1103015</v>
      </c>
      <c r="B103" s="11" t="s">
        <v>30</v>
      </c>
      <c r="C103" s="12" t="s">
        <v>247</v>
      </c>
      <c r="D103" s="11" t="s">
        <v>32</v>
      </c>
      <c r="E103" s="10" t="s">
        <v>33</v>
      </c>
      <c r="F103" s="10" t="s">
        <v>34</v>
      </c>
      <c r="G103" s="55">
        <f t="shared" si="2"/>
        <v>6.37</v>
      </c>
      <c r="H103" s="10">
        <v>6</v>
      </c>
      <c r="I103" s="13">
        <v>55</v>
      </c>
      <c r="J103" s="56"/>
      <c r="K103" s="57"/>
      <c r="M103" s="14">
        <v>6.37</v>
      </c>
      <c r="N103" s="14">
        <v>4.22</v>
      </c>
      <c r="O103" s="14">
        <v>3.88</v>
      </c>
      <c r="P103" s="14"/>
      <c r="Q103" s="14"/>
      <c r="R103" s="14">
        <v>3.76</v>
      </c>
      <c r="S103" s="14"/>
      <c r="T103" s="70">
        <v>3.72</v>
      </c>
      <c r="U103" s="76">
        <v>6.37</v>
      </c>
      <c r="V103" s="76">
        <v>0</v>
      </c>
      <c r="W103" s="76">
        <v>6.37</v>
      </c>
      <c r="X103" s="76">
        <v>0</v>
      </c>
      <c r="Y103" s="77" t="s">
        <v>35</v>
      </c>
      <c r="Z103" s="78">
        <v>1500</v>
      </c>
      <c r="AA103" s="79" t="s">
        <v>36</v>
      </c>
      <c r="AB103" s="79" t="s">
        <v>35</v>
      </c>
      <c r="AC103" s="79" t="s">
        <v>37</v>
      </c>
      <c r="AD103" s="79" t="s">
        <v>38</v>
      </c>
      <c r="AE103" s="79" t="s">
        <v>39</v>
      </c>
      <c r="AF103" s="79" t="s">
        <v>40</v>
      </c>
      <c r="AG103" s="79" t="s">
        <v>41</v>
      </c>
      <c r="AH103" s="79"/>
      <c r="AI103" s="53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</row>
    <row r="104" spans="1:110" ht="13.8" x14ac:dyDescent="0.25">
      <c r="A104" s="24">
        <v>1103016</v>
      </c>
      <c r="B104" s="11" t="s">
        <v>30</v>
      </c>
      <c r="C104" s="12" t="s">
        <v>248</v>
      </c>
      <c r="D104" s="11" t="s">
        <v>32</v>
      </c>
      <c r="E104" s="10" t="s">
        <v>33</v>
      </c>
      <c r="F104" s="10" t="s">
        <v>34</v>
      </c>
      <c r="G104" s="55" t="str">
        <f t="shared" si="2"/>
        <v>Obsolete</v>
      </c>
      <c r="H104" s="10">
        <v>8</v>
      </c>
      <c r="I104" s="13"/>
      <c r="J104" s="56"/>
      <c r="K104" s="57"/>
      <c r="M104" s="14"/>
      <c r="N104" s="14"/>
      <c r="O104" s="14"/>
      <c r="P104" s="14"/>
      <c r="Q104" s="14"/>
      <c r="R104" s="14"/>
      <c r="S104" s="14"/>
      <c r="T104" s="70"/>
      <c r="U104" s="76" t="s">
        <v>54</v>
      </c>
      <c r="V104" s="76"/>
      <c r="W104" s="76" t="s">
        <v>54</v>
      </c>
      <c r="X104" s="76"/>
      <c r="Y104" s="77"/>
      <c r="Z104" s="78"/>
      <c r="AA104" s="79" t="s">
        <v>36</v>
      </c>
      <c r="AB104" s="79" t="s">
        <v>37</v>
      </c>
      <c r="AC104" s="79" t="s">
        <v>37</v>
      </c>
      <c r="AD104" s="79"/>
      <c r="AE104" s="79" t="s">
        <v>39</v>
      </c>
      <c r="AF104" s="79" t="s">
        <v>40</v>
      </c>
      <c r="AG104" s="79" t="s">
        <v>41</v>
      </c>
      <c r="AH104" s="79"/>
      <c r="AI104" s="53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</row>
    <row r="105" spans="1:110" ht="13.8" x14ac:dyDescent="0.25">
      <c r="A105" s="24">
        <v>1103017</v>
      </c>
      <c r="B105" s="11" t="s">
        <v>30</v>
      </c>
      <c r="C105" s="12" t="s">
        <v>249</v>
      </c>
      <c r="D105" s="11" t="s">
        <v>32</v>
      </c>
      <c r="E105" s="10" t="s">
        <v>33</v>
      </c>
      <c r="F105" s="10" t="s">
        <v>34</v>
      </c>
      <c r="G105" s="55" t="str">
        <f t="shared" si="2"/>
        <v>Obsolete</v>
      </c>
      <c r="H105" s="10"/>
      <c r="I105" s="13"/>
      <c r="J105" s="56"/>
      <c r="K105" s="57"/>
      <c r="M105" s="14"/>
      <c r="N105" s="14"/>
      <c r="O105" s="14"/>
      <c r="P105" s="14"/>
      <c r="Q105" s="14"/>
      <c r="R105" s="14"/>
      <c r="S105" s="14"/>
      <c r="T105" s="70"/>
      <c r="U105" s="76" t="s">
        <v>54</v>
      </c>
      <c r="V105" s="76"/>
      <c r="W105" s="76" t="s">
        <v>54</v>
      </c>
      <c r="X105" s="76"/>
      <c r="Y105" s="77"/>
      <c r="Z105" s="78"/>
      <c r="AA105" s="79" t="s">
        <v>55</v>
      </c>
      <c r="AB105" s="79" t="s">
        <v>37</v>
      </c>
      <c r="AC105" s="79" t="s">
        <v>37</v>
      </c>
      <c r="AD105" s="79"/>
      <c r="AE105" s="79" t="s">
        <v>39</v>
      </c>
      <c r="AF105" s="79" t="s">
        <v>40</v>
      </c>
      <c r="AG105" s="79" t="s">
        <v>41</v>
      </c>
      <c r="AH105" s="79"/>
      <c r="AI105" s="53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</row>
    <row r="106" spans="1:110" ht="13.8" x14ac:dyDescent="0.25">
      <c r="A106" s="24">
        <v>1103018</v>
      </c>
      <c r="B106" s="11" t="s">
        <v>30</v>
      </c>
      <c r="C106" s="12" t="s">
        <v>250</v>
      </c>
      <c r="D106" s="11" t="s">
        <v>32</v>
      </c>
      <c r="E106" s="10" t="s">
        <v>33</v>
      </c>
      <c r="F106" s="10" t="s">
        <v>34</v>
      </c>
      <c r="G106" s="55">
        <f t="shared" si="2"/>
        <v>2.3199999999999998</v>
      </c>
      <c r="H106" s="10">
        <v>6</v>
      </c>
      <c r="I106" s="13">
        <v>4400</v>
      </c>
      <c r="J106" s="56"/>
      <c r="K106" s="57"/>
      <c r="M106" s="14"/>
      <c r="N106" s="14"/>
      <c r="O106" s="14"/>
      <c r="P106" s="14"/>
      <c r="Q106" s="14"/>
      <c r="R106" s="14">
        <v>2.3199999999999998</v>
      </c>
      <c r="S106" s="14"/>
      <c r="T106" s="70"/>
      <c r="U106" s="76">
        <v>2.3199999999999998</v>
      </c>
      <c r="V106" s="76">
        <v>0</v>
      </c>
      <c r="W106" s="76">
        <v>2.3199999999999998</v>
      </c>
      <c r="X106" s="76">
        <v>0</v>
      </c>
      <c r="Y106" s="77" t="s">
        <v>35</v>
      </c>
      <c r="Z106" s="78"/>
      <c r="AA106" s="79" t="s">
        <v>58</v>
      </c>
      <c r="AB106" s="79" t="s">
        <v>35</v>
      </c>
      <c r="AC106" s="79" t="s">
        <v>35</v>
      </c>
      <c r="AD106" s="79"/>
      <c r="AE106" s="79" t="s">
        <v>39</v>
      </c>
      <c r="AF106" s="79" t="s">
        <v>40</v>
      </c>
      <c r="AG106" s="79" t="s">
        <v>41</v>
      </c>
      <c r="AH106" s="79"/>
      <c r="AI106" s="53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</row>
    <row r="107" spans="1:110" ht="13.8" x14ac:dyDescent="0.25">
      <c r="A107" s="24">
        <v>1103019</v>
      </c>
      <c r="B107" s="11" t="s">
        <v>30</v>
      </c>
      <c r="C107" s="31" t="s">
        <v>251</v>
      </c>
      <c r="D107" s="32" t="s">
        <v>32</v>
      </c>
      <c r="E107" s="10" t="s">
        <v>1619</v>
      </c>
      <c r="F107" s="18" t="s">
        <v>34</v>
      </c>
      <c r="G107" s="55" t="str">
        <f t="shared" si="2"/>
        <v>Obsolete</v>
      </c>
      <c r="H107" s="18">
        <v>8</v>
      </c>
      <c r="I107" s="33">
        <v>1650</v>
      </c>
      <c r="J107" s="56"/>
      <c r="K107" s="57"/>
      <c r="M107" s="14">
        <v>4.75</v>
      </c>
      <c r="N107" s="14"/>
      <c r="O107" s="14"/>
      <c r="P107" s="14"/>
      <c r="Q107" s="14"/>
      <c r="R107" s="14"/>
      <c r="S107" s="14"/>
      <c r="T107" s="70"/>
      <c r="U107" s="76" t="s">
        <v>54</v>
      </c>
      <c r="V107" s="76">
        <v>0</v>
      </c>
      <c r="W107" s="76" t="s">
        <v>54</v>
      </c>
      <c r="X107" s="76">
        <v>0</v>
      </c>
      <c r="Y107" s="77" t="s">
        <v>37</v>
      </c>
      <c r="Z107" s="87">
        <v>55</v>
      </c>
      <c r="AA107" s="79" t="s">
        <v>36</v>
      </c>
      <c r="AB107" s="79" t="s">
        <v>37</v>
      </c>
      <c r="AC107" s="79" t="s">
        <v>37</v>
      </c>
      <c r="AD107" s="79" t="s">
        <v>38</v>
      </c>
      <c r="AE107" s="79" t="s">
        <v>50</v>
      </c>
      <c r="AF107" s="79" t="s">
        <v>51</v>
      </c>
      <c r="AG107" s="79" t="s">
        <v>52</v>
      </c>
      <c r="AH107" s="79"/>
      <c r="AI107" s="53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</row>
    <row r="108" spans="1:110" ht="13.8" x14ac:dyDescent="0.25">
      <c r="A108" s="24">
        <v>1103020</v>
      </c>
      <c r="B108" s="11" t="s">
        <v>30</v>
      </c>
      <c r="C108" s="12" t="s">
        <v>252</v>
      </c>
      <c r="D108" s="11" t="s">
        <v>32</v>
      </c>
      <c r="E108" s="10" t="s">
        <v>33</v>
      </c>
      <c r="F108" s="10" t="s">
        <v>34</v>
      </c>
      <c r="G108" s="55">
        <f t="shared" si="2"/>
        <v>2.5</v>
      </c>
      <c r="H108" s="10">
        <v>6</v>
      </c>
      <c r="I108" s="13">
        <v>550</v>
      </c>
      <c r="J108" s="56"/>
      <c r="K108" s="57"/>
      <c r="M108" s="14"/>
      <c r="N108" s="14">
        <v>2.5</v>
      </c>
      <c r="O108" s="14"/>
      <c r="P108" s="14"/>
      <c r="Q108" s="14"/>
      <c r="R108" s="14"/>
      <c r="S108" s="14"/>
      <c r="T108" s="70"/>
      <c r="U108" s="76">
        <v>2.5</v>
      </c>
      <c r="V108" s="76">
        <v>0</v>
      </c>
      <c r="W108" s="76">
        <v>2.5</v>
      </c>
      <c r="X108" s="76">
        <v>0</v>
      </c>
      <c r="Y108" s="77" t="s">
        <v>35</v>
      </c>
      <c r="Z108" s="78">
        <v>55</v>
      </c>
      <c r="AA108" s="79" t="s">
        <v>36</v>
      </c>
      <c r="AB108" s="79" t="s">
        <v>35</v>
      </c>
      <c r="AC108" s="79" t="s">
        <v>37</v>
      </c>
      <c r="AD108" s="79" t="s">
        <v>38</v>
      </c>
      <c r="AE108" s="79" t="s">
        <v>39</v>
      </c>
      <c r="AF108" s="79" t="s">
        <v>40</v>
      </c>
      <c r="AG108" s="79" t="s">
        <v>41</v>
      </c>
      <c r="AH108" s="79"/>
      <c r="AI108" s="53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</row>
    <row r="109" spans="1:110" ht="13.8" x14ac:dyDescent="0.25">
      <c r="A109" s="24">
        <v>1103021</v>
      </c>
      <c r="B109" s="11" t="s">
        <v>30</v>
      </c>
      <c r="C109" s="12" t="s">
        <v>253</v>
      </c>
      <c r="D109" s="11" t="s">
        <v>32</v>
      </c>
      <c r="E109" s="10" t="s">
        <v>33</v>
      </c>
      <c r="F109" s="10" t="s">
        <v>34</v>
      </c>
      <c r="G109" s="55">
        <f t="shared" si="2"/>
        <v>2.6</v>
      </c>
      <c r="H109" s="10">
        <v>6</v>
      </c>
      <c r="I109" s="13">
        <v>1100</v>
      </c>
      <c r="J109" s="56"/>
      <c r="K109" s="57"/>
      <c r="M109" s="14"/>
      <c r="N109" s="14"/>
      <c r="O109" s="14">
        <v>2.6</v>
      </c>
      <c r="P109" s="14"/>
      <c r="Q109" s="14"/>
      <c r="R109" s="14"/>
      <c r="S109" s="14"/>
      <c r="T109" s="70"/>
      <c r="U109" s="76">
        <v>2.6</v>
      </c>
      <c r="V109" s="76">
        <v>0</v>
      </c>
      <c r="W109" s="76">
        <v>2.6</v>
      </c>
      <c r="X109" s="76">
        <v>0</v>
      </c>
      <c r="Y109" s="77" t="s">
        <v>35</v>
      </c>
      <c r="Z109" s="98"/>
      <c r="AA109" s="79" t="s">
        <v>36</v>
      </c>
      <c r="AB109" s="79" t="s">
        <v>35</v>
      </c>
      <c r="AC109" s="79" t="s">
        <v>37</v>
      </c>
      <c r="AD109" s="79" t="s">
        <v>38</v>
      </c>
      <c r="AE109" s="79" t="s">
        <v>39</v>
      </c>
      <c r="AF109" s="79" t="s">
        <v>40</v>
      </c>
      <c r="AG109" s="79" t="s">
        <v>41</v>
      </c>
      <c r="AH109" s="79"/>
      <c r="AI109" s="53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</row>
    <row r="110" spans="1:110" ht="13.8" x14ac:dyDescent="0.25">
      <c r="A110" s="24">
        <v>1103022</v>
      </c>
      <c r="B110" s="11" t="s">
        <v>30</v>
      </c>
      <c r="C110" s="12" t="s">
        <v>254</v>
      </c>
      <c r="D110" s="11" t="s">
        <v>32</v>
      </c>
      <c r="E110" s="10" t="s">
        <v>1520</v>
      </c>
      <c r="F110" s="10" t="s">
        <v>34</v>
      </c>
      <c r="G110" s="55">
        <f t="shared" si="2"/>
        <v>3.1425370358610554</v>
      </c>
      <c r="H110" s="10">
        <v>9</v>
      </c>
      <c r="I110" s="13">
        <v>4960</v>
      </c>
      <c r="J110" s="56"/>
      <c r="K110" s="57"/>
      <c r="M110" s="14"/>
      <c r="N110" s="14"/>
      <c r="O110" s="14"/>
      <c r="P110" s="14"/>
      <c r="Q110" s="14"/>
      <c r="R110" s="14"/>
      <c r="S110" s="14"/>
      <c r="T110" s="70"/>
      <c r="U110" s="76">
        <f>6.9281/2.20462</f>
        <v>3.1425370358610554</v>
      </c>
      <c r="V110" s="76">
        <v>0</v>
      </c>
      <c r="W110" s="76">
        <f>6.9281/2.20462</f>
        <v>3.1425370358610554</v>
      </c>
      <c r="X110" s="76">
        <v>0</v>
      </c>
      <c r="Y110" s="77" t="s">
        <v>35</v>
      </c>
      <c r="Z110" s="98">
        <v>55</v>
      </c>
      <c r="AA110" s="79" t="s">
        <v>189</v>
      </c>
      <c r="AB110" s="79" t="s">
        <v>35</v>
      </c>
      <c r="AC110" s="79" t="s">
        <v>35</v>
      </c>
      <c r="AD110" s="91" t="s">
        <v>57</v>
      </c>
      <c r="AE110" s="79" t="s">
        <v>255</v>
      </c>
      <c r="AF110" s="79" t="s">
        <v>256</v>
      </c>
      <c r="AG110" s="79" t="s">
        <v>257</v>
      </c>
      <c r="AH110" s="79"/>
      <c r="AI110" s="53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</row>
    <row r="111" spans="1:110" ht="13.8" x14ac:dyDescent="0.25">
      <c r="A111" s="24">
        <v>1103023</v>
      </c>
      <c r="B111" s="11" t="s">
        <v>30</v>
      </c>
      <c r="C111" s="12" t="s">
        <v>258</v>
      </c>
      <c r="D111" s="11" t="s">
        <v>259</v>
      </c>
      <c r="E111" s="10" t="s">
        <v>1521</v>
      </c>
      <c r="F111" s="10" t="s">
        <v>34</v>
      </c>
      <c r="G111" s="55">
        <f t="shared" si="2"/>
        <v>1.93</v>
      </c>
      <c r="H111" s="10">
        <v>8</v>
      </c>
      <c r="I111" s="13">
        <v>55</v>
      </c>
      <c r="J111" s="56"/>
      <c r="K111" s="57"/>
      <c r="M111" s="14"/>
      <c r="N111" s="14"/>
      <c r="O111" s="14"/>
      <c r="P111" s="14"/>
      <c r="Q111" s="14"/>
      <c r="R111" s="14"/>
      <c r="S111" s="14"/>
      <c r="T111" s="70"/>
      <c r="U111" s="76">
        <v>1.93</v>
      </c>
      <c r="V111" s="76">
        <v>0</v>
      </c>
      <c r="W111" s="76">
        <v>1.93</v>
      </c>
      <c r="X111" s="76">
        <v>0</v>
      </c>
      <c r="Y111" s="77" t="s">
        <v>35</v>
      </c>
      <c r="Z111" s="98">
        <v>55</v>
      </c>
      <c r="AA111" s="79" t="s">
        <v>189</v>
      </c>
      <c r="AB111" s="79" t="s">
        <v>35</v>
      </c>
      <c r="AC111" s="79" t="s">
        <v>35</v>
      </c>
      <c r="AD111" s="91" t="s">
        <v>57</v>
      </c>
      <c r="AE111" s="79" t="s">
        <v>1522</v>
      </c>
      <c r="AF111" s="79"/>
      <c r="AG111" s="79" t="s">
        <v>1523</v>
      </c>
      <c r="AH111" s="79"/>
      <c r="AI111" s="53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</row>
    <row r="112" spans="1:110" ht="13.8" x14ac:dyDescent="0.25">
      <c r="A112" s="24">
        <v>1103024</v>
      </c>
      <c r="B112" s="11" t="s">
        <v>30</v>
      </c>
      <c r="C112" s="12" t="s">
        <v>260</v>
      </c>
      <c r="D112" s="11" t="s">
        <v>32</v>
      </c>
      <c r="E112" s="10" t="s">
        <v>1619</v>
      </c>
      <c r="F112" s="10" t="s">
        <v>34</v>
      </c>
      <c r="G112" s="55">
        <f t="shared" si="2"/>
        <v>5.5</v>
      </c>
      <c r="H112" s="10">
        <v>1</v>
      </c>
      <c r="I112" s="13">
        <v>55</v>
      </c>
      <c r="J112" s="56"/>
      <c r="K112" s="57"/>
      <c r="M112" s="14">
        <v>5.5</v>
      </c>
      <c r="N112" s="14"/>
      <c r="O112" s="14"/>
      <c r="P112" s="14"/>
      <c r="Q112" s="14"/>
      <c r="R112" s="14"/>
      <c r="S112" s="14"/>
      <c r="T112" s="70"/>
      <c r="U112" s="76">
        <v>5.5</v>
      </c>
      <c r="V112" s="76"/>
      <c r="W112" s="76">
        <v>5.5</v>
      </c>
      <c r="X112" s="76"/>
      <c r="Y112" s="77" t="s">
        <v>37</v>
      </c>
      <c r="Z112" s="98"/>
      <c r="AA112" s="79" t="s">
        <v>261</v>
      </c>
      <c r="AB112" s="79" t="s">
        <v>35</v>
      </c>
      <c r="AC112" s="79" t="s">
        <v>35</v>
      </c>
      <c r="AD112" s="79"/>
      <c r="AE112" s="79" t="s">
        <v>50</v>
      </c>
      <c r="AF112" s="79" t="s">
        <v>51</v>
      </c>
      <c r="AG112" s="79" t="s">
        <v>52</v>
      </c>
      <c r="AH112" s="79"/>
      <c r="AI112" s="53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</row>
    <row r="113" spans="1:110" ht="13.8" x14ac:dyDescent="0.25">
      <c r="A113" s="24">
        <v>1103025</v>
      </c>
      <c r="B113" s="11" t="s">
        <v>30</v>
      </c>
      <c r="C113" s="12" t="s">
        <v>262</v>
      </c>
      <c r="D113" s="11" t="s">
        <v>259</v>
      </c>
      <c r="E113" s="10" t="s">
        <v>1619</v>
      </c>
      <c r="F113" s="10" t="s">
        <v>34</v>
      </c>
      <c r="G113" s="55">
        <f t="shared" si="2"/>
        <v>2.335</v>
      </c>
      <c r="H113" s="10">
        <v>4</v>
      </c>
      <c r="I113" s="13">
        <v>4959</v>
      </c>
      <c r="J113" s="56">
        <v>44076</v>
      </c>
      <c r="K113" s="63">
        <v>3.02</v>
      </c>
      <c r="M113" s="14"/>
      <c r="N113" s="14"/>
      <c r="O113" s="14"/>
      <c r="P113" s="14"/>
      <c r="Q113" s="14"/>
      <c r="R113" s="14">
        <v>2.29</v>
      </c>
      <c r="S113" s="14"/>
      <c r="T113" s="70"/>
      <c r="U113" s="76">
        <v>2.29</v>
      </c>
      <c r="V113" s="76">
        <f>0.045</f>
        <v>4.4999999999999998E-2</v>
      </c>
      <c r="W113" s="76">
        <v>2.29</v>
      </c>
      <c r="X113" s="76">
        <f>0.045</f>
        <v>4.4999999999999998E-2</v>
      </c>
      <c r="Y113" s="77" t="s">
        <v>35</v>
      </c>
      <c r="Z113" s="98">
        <v>1653</v>
      </c>
      <c r="AA113" s="79" t="s">
        <v>263</v>
      </c>
      <c r="AB113" s="79" t="s">
        <v>35</v>
      </c>
      <c r="AC113" s="79" t="s">
        <v>37</v>
      </c>
      <c r="AD113" s="79" t="s">
        <v>38</v>
      </c>
      <c r="AE113" s="79" t="s">
        <v>50</v>
      </c>
      <c r="AF113" s="79" t="s">
        <v>51</v>
      </c>
      <c r="AG113" s="79" t="s">
        <v>52</v>
      </c>
      <c r="AH113" s="79"/>
      <c r="AI113" s="53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</row>
    <row r="114" spans="1:110" ht="13.8" x14ac:dyDescent="0.25">
      <c r="A114" s="24">
        <v>1103026</v>
      </c>
      <c r="B114" s="11" t="s">
        <v>30</v>
      </c>
      <c r="C114" s="12" t="s">
        <v>264</v>
      </c>
      <c r="D114" s="11" t="s">
        <v>259</v>
      </c>
      <c r="E114" s="10" t="s">
        <v>1619</v>
      </c>
      <c r="F114" s="10" t="s">
        <v>34</v>
      </c>
      <c r="G114" s="55">
        <f t="shared" si="2"/>
        <v>3.26</v>
      </c>
      <c r="H114" s="10">
        <v>8</v>
      </c>
      <c r="I114" s="13">
        <v>4959</v>
      </c>
      <c r="J114" s="56"/>
      <c r="K114" s="57"/>
      <c r="M114" s="14"/>
      <c r="N114" s="14"/>
      <c r="O114" s="14"/>
      <c r="P114" s="14"/>
      <c r="Q114" s="14"/>
      <c r="R114" s="14">
        <v>3.19</v>
      </c>
      <c r="S114" s="14"/>
      <c r="T114" s="70">
        <v>3.04</v>
      </c>
      <c r="U114" s="76">
        <v>3.19</v>
      </c>
      <c r="V114" s="76">
        <v>7.0000000000000007E-2</v>
      </c>
      <c r="W114" s="76">
        <v>3.19</v>
      </c>
      <c r="X114" s="76">
        <v>7.0000000000000007E-2</v>
      </c>
      <c r="Y114" s="77" t="s">
        <v>35</v>
      </c>
      <c r="Z114" s="98">
        <v>1653</v>
      </c>
      <c r="AA114" s="79" t="s">
        <v>263</v>
      </c>
      <c r="AB114" s="79" t="s">
        <v>35</v>
      </c>
      <c r="AC114" s="79" t="s">
        <v>37</v>
      </c>
      <c r="AD114" s="79" t="s">
        <v>38</v>
      </c>
      <c r="AE114" s="79" t="s">
        <v>50</v>
      </c>
      <c r="AF114" s="79" t="s">
        <v>51</v>
      </c>
      <c r="AG114" s="79" t="s">
        <v>52</v>
      </c>
      <c r="AH114" s="79"/>
      <c r="AI114" s="53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</row>
    <row r="115" spans="1:110" ht="13.8" x14ac:dyDescent="0.25">
      <c r="A115" s="24">
        <v>1103027</v>
      </c>
      <c r="B115" s="11" t="s">
        <v>30</v>
      </c>
      <c r="C115" s="12" t="s">
        <v>265</v>
      </c>
      <c r="D115" s="11" t="s">
        <v>259</v>
      </c>
      <c r="E115" s="10" t="s">
        <v>33</v>
      </c>
      <c r="F115" s="10" t="s">
        <v>34</v>
      </c>
      <c r="G115" s="55">
        <f t="shared" si="2"/>
        <v>0</v>
      </c>
      <c r="H115" s="10" t="s">
        <v>38</v>
      </c>
      <c r="I115" s="13"/>
      <c r="J115" s="56"/>
      <c r="K115" s="57"/>
      <c r="M115" s="14"/>
      <c r="N115" s="14"/>
      <c r="O115" s="14"/>
      <c r="P115" s="14"/>
      <c r="Q115" s="14"/>
      <c r="R115" s="14"/>
      <c r="S115" s="14"/>
      <c r="T115" s="70"/>
      <c r="U115" s="76">
        <v>0</v>
      </c>
      <c r="V115" s="76">
        <v>0</v>
      </c>
      <c r="W115" s="76">
        <v>0</v>
      </c>
      <c r="X115" s="76">
        <v>0</v>
      </c>
      <c r="Y115" s="77" t="s">
        <v>37</v>
      </c>
      <c r="Z115" s="98">
        <v>55</v>
      </c>
      <c r="AA115" s="79" t="s">
        <v>263</v>
      </c>
      <c r="AB115" s="79" t="s">
        <v>35</v>
      </c>
      <c r="AC115" s="79" t="s">
        <v>37</v>
      </c>
      <c r="AD115" s="79" t="s">
        <v>38</v>
      </c>
      <c r="AE115" s="79" t="s">
        <v>39</v>
      </c>
      <c r="AF115" s="79" t="s">
        <v>40</v>
      </c>
      <c r="AG115" s="79" t="s">
        <v>41</v>
      </c>
      <c r="AH115" s="79"/>
      <c r="AI115" s="53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</row>
    <row r="116" spans="1:110" ht="13.8" x14ac:dyDescent="0.25">
      <c r="A116" s="24">
        <v>1103028</v>
      </c>
      <c r="B116" s="11" t="s">
        <v>30</v>
      </c>
      <c r="C116" s="12" t="s">
        <v>266</v>
      </c>
      <c r="D116" s="11" t="s">
        <v>259</v>
      </c>
      <c r="E116" s="10" t="s">
        <v>33</v>
      </c>
      <c r="F116" s="10" t="s">
        <v>34</v>
      </c>
      <c r="G116" s="55">
        <f t="shared" si="2"/>
        <v>2.10036146844759</v>
      </c>
      <c r="H116" s="10">
        <v>6</v>
      </c>
      <c r="I116" s="13">
        <v>9000</v>
      </c>
      <c r="J116" s="56">
        <v>44097</v>
      </c>
      <c r="K116" s="57">
        <v>2.10036146844759</v>
      </c>
      <c r="M116" s="14"/>
      <c r="N116" s="14"/>
      <c r="O116" s="14"/>
      <c r="P116" s="14"/>
      <c r="Q116" s="14"/>
      <c r="R116" s="14">
        <v>2.4051181768695131</v>
      </c>
      <c r="S116" s="14"/>
      <c r="T116" s="70">
        <v>2.0830672111702091</v>
      </c>
      <c r="U116" s="76">
        <v>2.10036146844759</v>
      </c>
      <c r="V116" s="76">
        <v>0</v>
      </c>
      <c r="W116" s="76">
        <v>2.19</v>
      </c>
      <c r="X116" s="76">
        <v>0</v>
      </c>
      <c r="Y116" s="77" t="s">
        <v>35</v>
      </c>
      <c r="Z116" s="98">
        <v>1500</v>
      </c>
      <c r="AA116" s="79" t="s">
        <v>36</v>
      </c>
      <c r="AB116" s="79" t="s">
        <v>35</v>
      </c>
      <c r="AC116" s="79" t="s">
        <v>37</v>
      </c>
      <c r="AD116" s="79" t="s">
        <v>38</v>
      </c>
      <c r="AE116" s="79" t="s">
        <v>39</v>
      </c>
      <c r="AF116" s="79" t="s">
        <v>40</v>
      </c>
      <c r="AG116" s="79" t="s">
        <v>41</v>
      </c>
      <c r="AH116" s="79"/>
      <c r="AI116" s="53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</row>
    <row r="117" spans="1:110" ht="13.8" x14ac:dyDescent="0.25">
      <c r="A117" s="24">
        <v>1103029</v>
      </c>
      <c r="B117" s="11" t="s">
        <v>30</v>
      </c>
      <c r="C117" s="12" t="s">
        <v>267</v>
      </c>
      <c r="D117" s="11" t="s">
        <v>259</v>
      </c>
      <c r="E117" s="10" t="s">
        <v>33</v>
      </c>
      <c r="F117" s="10" t="s">
        <v>34</v>
      </c>
      <c r="G117" s="55">
        <f t="shared" si="2"/>
        <v>1.44</v>
      </c>
      <c r="H117" s="10">
        <v>6</v>
      </c>
      <c r="I117" s="13">
        <v>40000</v>
      </c>
      <c r="J117" s="56">
        <v>44160</v>
      </c>
      <c r="K117" s="57">
        <v>1.57</v>
      </c>
      <c r="M117" s="14"/>
      <c r="N117" s="14"/>
      <c r="O117" s="14"/>
      <c r="P117" s="14"/>
      <c r="Q117" s="14"/>
      <c r="R117" s="15"/>
      <c r="S117" s="14"/>
      <c r="T117" s="71">
        <v>1.44</v>
      </c>
      <c r="U117" s="77">
        <v>1.44</v>
      </c>
      <c r="V117" s="76">
        <v>0</v>
      </c>
      <c r="W117" s="77">
        <v>1.44</v>
      </c>
      <c r="X117" s="76">
        <v>0</v>
      </c>
      <c r="Y117" s="77" t="s">
        <v>35</v>
      </c>
      <c r="Z117" s="98">
        <v>1500</v>
      </c>
      <c r="AA117" s="79" t="s">
        <v>36</v>
      </c>
      <c r="AB117" s="79" t="s">
        <v>35</v>
      </c>
      <c r="AC117" s="79" t="s">
        <v>37</v>
      </c>
      <c r="AD117" s="79" t="s">
        <v>38</v>
      </c>
      <c r="AE117" s="79" t="s">
        <v>39</v>
      </c>
      <c r="AF117" s="79" t="s">
        <v>40</v>
      </c>
      <c r="AG117" s="79" t="s">
        <v>41</v>
      </c>
      <c r="AH117" s="79"/>
      <c r="AI117" s="53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</row>
    <row r="118" spans="1:110" ht="13.5" customHeight="1" x14ac:dyDescent="0.25">
      <c r="A118" s="24">
        <v>1103030</v>
      </c>
      <c r="B118" s="11" t="s">
        <v>30</v>
      </c>
      <c r="C118" s="12" t="s">
        <v>268</v>
      </c>
      <c r="D118" s="11" t="s">
        <v>259</v>
      </c>
      <c r="E118" s="10" t="s">
        <v>33</v>
      </c>
      <c r="F118" s="10" t="s">
        <v>34</v>
      </c>
      <c r="G118" s="55">
        <f t="shared" si="2"/>
        <v>1.37</v>
      </c>
      <c r="H118" s="10">
        <v>6</v>
      </c>
      <c r="I118" s="13">
        <v>40000</v>
      </c>
      <c r="J118" s="56">
        <v>44348</v>
      </c>
      <c r="K118" s="57">
        <v>1.22</v>
      </c>
      <c r="M118" s="14"/>
      <c r="N118" s="14"/>
      <c r="O118" s="14"/>
      <c r="P118" s="14"/>
      <c r="Q118" s="14"/>
      <c r="R118" s="15"/>
      <c r="S118" s="14"/>
      <c r="T118" s="71">
        <v>1.37</v>
      </c>
      <c r="U118" s="77">
        <v>1.37</v>
      </c>
      <c r="V118" s="76">
        <v>0</v>
      </c>
      <c r="W118" s="77">
        <v>1.37</v>
      </c>
      <c r="X118" s="76">
        <v>0</v>
      </c>
      <c r="Y118" s="77"/>
      <c r="Z118" s="98"/>
      <c r="AA118" s="79"/>
      <c r="AB118" s="79"/>
      <c r="AC118" s="79"/>
      <c r="AD118" s="79"/>
      <c r="AE118" s="79"/>
      <c r="AF118" s="79"/>
      <c r="AG118" s="79"/>
      <c r="AH118" s="79"/>
      <c r="AI118" s="53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</row>
    <row r="119" spans="1:110" ht="13.8" x14ac:dyDescent="0.25">
      <c r="A119" s="24">
        <v>1103031</v>
      </c>
      <c r="B119" s="11" t="s">
        <v>30</v>
      </c>
      <c r="C119" s="12" t="s">
        <v>269</v>
      </c>
      <c r="D119" s="11" t="s">
        <v>259</v>
      </c>
      <c r="E119" s="10" t="s">
        <v>33</v>
      </c>
      <c r="F119" s="10" t="s">
        <v>34</v>
      </c>
      <c r="G119" s="55">
        <f t="shared" si="2"/>
        <v>2.585</v>
      </c>
      <c r="H119" s="10">
        <v>6</v>
      </c>
      <c r="I119" s="13">
        <v>1500</v>
      </c>
      <c r="J119" s="56">
        <v>44348</v>
      </c>
      <c r="K119" s="57">
        <v>2.36</v>
      </c>
      <c r="M119" s="14"/>
      <c r="N119" s="14"/>
      <c r="O119" s="14">
        <v>2.585</v>
      </c>
      <c r="P119" s="14"/>
      <c r="Q119" s="14"/>
      <c r="R119" s="14"/>
      <c r="S119" s="14"/>
      <c r="T119" s="70"/>
      <c r="U119" s="76">
        <v>2.585</v>
      </c>
      <c r="V119" s="76">
        <v>0</v>
      </c>
      <c r="W119" s="76">
        <v>2.585</v>
      </c>
      <c r="X119" s="76">
        <v>0</v>
      </c>
      <c r="Y119" s="77" t="s">
        <v>37</v>
      </c>
      <c r="Z119" s="98"/>
      <c r="AA119" s="79" t="s">
        <v>44</v>
      </c>
      <c r="AB119" s="79" t="s">
        <v>35</v>
      </c>
      <c r="AC119" s="79" t="s">
        <v>37</v>
      </c>
      <c r="AD119" s="79" t="s">
        <v>38</v>
      </c>
      <c r="AE119" s="79" t="s">
        <v>39</v>
      </c>
      <c r="AF119" s="79" t="s">
        <v>40</v>
      </c>
      <c r="AG119" s="79" t="s">
        <v>41</v>
      </c>
      <c r="AH119" s="79"/>
      <c r="AI119" s="53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</row>
    <row r="120" spans="1:110" ht="13.8" x14ac:dyDescent="0.25">
      <c r="A120" s="24">
        <v>1103032</v>
      </c>
      <c r="B120" s="11" t="s">
        <v>30</v>
      </c>
      <c r="C120" s="12" t="s">
        <v>270</v>
      </c>
      <c r="D120" s="11" t="s">
        <v>259</v>
      </c>
      <c r="E120" s="10" t="s">
        <v>271</v>
      </c>
      <c r="F120" s="10" t="s">
        <v>34</v>
      </c>
      <c r="G120" s="55">
        <f t="shared" si="2"/>
        <v>0</v>
      </c>
      <c r="H120" s="10"/>
      <c r="I120" s="13"/>
      <c r="J120" s="56"/>
      <c r="K120" s="57"/>
      <c r="M120" s="14"/>
      <c r="N120" s="14"/>
      <c r="O120" s="14"/>
      <c r="P120" s="14"/>
      <c r="Q120" s="14"/>
      <c r="R120" s="14"/>
      <c r="S120" s="14"/>
      <c r="T120" s="70"/>
      <c r="U120" s="76"/>
      <c r="V120" s="76"/>
      <c r="W120" s="76"/>
      <c r="X120" s="76"/>
      <c r="Y120" s="77"/>
      <c r="Z120" s="98"/>
      <c r="AA120" s="79" t="s">
        <v>272</v>
      </c>
      <c r="AB120" s="79" t="s">
        <v>35</v>
      </c>
      <c r="AC120" s="79" t="s">
        <v>35</v>
      </c>
      <c r="AD120" s="79"/>
      <c r="AE120" s="79"/>
      <c r="AF120" s="79"/>
      <c r="AG120" s="79"/>
      <c r="AH120" s="79"/>
      <c r="AI120" s="53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</row>
    <row r="121" spans="1:110" ht="15" customHeight="1" x14ac:dyDescent="0.25">
      <c r="A121" s="24">
        <v>1103033</v>
      </c>
      <c r="B121" s="11" t="s">
        <v>30</v>
      </c>
      <c r="C121" s="12" t="s">
        <v>273</v>
      </c>
      <c r="D121" s="11" t="s">
        <v>259</v>
      </c>
      <c r="E121" s="10" t="s">
        <v>33</v>
      </c>
      <c r="F121" s="10" t="s">
        <v>34</v>
      </c>
      <c r="G121" s="55">
        <f t="shared" si="2"/>
        <v>4.68</v>
      </c>
      <c r="H121" s="10">
        <v>6</v>
      </c>
      <c r="I121" s="13">
        <v>2200</v>
      </c>
      <c r="J121" s="56"/>
      <c r="K121" s="57"/>
      <c r="M121" s="14"/>
      <c r="N121" s="14"/>
      <c r="O121" s="14"/>
      <c r="P121" s="14"/>
      <c r="Q121" s="14"/>
      <c r="R121" s="14"/>
      <c r="S121" s="14"/>
      <c r="T121" s="70"/>
      <c r="U121" s="76">
        <v>4.68</v>
      </c>
      <c r="V121" s="76">
        <v>0</v>
      </c>
      <c r="W121" s="76">
        <v>4.68</v>
      </c>
      <c r="X121" s="76">
        <v>0</v>
      </c>
      <c r="Y121" s="77" t="s">
        <v>35</v>
      </c>
      <c r="Z121" s="98">
        <v>1100</v>
      </c>
      <c r="AA121" s="79" t="s">
        <v>121</v>
      </c>
      <c r="AB121" s="79" t="s">
        <v>35</v>
      </c>
      <c r="AC121" s="79" t="s">
        <v>37</v>
      </c>
      <c r="AD121" s="79" t="s">
        <v>38</v>
      </c>
      <c r="AE121" s="79"/>
      <c r="AF121" s="79"/>
      <c r="AG121" s="79"/>
      <c r="AH121" s="79"/>
      <c r="AI121" s="53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</row>
    <row r="122" spans="1:110" ht="12.75" customHeight="1" x14ac:dyDescent="0.25">
      <c r="A122" s="24">
        <v>1103034</v>
      </c>
      <c r="B122" s="11" t="s">
        <v>30</v>
      </c>
      <c r="C122" s="12" t="s">
        <v>1542</v>
      </c>
      <c r="D122" s="11" t="s">
        <v>259</v>
      </c>
      <c r="E122" s="10" t="s">
        <v>1545</v>
      </c>
      <c r="F122" s="10" t="s">
        <v>34</v>
      </c>
      <c r="G122" s="55">
        <f t="shared" si="2"/>
        <v>3.7250000000000001</v>
      </c>
      <c r="H122" s="10">
        <v>10</v>
      </c>
      <c r="I122" s="13">
        <v>55</v>
      </c>
      <c r="J122" s="56">
        <v>44448</v>
      </c>
      <c r="K122" s="57">
        <v>3.15</v>
      </c>
      <c r="M122" s="14"/>
      <c r="N122" s="14"/>
      <c r="O122" s="14"/>
      <c r="P122" s="14"/>
      <c r="Q122" s="14"/>
      <c r="R122" s="14"/>
      <c r="S122" s="14"/>
      <c r="T122" s="70"/>
      <c r="U122" s="76">
        <v>3.68</v>
      </c>
      <c r="V122" s="76">
        <v>4.4999999999999998E-2</v>
      </c>
      <c r="W122" s="76">
        <v>3.68</v>
      </c>
      <c r="X122" s="76">
        <v>4.4999999999999998E-2</v>
      </c>
      <c r="Y122" s="77" t="s">
        <v>37</v>
      </c>
      <c r="Z122" s="98">
        <v>55</v>
      </c>
      <c r="AA122" s="79" t="s">
        <v>121</v>
      </c>
      <c r="AB122" s="79" t="s">
        <v>35</v>
      </c>
      <c r="AC122" s="79" t="s">
        <v>37</v>
      </c>
      <c r="AD122" s="79" t="s">
        <v>38</v>
      </c>
      <c r="AE122" s="79" t="s">
        <v>1543</v>
      </c>
      <c r="AF122" s="79" t="s">
        <v>1544</v>
      </c>
      <c r="AG122" s="79" t="s">
        <v>1546</v>
      </c>
      <c r="AH122" s="79"/>
      <c r="AI122" s="53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</row>
    <row r="123" spans="1:110" ht="17.25" customHeight="1" x14ac:dyDescent="0.25">
      <c r="A123" s="24">
        <v>1103035</v>
      </c>
      <c r="B123" s="11" t="s">
        <v>30</v>
      </c>
      <c r="C123" s="12" t="s">
        <v>288</v>
      </c>
      <c r="D123" s="11" t="s">
        <v>259</v>
      </c>
      <c r="E123" s="10"/>
      <c r="F123" s="10" t="s">
        <v>34</v>
      </c>
      <c r="G123" s="55">
        <f t="shared" si="2"/>
        <v>0</v>
      </c>
      <c r="H123" s="10"/>
      <c r="I123" s="13"/>
      <c r="J123" s="56"/>
      <c r="K123" s="57"/>
      <c r="M123" s="14"/>
      <c r="N123" s="14"/>
      <c r="O123" s="14"/>
      <c r="P123" s="14"/>
      <c r="Q123" s="14"/>
      <c r="R123" s="14"/>
      <c r="S123" s="14"/>
      <c r="T123" s="70"/>
      <c r="U123" s="76"/>
      <c r="V123" s="76"/>
      <c r="W123" s="76"/>
      <c r="X123" s="76"/>
      <c r="Y123" s="77"/>
      <c r="Z123" s="98"/>
      <c r="AA123" s="79"/>
      <c r="AB123" s="79"/>
      <c r="AC123" s="79"/>
      <c r="AD123" s="79"/>
      <c r="AE123" s="79"/>
      <c r="AF123" s="79"/>
      <c r="AG123" s="79"/>
      <c r="AH123" s="79"/>
      <c r="AI123" s="53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</row>
    <row r="124" spans="1:110" ht="16.5" customHeight="1" x14ac:dyDescent="0.25">
      <c r="A124" s="24">
        <v>1103036</v>
      </c>
      <c r="B124" s="11" t="s">
        <v>30</v>
      </c>
      <c r="C124" s="12" t="s">
        <v>1507</v>
      </c>
      <c r="D124" s="11" t="s">
        <v>259</v>
      </c>
      <c r="E124" s="10" t="s">
        <v>33</v>
      </c>
      <c r="F124" s="10" t="s">
        <v>34</v>
      </c>
      <c r="G124" s="55">
        <f t="shared" si="2"/>
        <v>0</v>
      </c>
      <c r="H124" s="10">
        <v>6</v>
      </c>
      <c r="I124" s="13">
        <v>1500</v>
      </c>
      <c r="J124" s="56"/>
      <c r="K124" s="57"/>
      <c r="M124" s="14"/>
      <c r="N124" s="14"/>
      <c r="O124" s="14"/>
      <c r="P124" s="14"/>
      <c r="Q124" s="14"/>
      <c r="R124" s="14"/>
      <c r="S124" s="14"/>
      <c r="T124" s="70"/>
      <c r="U124" s="76"/>
      <c r="V124" s="76"/>
      <c r="W124" s="76"/>
      <c r="X124" s="76"/>
      <c r="Y124" s="77"/>
      <c r="Z124" s="98"/>
      <c r="AA124" s="79"/>
      <c r="AB124" s="79"/>
      <c r="AC124" s="79"/>
      <c r="AD124" s="79"/>
      <c r="AE124" s="79"/>
      <c r="AF124" s="79"/>
      <c r="AG124" s="79"/>
      <c r="AH124" s="79"/>
      <c r="AI124" s="53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</row>
    <row r="125" spans="1:110" ht="16.5" customHeight="1" x14ac:dyDescent="0.25">
      <c r="A125" s="24">
        <v>1103037</v>
      </c>
      <c r="B125" s="11" t="s">
        <v>30</v>
      </c>
      <c r="C125" s="12" t="s">
        <v>1574</v>
      </c>
      <c r="D125" s="11" t="s">
        <v>259</v>
      </c>
      <c r="E125" s="10" t="s">
        <v>164</v>
      </c>
      <c r="F125" s="10" t="s">
        <v>34</v>
      </c>
      <c r="G125" s="55">
        <f t="shared" si="2"/>
        <v>2.3311680924603788</v>
      </c>
      <c r="H125" s="10">
        <v>12</v>
      </c>
      <c r="I125" s="13">
        <v>1500</v>
      </c>
      <c r="J125" s="56"/>
      <c r="K125" s="57"/>
      <c r="M125" s="14"/>
      <c r="N125" s="14"/>
      <c r="O125" s="14"/>
      <c r="P125" s="14"/>
      <c r="Q125" s="14"/>
      <c r="R125" s="14"/>
      <c r="S125" s="14"/>
      <c r="T125" s="70"/>
      <c r="U125" s="76">
        <f>4.5/2.20462</f>
        <v>2.0411680924603788</v>
      </c>
      <c r="V125" s="76">
        <v>0.28999999999999998</v>
      </c>
      <c r="W125" s="76">
        <v>2.0411999999999999</v>
      </c>
      <c r="X125" s="76">
        <v>0.28999999999999998</v>
      </c>
      <c r="Y125" s="77" t="s">
        <v>35</v>
      </c>
      <c r="Z125" s="98">
        <v>1500</v>
      </c>
      <c r="AA125" s="79" t="s">
        <v>36</v>
      </c>
      <c r="AB125" s="79" t="s">
        <v>35</v>
      </c>
      <c r="AC125" s="79" t="s">
        <v>37</v>
      </c>
      <c r="AD125" s="79" t="s">
        <v>38</v>
      </c>
      <c r="AE125" s="79" t="s">
        <v>1575</v>
      </c>
      <c r="AF125" s="79"/>
      <c r="AG125" s="79" t="s">
        <v>1576</v>
      </c>
      <c r="AH125" s="79"/>
      <c r="AI125" s="53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</row>
    <row r="126" spans="1:110" ht="16.5" customHeight="1" x14ac:dyDescent="0.25">
      <c r="A126" s="24">
        <v>1103038</v>
      </c>
      <c r="B126" s="11" t="s">
        <v>30</v>
      </c>
      <c r="C126" s="12" t="s">
        <v>1641</v>
      </c>
      <c r="D126" s="11" t="s">
        <v>32</v>
      </c>
      <c r="E126" s="10" t="s">
        <v>1642</v>
      </c>
      <c r="F126" s="10" t="s">
        <v>34</v>
      </c>
      <c r="G126" s="55" t="s">
        <v>370</v>
      </c>
      <c r="H126" s="10">
        <v>12</v>
      </c>
      <c r="I126" s="13">
        <v>2200</v>
      </c>
      <c r="J126" s="56"/>
      <c r="K126" s="57"/>
      <c r="M126" s="14"/>
      <c r="N126" s="14"/>
      <c r="O126" s="14"/>
      <c r="P126" s="14"/>
      <c r="Q126" s="14"/>
      <c r="R126" s="14"/>
      <c r="S126" s="14"/>
      <c r="T126" s="70"/>
      <c r="U126" s="76"/>
      <c r="V126" s="76"/>
      <c r="W126" s="76"/>
      <c r="X126" s="76"/>
      <c r="Y126" s="77"/>
      <c r="Z126" s="98"/>
      <c r="AA126" s="79"/>
      <c r="AB126" s="79"/>
      <c r="AC126" s="79"/>
      <c r="AD126" s="79"/>
      <c r="AE126" s="79"/>
      <c r="AF126" s="79"/>
      <c r="AG126" s="79"/>
      <c r="AH126" s="79"/>
      <c r="AI126" s="53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</row>
    <row r="127" spans="1:110" ht="16.5" customHeight="1" x14ac:dyDescent="0.25">
      <c r="A127" s="24">
        <v>1103039</v>
      </c>
      <c r="B127" s="11" t="s">
        <v>30</v>
      </c>
      <c r="C127" s="12" t="s">
        <v>1644</v>
      </c>
      <c r="D127" s="11" t="s">
        <v>32</v>
      </c>
      <c r="E127" s="10" t="s">
        <v>1642</v>
      </c>
      <c r="F127" s="10" t="s">
        <v>34</v>
      </c>
      <c r="G127" s="55" t="s">
        <v>370</v>
      </c>
      <c r="H127" s="10"/>
      <c r="I127" s="13"/>
      <c r="J127" s="56"/>
      <c r="K127" s="57"/>
      <c r="M127" s="14"/>
      <c r="N127" s="14"/>
      <c r="O127" s="14"/>
      <c r="P127" s="14"/>
      <c r="Q127" s="14"/>
      <c r="R127" s="14"/>
      <c r="S127" s="14"/>
      <c r="T127" s="70"/>
      <c r="U127" s="76"/>
      <c r="V127" s="76"/>
      <c r="W127" s="76"/>
      <c r="X127" s="76"/>
      <c r="Y127" s="77"/>
      <c r="Z127" s="98"/>
      <c r="AA127" s="79"/>
      <c r="AB127" s="79"/>
      <c r="AC127" s="79"/>
      <c r="AD127" s="79"/>
      <c r="AE127" s="79"/>
      <c r="AF127" s="79"/>
      <c r="AG127" s="79"/>
      <c r="AH127" s="79"/>
      <c r="AI127" s="53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</row>
    <row r="128" spans="1:110" ht="13.8" x14ac:dyDescent="0.25">
      <c r="A128" s="24">
        <v>1103100</v>
      </c>
      <c r="B128" s="11" t="s">
        <v>30</v>
      </c>
      <c r="C128" s="12" t="s">
        <v>274</v>
      </c>
      <c r="D128" s="24" t="s">
        <v>275</v>
      </c>
      <c r="E128" s="24" t="s">
        <v>276</v>
      </c>
      <c r="F128" s="10" t="s">
        <v>34</v>
      </c>
      <c r="G128" s="55">
        <f t="shared" si="2"/>
        <v>9.7799999999999994</v>
      </c>
      <c r="H128" s="10">
        <v>8</v>
      </c>
      <c r="I128" s="13"/>
      <c r="J128" s="56"/>
      <c r="K128" s="57"/>
      <c r="M128" s="14">
        <v>9.7799999999999994</v>
      </c>
      <c r="N128" s="14"/>
      <c r="O128" s="14"/>
      <c r="P128" s="14"/>
      <c r="Q128" s="14"/>
      <c r="R128" s="14"/>
      <c r="S128" s="14"/>
      <c r="T128" s="70"/>
      <c r="U128" s="76">
        <v>9.7799999999999994</v>
      </c>
      <c r="V128" s="76">
        <v>0</v>
      </c>
      <c r="W128" s="76">
        <v>4.2</v>
      </c>
      <c r="X128" s="76">
        <v>2.5999999999999999E-2</v>
      </c>
      <c r="Y128" s="77" t="s">
        <v>37</v>
      </c>
      <c r="Z128" s="78">
        <v>55</v>
      </c>
      <c r="AA128" s="79" t="s">
        <v>277</v>
      </c>
      <c r="AB128" s="79" t="s">
        <v>35</v>
      </c>
      <c r="AC128" s="79" t="s">
        <v>35</v>
      </c>
      <c r="AD128" s="91" t="s">
        <v>57</v>
      </c>
      <c r="AE128" s="79" t="s">
        <v>278</v>
      </c>
      <c r="AF128" s="83" t="s">
        <v>279</v>
      </c>
      <c r="AG128" s="79" t="s">
        <v>280</v>
      </c>
      <c r="AH128" s="79"/>
      <c r="AI128" s="53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</row>
    <row r="129" spans="1:110" ht="13.8" x14ac:dyDescent="0.25">
      <c r="A129" s="24">
        <v>1103101</v>
      </c>
      <c r="B129" s="11" t="s">
        <v>30</v>
      </c>
      <c r="C129" s="12" t="s">
        <v>281</v>
      </c>
      <c r="D129" s="11"/>
      <c r="E129" s="10" t="s">
        <v>282</v>
      </c>
      <c r="F129" s="10" t="s">
        <v>34</v>
      </c>
      <c r="G129" s="55" t="str">
        <f t="shared" si="2"/>
        <v>Obsolete</v>
      </c>
      <c r="H129" s="10"/>
      <c r="I129" s="13"/>
      <c r="J129" s="56"/>
      <c r="K129" s="57"/>
      <c r="M129" s="14"/>
      <c r="N129" s="14"/>
      <c r="O129" s="14"/>
      <c r="P129" s="14"/>
      <c r="Q129" s="14"/>
      <c r="R129" s="14"/>
      <c r="S129" s="14"/>
      <c r="T129" s="70">
        <v>2.1564999999999999</v>
      </c>
      <c r="U129" s="76" t="s">
        <v>54</v>
      </c>
      <c r="V129" s="76"/>
      <c r="W129" s="76" t="s">
        <v>54</v>
      </c>
      <c r="X129" s="76"/>
      <c r="Y129" s="77"/>
      <c r="Z129" s="78"/>
      <c r="AA129" s="79" t="s">
        <v>277</v>
      </c>
      <c r="AB129" s="79" t="s">
        <v>37</v>
      </c>
      <c r="AC129" s="79" t="s">
        <v>35</v>
      </c>
      <c r="AD129" s="79"/>
      <c r="AE129" s="79"/>
      <c r="AF129" s="79"/>
      <c r="AG129" s="79"/>
      <c r="AH129" s="79"/>
      <c r="AI129" s="53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</row>
    <row r="130" spans="1:110" ht="13.8" x14ac:dyDescent="0.25">
      <c r="A130" s="24">
        <v>1103102</v>
      </c>
      <c r="B130" s="11" t="s">
        <v>30</v>
      </c>
      <c r="C130" s="12" t="s">
        <v>1577</v>
      </c>
      <c r="D130" s="11" t="s">
        <v>43</v>
      </c>
      <c r="E130" s="10" t="s">
        <v>283</v>
      </c>
      <c r="F130" s="10" t="s">
        <v>34</v>
      </c>
      <c r="G130" s="55">
        <f t="shared" si="2"/>
        <v>2.835</v>
      </c>
      <c r="H130" s="10"/>
      <c r="I130" s="13"/>
      <c r="J130" s="56"/>
      <c r="K130" s="57"/>
      <c r="M130" s="14"/>
      <c r="N130" s="14">
        <v>2.79</v>
      </c>
      <c r="O130" s="14"/>
      <c r="P130" s="14"/>
      <c r="Q130" s="14"/>
      <c r="R130" s="14"/>
      <c r="S130" s="14"/>
      <c r="T130" s="70"/>
      <c r="U130" s="76">
        <v>2.79</v>
      </c>
      <c r="V130" s="76">
        <v>4.4999999999999998E-2</v>
      </c>
      <c r="W130" s="76">
        <v>2.79</v>
      </c>
      <c r="X130" s="76">
        <v>4.4999999999999998E-2</v>
      </c>
      <c r="Y130" s="77" t="s">
        <v>37</v>
      </c>
      <c r="Z130" s="78">
        <v>50</v>
      </c>
      <c r="AA130" s="79" t="s">
        <v>284</v>
      </c>
      <c r="AB130" s="79" t="s">
        <v>35</v>
      </c>
      <c r="AC130" s="79" t="s">
        <v>37</v>
      </c>
      <c r="AD130" s="79" t="s">
        <v>38</v>
      </c>
      <c r="AE130" s="79" t="s">
        <v>285</v>
      </c>
      <c r="AF130" s="79" t="s">
        <v>286</v>
      </c>
      <c r="AG130" s="79" t="s">
        <v>287</v>
      </c>
      <c r="AH130" s="79"/>
      <c r="AI130" s="53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</row>
    <row r="131" spans="1:110" ht="14.25" customHeight="1" x14ac:dyDescent="0.25">
      <c r="A131" s="24">
        <v>1103035</v>
      </c>
      <c r="B131" s="11" t="s">
        <v>30</v>
      </c>
      <c r="C131" s="12" t="s">
        <v>288</v>
      </c>
      <c r="D131" s="11" t="s">
        <v>259</v>
      </c>
      <c r="E131" s="10" t="s">
        <v>289</v>
      </c>
      <c r="F131" s="10" t="s">
        <v>34</v>
      </c>
      <c r="G131" s="55">
        <f t="shared" si="2"/>
        <v>2.2400000000000002</v>
      </c>
      <c r="H131" s="10"/>
      <c r="I131" s="13"/>
      <c r="J131" s="56"/>
      <c r="K131" s="57"/>
      <c r="M131" s="14"/>
      <c r="N131" s="14"/>
      <c r="O131" s="14"/>
      <c r="P131" s="14"/>
      <c r="Q131" s="14"/>
      <c r="R131" s="14"/>
      <c r="S131" s="14"/>
      <c r="T131" s="70"/>
      <c r="U131" s="76">
        <v>2.2400000000000002</v>
      </c>
      <c r="V131" s="76">
        <v>0</v>
      </c>
      <c r="W131" s="76">
        <v>2.2400000000000002</v>
      </c>
      <c r="X131" s="76">
        <v>0</v>
      </c>
      <c r="Y131" s="77"/>
      <c r="Z131" s="98">
        <v>55</v>
      </c>
      <c r="AA131" s="79" t="s">
        <v>289</v>
      </c>
      <c r="AB131" s="79" t="s">
        <v>35</v>
      </c>
      <c r="AC131" s="79" t="s">
        <v>35</v>
      </c>
      <c r="AD131" s="79"/>
      <c r="AE131" s="79"/>
      <c r="AF131" s="79"/>
      <c r="AG131" s="79"/>
      <c r="AH131" s="79"/>
      <c r="AI131" s="53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</row>
    <row r="132" spans="1:110" ht="13.8" x14ac:dyDescent="0.25">
      <c r="A132" s="24">
        <v>1104001</v>
      </c>
      <c r="B132" s="11" t="s">
        <v>30</v>
      </c>
      <c r="C132" s="12" t="s">
        <v>290</v>
      </c>
      <c r="D132" s="11" t="s">
        <v>131</v>
      </c>
      <c r="E132" s="10" t="s">
        <v>132</v>
      </c>
      <c r="F132" s="10" t="s">
        <v>34</v>
      </c>
      <c r="G132" s="55" t="str">
        <f t="shared" ref="G132:G158" si="3">IF(U132="Obsolete",U132,U132+V132)</f>
        <v>Obsolete</v>
      </c>
      <c r="H132" s="10">
        <v>10</v>
      </c>
      <c r="I132" s="13">
        <v>2000</v>
      </c>
      <c r="J132" s="56"/>
      <c r="K132" s="57"/>
      <c r="M132" s="14"/>
      <c r="N132" s="14"/>
      <c r="O132" s="14"/>
      <c r="P132" s="14"/>
      <c r="Q132" s="14"/>
      <c r="R132" s="14"/>
      <c r="S132" s="14"/>
      <c r="T132" s="70"/>
      <c r="U132" s="76" t="s">
        <v>54</v>
      </c>
      <c r="V132" s="76"/>
      <c r="W132" s="76" t="s">
        <v>54</v>
      </c>
      <c r="X132" s="76"/>
      <c r="Y132" s="97"/>
      <c r="Z132" s="78">
        <v>55</v>
      </c>
      <c r="AA132" s="79" t="s">
        <v>36</v>
      </c>
      <c r="AB132" s="79" t="s">
        <v>37</v>
      </c>
      <c r="AC132" s="79" t="s">
        <v>37</v>
      </c>
      <c r="AD132" s="79"/>
      <c r="AE132" s="79" t="s">
        <v>133</v>
      </c>
      <c r="AF132" s="79" t="s">
        <v>134</v>
      </c>
      <c r="AG132" s="79" t="s">
        <v>135</v>
      </c>
      <c r="AH132" s="79"/>
      <c r="AI132" s="53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</row>
    <row r="133" spans="1:110" ht="13.8" x14ac:dyDescent="0.25">
      <c r="A133" s="24">
        <v>1104002</v>
      </c>
      <c r="B133" s="11" t="s">
        <v>30</v>
      </c>
      <c r="C133" s="25" t="s">
        <v>291</v>
      </c>
      <c r="D133" s="26" t="s">
        <v>131</v>
      </c>
      <c r="E133" s="10" t="s">
        <v>132</v>
      </c>
      <c r="F133" s="10" t="s">
        <v>34</v>
      </c>
      <c r="G133" s="55" t="str">
        <f t="shared" si="3"/>
        <v>Obsolete</v>
      </c>
      <c r="H133" s="10">
        <v>10</v>
      </c>
      <c r="I133" s="13">
        <v>2000</v>
      </c>
      <c r="J133" s="56"/>
      <c r="K133" s="57"/>
      <c r="M133" s="14"/>
      <c r="N133" s="14">
        <v>1.99</v>
      </c>
      <c r="O133" s="14"/>
      <c r="P133" s="14"/>
      <c r="Q133" s="14"/>
      <c r="R133" s="14"/>
      <c r="S133" s="14"/>
      <c r="T133" s="70"/>
      <c r="U133" s="76" t="s">
        <v>54</v>
      </c>
      <c r="V133" s="76"/>
      <c r="W133" s="76" t="s">
        <v>54</v>
      </c>
      <c r="X133" s="76"/>
      <c r="Y133" s="97"/>
      <c r="Z133" s="78">
        <v>55</v>
      </c>
      <c r="AA133" s="79" t="s">
        <v>292</v>
      </c>
      <c r="AB133" s="79" t="s">
        <v>37</v>
      </c>
      <c r="AC133" s="79" t="s">
        <v>37</v>
      </c>
      <c r="AD133" s="79"/>
      <c r="AE133" s="79" t="s">
        <v>133</v>
      </c>
      <c r="AF133" s="79" t="s">
        <v>134</v>
      </c>
      <c r="AG133" s="79" t="s">
        <v>135</v>
      </c>
      <c r="AH133" s="79"/>
      <c r="AI133" s="53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</row>
    <row r="134" spans="1:110" ht="13.8" x14ac:dyDescent="0.25">
      <c r="A134" s="122">
        <v>1104003</v>
      </c>
      <c r="B134" s="11" t="s">
        <v>30</v>
      </c>
      <c r="C134" s="25" t="s">
        <v>293</v>
      </c>
      <c r="D134" s="26" t="s">
        <v>131</v>
      </c>
      <c r="E134" s="10" t="s">
        <v>1619</v>
      </c>
      <c r="F134" s="10" t="s">
        <v>34</v>
      </c>
      <c r="G134" s="55">
        <f t="shared" si="3"/>
        <v>3.355</v>
      </c>
      <c r="H134" s="10">
        <v>10</v>
      </c>
      <c r="I134" s="13">
        <v>55</v>
      </c>
      <c r="J134" s="56">
        <v>44616</v>
      </c>
      <c r="K134" s="57">
        <v>2.9950000000000001</v>
      </c>
      <c r="M134" s="14"/>
      <c r="N134" s="14"/>
      <c r="O134" s="14"/>
      <c r="P134" s="14">
        <v>3.31</v>
      </c>
      <c r="Q134" s="14"/>
      <c r="R134" s="14"/>
      <c r="S134" s="14"/>
      <c r="T134" s="70"/>
      <c r="U134" s="14">
        <v>3.31</v>
      </c>
      <c r="V134" s="76">
        <v>4.4999999999999998E-2</v>
      </c>
      <c r="W134" s="14">
        <v>3.31</v>
      </c>
      <c r="X134" s="76">
        <v>4.4999999999999998E-2</v>
      </c>
      <c r="Y134" s="77" t="s">
        <v>37</v>
      </c>
      <c r="Z134" s="78">
        <v>55</v>
      </c>
      <c r="AA134" s="79" t="s">
        <v>121</v>
      </c>
      <c r="AB134" s="79" t="s">
        <v>35</v>
      </c>
      <c r="AC134" s="79" t="s">
        <v>37</v>
      </c>
      <c r="AD134" s="79" t="s">
        <v>38</v>
      </c>
      <c r="AE134" s="79" t="s">
        <v>50</v>
      </c>
      <c r="AF134" s="79" t="s">
        <v>51</v>
      </c>
      <c r="AG134" s="79" t="s">
        <v>52</v>
      </c>
      <c r="AH134" s="79"/>
      <c r="AI134" s="53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</row>
    <row r="135" spans="1:110" ht="13.8" x14ac:dyDescent="0.25">
      <c r="A135" s="24">
        <v>1104004</v>
      </c>
      <c r="B135" s="11" t="s">
        <v>30</v>
      </c>
      <c r="C135" s="25" t="s">
        <v>294</v>
      </c>
      <c r="D135" s="26" t="s">
        <v>131</v>
      </c>
      <c r="E135" s="10" t="s">
        <v>194</v>
      </c>
      <c r="F135" s="10" t="s">
        <v>34</v>
      </c>
      <c r="G135" s="55" t="str">
        <f t="shared" si="3"/>
        <v>Obsolete</v>
      </c>
      <c r="H135" s="10">
        <v>8</v>
      </c>
      <c r="I135" s="13">
        <v>1100</v>
      </c>
      <c r="J135" s="56"/>
      <c r="K135" s="57"/>
      <c r="M135" s="14"/>
      <c r="N135" s="14"/>
      <c r="O135" s="14">
        <v>2.84</v>
      </c>
      <c r="P135" s="14"/>
      <c r="Q135" s="14"/>
      <c r="R135" s="14"/>
      <c r="S135" s="14"/>
      <c r="T135" s="70"/>
      <c r="U135" s="76" t="s">
        <v>54</v>
      </c>
      <c r="V135" s="76"/>
      <c r="W135" s="76" t="s">
        <v>54</v>
      </c>
      <c r="X135" s="76"/>
      <c r="Y135" s="97"/>
      <c r="Z135" s="87">
        <v>55</v>
      </c>
      <c r="AA135" s="79" t="s">
        <v>189</v>
      </c>
      <c r="AB135" s="79" t="s">
        <v>37</v>
      </c>
      <c r="AC135" s="79" t="s">
        <v>37</v>
      </c>
      <c r="AD135" s="79"/>
      <c r="AE135" s="79" t="s">
        <v>201</v>
      </c>
      <c r="AF135" s="79" t="s">
        <v>202</v>
      </c>
      <c r="AG135" s="79" t="s">
        <v>203</v>
      </c>
      <c r="AH135" s="79"/>
      <c r="AI135" s="53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</row>
    <row r="136" spans="1:110" ht="13.8" x14ac:dyDescent="0.25">
      <c r="A136" s="24">
        <v>1104005</v>
      </c>
      <c r="B136" s="11" t="s">
        <v>30</v>
      </c>
      <c r="C136" s="31" t="s">
        <v>295</v>
      </c>
      <c r="D136" s="26" t="s">
        <v>131</v>
      </c>
      <c r="E136" s="10" t="s">
        <v>276</v>
      </c>
      <c r="F136" s="10" t="s">
        <v>34</v>
      </c>
      <c r="G136" s="55">
        <f t="shared" si="3"/>
        <v>8.84</v>
      </c>
      <c r="H136" s="10">
        <v>5</v>
      </c>
      <c r="I136" s="13">
        <v>220</v>
      </c>
      <c r="J136" s="56"/>
      <c r="K136" s="57"/>
      <c r="M136" s="14">
        <v>8.84</v>
      </c>
      <c r="N136" s="14"/>
      <c r="O136" s="14"/>
      <c r="P136" s="14"/>
      <c r="Q136" s="14"/>
      <c r="R136" s="14"/>
      <c r="S136" s="14"/>
      <c r="T136" s="70"/>
      <c r="U136" s="76">
        <v>8.84</v>
      </c>
      <c r="V136" s="76">
        <v>0</v>
      </c>
      <c r="W136" s="76">
        <v>3.95</v>
      </c>
      <c r="X136" s="76">
        <v>2.5999999999999999E-2</v>
      </c>
      <c r="Y136" s="77" t="s">
        <v>37</v>
      </c>
      <c r="Z136" s="87">
        <v>55</v>
      </c>
      <c r="AA136" s="79" t="s">
        <v>102</v>
      </c>
      <c r="AB136" s="79" t="s">
        <v>35</v>
      </c>
      <c r="AC136" s="79" t="s">
        <v>35</v>
      </c>
      <c r="AD136" s="79" t="s">
        <v>296</v>
      </c>
      <c r="AE136" s="79" t="s">
        <v>278</v>
      </c>
      <c r="AF136" s="83" t="s">
        <v>279</v>
      </c>
      <c r="AG136" s="79" t="s">
        <v>280</v>
      </c>
      <c r="AH136" s="79"/>
      <c r="AI136" s="53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</row>
    <row r="137" spans="1:110" ht="20.399999999999999" x14ac:dyDescent="0.25">
      <c r="A137" s="24">
        <v>1104006</v>
      </c>
      <c r="B137" s="11" t="s">
        <v>30</v>
      </c>
      <c r="C137" s="25" t="s">
        <v>297</v>
      </c>
      <c r="D137" s="26" t="s">
        <v>131</v>
      </c>
      <c r="E137" s="10" t="s">
        <v>242</v>
      </c>
      <c r="F137" s="10" t="s">
        <v>34</v>
      </c>
      <c r="G137" s="55" t="str">
        <f t="shared" si="3"/>
        <v>Obsolete</v>
      </c>
      <c r="H137" s="10"/>
      <c r="I137" s="13"/>
      <c r="J137" s="56"/>
      <c r="K137" s="57"/>
      <c r="M137" s="14"/>
      <c r="N137" s="14"/>
      <c r="O137" s="14"/>
      <c r="P137" s="14"/>
      <c r="Q137" s="14"/>
      <c r="R137" s="14"/>
      <c r="S137" s="14"/>
      <c r="T137" s="70"/>
      <c r="U137" s="76" t="s">
        <v>54</v>
      </c>
      <c r="V137" s="76"/>
      <c r="W137" s="76" t="s">
        <v>54</v>
      </c>
      <c r="X137" s="76"/>
      <c r="Y137" s="97"/>
      <c r="Z137" s="87"/>
      <c r="AA137" s="79" t="s">
        <v>242</v>
      </c>
      <c r="AB137" s="79" t="s">
        <v>37</v>
      </c>
      <c r="AC137" s="79" t="s">
        <v>37</v>
      </c>
      <c r="AD137" s="79"/>
      <c r="AE137" s="79" t="s">
        <v>298</v>
      </c>
      <c r="AF137" s="79" t="s">
        <v>299</v>
      </c>
      <c r="AG137" s="79" t="s">
        <v>300</v>
      </c>
      <c r="AH137" s="79"/>
      <c r="AI137" s="53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</row>
    <row r="138" spans="1:110" ht="13.8" x14ac:dyDescent="0.25">
      <c r="A138" s="24">
        <v>1104007</v>
      </c>
      <c r="B138" s="11" t="s">
        <v>30</v>
      </c>
      <c r="C138" s="16" t="s">
        <v>301</v>
      </c>
      <c r="D138" s="26" t="s">
        <v>131</v>
      </c>
      <c r="E138" s="10" t="s">
        <v>1619</v>
      </c>
      <c r="F138" s="10" t="s">
        <v>34</v>
      </c>
      <c r="G138" s="55">
        <f t="shared" si="3"/>
        <v>6.25</v>
      </c>
      <c r="H138" s="10">
        <v>9</v>
      </c>
      <c r="I138" s="13">
        <v>55</v>
      </c>
      <c r="J138" s="56"/>
      <c r="K138" s="57"/>
      <c r="M138" s="14">
        <v>5.53</v>
      </c>
      <c r="N138" s="14"/>
      <c r="O138" s="14"/>
      <c r="P138" s="14"/>
      <c r="Q138" s="14"/>
      <c r="R138" s="14"/>
      <c r="S138" s="14"/>
      <c r="T138" s="70"/>
      <c r="U138" s="76">
        <v>5.53</v>
      </c>
      <c r="V138" s="76">
        <v>0.72</v>
      </c>
      <c r="W138" s="76">
        <v>5.53</v>
      </c>
      <c r="X138" s="76">
        <v>0.72</v>
      </c>
      <c r="Y138" s="77" t="s">
        <v>37</v>
      </c>
      <c r="Z138" s="87">
        <v>55</v>
      </c>
      <c r="AA138" s="79" t="s">
        <v>36</v>
      </c>
      <c r="AB138" s="79" t="s">
        <v>35</v>
      </c>
      <c r="AC138" s="79" t="s">
        <v>37</v>
      </c>
      <c r="AD138" s="79" t="s">
        <v>38</v>
      </c>
      <c r="AE138" s="79" t="s">
        <v>50</v>
      </c>
      <c r="AF138" s="79" t="s">
        <v>51</v>
      </c>
      <c r="AG138" s="79" t="s">
        <v>52</v>
      </c>
      <c r="AH138" s="79"/>
      <c r="AI138" s="53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</row>
    <row r="139" spans="1:110" ht="13.8" x14ac:dyDescent="0.25">
      <c r="A139" s="24">
        <v>1104008</v>
      </c>
      <c r="B139" s="11" t="s">
        <v>30</v>
      </c>
      <c r="C139" s="16" t="s">
        <v>302</v>
      </c>
      <c r="D139" s="26" t="s">
        <v>131</v>
      </c>
      <c r="E139" s="10" t="s">
        <v>1619</v>
      </c>
      <c r="F139" s="10" t="s">
        <v>34</v>
      </c>
      <c r="G139" s="55">
        <f t="shared" si="3"/>
        <v>4.13</v>
      </c>
      <c r="H139" s="10">
        <v>10</v>
      </c>
      <c r="I139" s="13">
        <v>55</v>
      </c>
      <c r="J139" s="56"/>
      <c r="K139" s="57"/>
      <c r="M139" s="14">
        <v>3.35</v>
      </c>
      <c r="N139" s="14"/>
      <c r="O139" s="14"/>
      <c r="P139" s="14"/>
      <c r="Q139" s="14"/>
      <c r="R139" s="14"/>
      <c r="S139" s="14"/>
      <c r="T139" s="70"/>
      <c r="U139" s="76">
        <v>3.41</v>
      </c>
      <c r="V139" s="76">
        <v>0.72</v>
      </c>
      <c r="W139" s="76">
        <v>3.41</v>
      </c>
      <c r="X139" s="76">
        <v>0.72</v>
      </c>
      <c r="Y139" s="77" t="s">
        <v>37</v>
      </c>
      <c r="Z139" s="87">
        <v>55</v>
      </c>
      <c r="AA139" s="79" t="s">
        <v>36</v>
      </c>
      <c r="AB139" s="79" t="s">
        <v>35</v>
      </c>
      <c r="AC139" s="79" t="s">
        <v>37</v>
      </c>
      <c r="AD139" s="79" t="s">
        <v>38</v>
      </c>
      <c r="AE139" s="79" t="s">
        <v>50</v>
      </c>
      <c r="AF139" s="79" t="s">
        <v>51</v>
      </c>
      <c r="AG139" s="79" t="s">
        <v>52</v>
      </c>
      <c r="AH139" s="79"/>
      <c r="AI139" s="53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</row>
    <row r="140" spans="1:110" ht="13.8" x14ac:dyDescent="0.25">
      <c r="A140" s="24">
        <v>1104009</v>
      </c>
      <c r="B140" s="11" t="s">
        <v>30</v>
      </c>
      <c r="C140" s="16" t="s">
        <v>303</v>
      </c>
      <c r="D140" s="26" t="s">
        <v>131</v>
      </c>
      <c r="E140" s="10" t="s">
        <v>1619</v>
      </c>
      <c r="F140" s="10" t="s">
        <v>34</v>
      </c>
      <c r="G140" s="55">
        <f t="shared" si="3"/>
        <v>4.03</v>
      </c>
      <c r="H140" s="10">
        <v>10</v>
      </c>
      <c r="I140" s="13">
        <v>55</v>
      </c>
      <c r="J140" s="56">
        <v>44546</v>
      </c>
      <c r="K140" s="57">
        <v>2.4700000000000002</v>
      </c>
      <c r="M140" s="14">
        <v>2.4700000000000002</v>
      </c>
      <c r="N140" s="14"/>
      <c r="O140" s="14"/>
      <c r="P140" s="14">
        <v>3.31</v>
      </c>
      <c r="Q140" s="14"/>
      <c r="R140" s="14"/>
      <c r="S140" s="14"/>
      <c r="T140" s="70"/>
      <c r="U140" s="76">
        <v>3.31</v>
      </c>
      <c r="V140" s="76">
        <v>0.72</v>
      </c>
      <c r="W140" s="76">
        <v>3.31</v>
      </c>
      <c r="X140" s="76">
        <v>0.72</v>
      </c>
      <c r="Y140" s="77" t="s">
        <v>37</v>
      </c>
      <c r="Z140" s="87">
        <v>55</v>
      </c>
      <c r="AA140" s="79" t="s">
        <v>36</v>
      </c>
      <c r="AB140" s="79" t="s">
        <v>35</v>
      </c>
      <c r="AC140" s="79" t="s">
        <v>37</v>
      </c>
      <c r="AD140" s="79" t="s">
        <v>38</v>
      </c>
      <c r="AE140" s="79" t="s">
        <v>1637</v>
      </c>
      <c r="AF140" s="79">
        <v>5548845795</v>
      </c>
      <c r="AG140" s="124" t="s">
        <v>1636</v>
      </c>
      <c r="AH140" s="79"/>
      <c r="AI140" s="53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</row>
    <row r="141" spans="1:110" ht="13.8" x14ac:dyDescent="0.25">
      <c r="A141" s="24">
        <v>1104010</v>
      </c>
      <c r="B141" s="11" t="s">
        <v>30</v>
      </c>
      <c r="C141" s="16" t="s">
        <v>304</v>
      </c>
      <c r="D141" s="26" t="s">
        <v>131</v>
      </c>
      <c r="E141" s="10" t="s">
        <v>1619</v>
      </c>
      <c r="F141" s="10" t="s">
        <v>34</v>
      </c>
      <c r="G141" s="55">
        <f t="shared" si="3"/>
        <v>5.5299999999999994</v>
      </c>
      <c r="H141" s="10">
        <v>9</v>
      </c>
      <c r="I141" s="13">
        <v>55</v>
      </c>
      <c r="J141" s="56"/>
      <c r="K141" s="57"/>
      <c r="M141" s="14">
        <v>4.8099999999999996</v>
      </c>
      <c r="N141" s="14"/>
      <c r="O141" s="14"/>
      <c r="P141" s="14"/>
      <c r="Q141" s="14"/>
      <c r="R141" s="14"/>
      <c r="S141" s="14"/>
      <c r="T141" s="70"/>
      <c r="U141" s="76">
        <v>4.8099999999999996</v>
      </c>
      <c r="V141" s="76">
        <v>0.72</v>
      </c>
      <c r="W141" s="76">
        <v>4.8099999999999996</v>
      </c>
      <c r="X141" s="76">
        <v>0.72</v>
      </c>
      <c r="Y141" s="77" t="s">
        <v>35</v>
      </c>
      <c r="Z141" s="87">
        <v>1500</v>
      </c>
      <c r="AA141" s="79" t="s">
        <v>36</v>
      </c>
      <c r="AB141" s="79" t="s">
        <v>35</v>
      </c>
      <c r="AC141" s="79" t="s">
        <v>37</v>
      </c>
      <c r="AD141" s="79" t="s">
        <v>38</v>
      </c>
      <c r="AE141" s="79" t="s">
        <v>50</v>
      </c>
      <c r="AF141" s="79" t="s">
        <v>51</v>
      </c>
      <c r="AG141" s="79" t="s">
        <v>52</v>
      </c>
      <c r="AH141" s="79"/>
      <c r="AI141" s="53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</row>
    <row r="142" spans="1:110" ht="13.8" x14ac:dyDescent="0.25">
      <c r="A142" s="24">
        <v>1104011</v>
      </c>
      <c r="B142" s="11" t="s">
        <v>30</v>
      </c>
      <c r="C142" s="16" t="s">
        <v>305</v>
      </c>
      <c r="D142" s="26" t="s">
        <v>131</v>
      </c>
      <c r="E142" s="10" t="s">
        <v>47</v>
      </c>
      <c r="F142" s="10" t="s">
        <v>34</v>
      </c>
      <c r="G142" s="55">
        <f t="shared" si="3"/>
        <v>1.75</v>
      </c>
      <c r="H142" s="10">
        <v>10</v>
      </c>
      <c r="I142" s="13">
        <v>6400</v>
      </c>
      <c r="J142" s="56"/>
      <c r="K142" s="57"/>
      <c r="M142" s="14"/>
      <c r="N142" s="14"/>
      <c r="O142" s="14"/>
      <c r="P142" s="14"/>
      <c r="Q142" s="14"/>
      <c r="R142" s="14"/>
      <c r="S142" s="14">
        <v>1.75</v>
      </c>
      <c r="T142" s="70"/>
      <c r="U142" s="76">
        <v>1.75</v>
      </c>
      <c r="V142" s="76">
        <v>0</v>
      </c>
      <c r="W142" s="76">
        <v>1.75</v>
      </c>
      <c r="X142" s="76">
        <v>0</v>
      </c>
      <c r="Y142" s="77" t="s">
        <v>35</v>
      </c>
      <c r="Z142" s="87">
        <v>1600</v>
      </c>
      <c r="AA142" s="79" t="s">
        <v>36</v>
      </c>
      <c r="AB142" s="79" t="s">
        <v>35</v>
      </c>
      <c r="AC142" s="79" t="s">
        <v>37</v>
      </c>
      <c r="AD142" s="79" t="s">
        <v>38</v>
      </c>
      <c r="AE142" s="79" t="s">
        <v>1547</v>
      </c>
      <c r="AF142" s="79" t="s">
        <v>1548</v>
      </c>
      <c r="AG142" s="79" t="s">
        <v>1549</v>
      </c>
      <c r="AH142" s="79"/>
      <c r="AI142" s="53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</row>
    <row r="143" spans="1:110" ht="13.8" x14ac:dyDescent="0.25">
      <c r="A143" s="24">
        <v>1104015</v>
      </c>
      <c r="B143" s="11" t="s">
        <v>30</v>
      </c>
      <c r="C143" s="16" t="s">
        <v>306</v>
      </c>
      <c r="D143" s="26" t="s">
        <v>131</v>
      </c>
      <c r="E143" s="10" t="s">
        <v>307</v>
      </c>
      <c r="F143" s="10" t="s">
        <v>34</v>
      </c>
      <c r="G143" s="55" t="str">
        <f t="shared" si="3"/>
        <v>Obsolete</v>
      </c>
      <c r="H143" s="10">
        <v>10</v>
      </c>
      <c r="I143" s="13">
        <v>1763</v>
      </c>
      <c r="J143" s="56"/>
      <c r="K143" s="57"/>
      <c r="M143" s="14"/>
      <c r="N143" s="14"/>
      <c r="O143" s="14">
        <v>2.2999999999999998</v>
      </c>
      <c r="P143" s="14">
        <v>2.25</v>
      </c>
      <c r="Q143" s="14"/>
      <c r="R143" s="14">
        <v>2.2000000000000002</v>
      </c>
      <c r="S143" s="14">
        <v>2.15</v>
      </c>
      <c r="T143" s="70">
        <v>2.1</v>
      </c>
      <c r="U143" s="76" t="s">
        <v>54</v>
      </c>
      <c r="V143" s="76">
        <v>4.4999999999999998E-2</v>
      </c>
      <c r="W143" s="76" t="s">
        <v>54</v>
      </c>
      <c r="X143" s="76">
        <v>4.4999999999999998E-2</v>
      </c>
      <c r="Y143" s="77" t="s">
        <v>37</v>
      </c>
      <c r="Z143" s="87">
        <v>1763</v>
      </c>
      <c r="AA143" s="79" t="s">
        <v>36</v>
      </c>
      <c r="AB143" s="79" t="s">
        <v>37</v>
      </c>
      <c r="AC143" s="79" t="s">
        <v>37</v>
      </c>
      <c r="AD143" s="79" t="s">
        <v>38</v>
      </c>
      <c r="AE143" s="79" t="s">
        <v>308</v>
      </c>
      <c r="AF143" s="79" t="s">
        <v>309</v>
      </c>
      <c r="AG143" s="79" t="s">
        <v>310</v>
      </c>
      <c r="AH143" s="79"/>
      <c r="AI143" s="53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</row>
    <row r="144" spans="1:110" ht="13.8" x14ac:dyDescent="0.25">
      <c r="A144" s="24">
        <v>1104016</v>
      </c>
      <c r="B144" s="11" t="s">
        <v>30</v>
      </c>
      <c r="C144" s="16" t="s">
        <v>311</v>
      </c>
      <c r="D144" s="26" t="s">
        <v>131</v>
      </c>
      <c r="E144" s="10" t="s">
        <v>329</v>
      </c>
      <c r="F144" s="10" t="s">
        <v>34</v>
      </c>
      <c r="G144" s="55">
        <v>1</v>
      </c>
      <c r="H144" s="10">
        <v>8</v>
      </c>
      <c r="I144" s="13">
        <v>8000</v>
      </c>
      <c r="J144" s="56">
        <v>44182</v>
      </c>
      <c r="K144" s="57">
        <v>3.415151515151515</v>
      </c>
      <c r="M144" s="14"/>
      <c r="N144" s="14"/>
      <c r="O144" s="14"/>
      <c r="P144" s="14"/>
      <c r="Q144" s="14"/>
      <c r="R144" s="14"/>
      <c r="S144" s="14"/>
      <c r="T144" s="70"/>
      <c r="U144" s="76">
        <v>0</v>
      </c>
      <c r="V144" s="76">
        <v>4.4999999999999998E-2</v>
      </c>
      <c r="W144" s="76">
        <v>0</v>
      </c>
      <c r="X144" s="76">
        <v>4.4999999999999998E-2</v>
      </c>
      <c r="Y144" s="77" t="s">
        <v>35</v>
      </c>
      <c r="Z144" s="87"/>
      <c r="AA144" s="79" t="s">
        <v>329</v>
      </c>
      <c r="AB144" s="79" t="s">
        <v>35</v>
      </c>
      <c r="AC144" s="79" t="s">
        <v>35</v>
      </c>
      <c r="AD144" s="79" t="s">
        <v>38</v>
      </c>
      <c r="AE144" s="79" t="s">
        <v>330</v>
      </c>
      <c r="AF144" s="79" t="s">
        <v>1583</v>
      </c>
      <c r="AG144" s="79" t="s">
        <v>331</v>
      </c>
      <c r="AH144" s="79" t="s">
        <v>1604</v>
      </c>
      <c r="AI144" s="53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</row>
    <row r="145" spans="1:110" ht="13.8" x14ac:dyDescent="0.25">
      <c r="A145" s="24">
        <v>1104017</v>
      </c>
      <c r="B145" s="11" t="s">
        <v>30</v>
      </c>
      <c r="C145" s="16" t="s">
        <v>312</v>
      </c>
      <c r="D145" s="26" t="s">
        <v>131</v>
      </c>
      <c r="E145" s="10" t="s">
        <v>1640</v>
      </c>
      <c r="F145" s="10" t="s">
        <v>34</v>
      </c>
      <c r="G145" s="55">
        <f t="shared" si="3"/>
        <v>1.4</v>
      </c>
      <c r="H145" s="10">
        <v>16</v>
      </c>
      <c r="I145" s="13">
        <v>1800</v>
      </c>
      <c r="J145" s="56">
        <v>44585</v>
      </c>
      <c r="K145" s="57">
        <v>0.91</v>
      </c>
      <c r="M145" s="14"/>
      <c r="N145" s="14"/>
      <c r="O145" s="14"/>
      <c r="P145" s="14"/>
      <c r="Q145" s="14"/>
      <c r="R145" s="14"/>
      <c r="S145" s="14"/>
      <c r="T145" s="70"/>
      <c r="U145" s="76">
        <v>1.4</v>
      </c>
      <c r="V145" s="76">
        <v>0</v>
      </c>
      <c r="W145" s="76">
        <v>1.4</v>
      </c>
      <c r="X145" s="76">
        <v>0</v>
      </c>
      <c r="Y145" s="77" t="s">
        <v>35</v>
      </c>
      <c r="Z145" s="87">
        <v>55</v>
      </c>
      <c r="AA145" s="79" t="s">
        <v>102</v>
      </c>
      <c r="AB145" s="79" t="s">
        <v>35</v>
      </c>
      <c r="AC145" s="79" t="s">
        <v>35</v>
      </c>
      <c r="AD145" s="79"/>
      <c r="AE145" s="79" t="s">
        <v>313</v>
      </c>
      <c r="AF145" s="79"/>
      <c r="AG145" s="79"/>
      <c r="AH145" s="79"/>
      <c r="AI145" s="53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</row>
    <row r="146" spans="1:110" ht="13.8" x14ac:dyDescent="0.25">
      <c r="A146" s="24">
        <v>1104018</v>
      </c>
      <c r="B146" s="11" t="s">
        <v>30</v>
      </c>
      <c r="C146" s="16" t="s">
        <v>314</v>
      </c>
      <c r="D146" s="26" t="s">
        <v>131</v>
      </c>
      <c r="E146" s="10" t="s">
        <v>1619</v>
      </c>
      <c r="F146" s="10" t="s">
        <v>34</v>
      </c>
      <c r="G146" s="55">
        <f t="shared" si="3"/>
        <v>0</v>
      </c>
      <c r="H146" s="10"/>
      <c r="I146" s="13"/>
      <c r="J146" s="56"/>
      <c r="K146" s="57"/>
      <c r="M146" s="14"/>
      <c r="N146" s="14"/>
      <c r="O146" s="14"/>
      <c r="P146" s="14"/>
      <c r="Q146" s="14"/>
      <c r="R146" s="14"/>
      <c r="S146" s="14"/>
      <c r="T146" s="70"/>
      <c r="U146" s="76"/>
      <c r="V146" s="76"/>
      <c r="W146" s="76"/>
      <c r="X146" s="76"/>
      <c r="Y146" s="77"/>
      <c r="Z146" s="87"/>
      <c r="AA146" s="79"/>
      <c r="AB146" s="79"/>
      <c r="AC146" s="79"/>
      <c r="AD146" s="79"/>
      <c r="AE146" s="79"/>
      <c r="AF146" s="79"/>
      <c r="AG146" s="79"/>
      <c r="AH146" s="79"/>
      <c r="AI146" s="53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</row>
    <row r="147" spans="1:110" ht="13.8" x14ac:dyDescent="0.25">
      <c r="A147" s="24">
        <v>1104019</v>
      </c>
      <c r="B147" s="11" t="s">
        <v>30</v>
      </c>
      <c r="C147" s="16" t="s">
        <v>315</v>
      </c>
      <c r="D147" s="26" t="s">
        <v>131</v>
      </c>
      <c r="E147" s="10" t="s">
        <v>1619</v>
      </c>
      <c r="F147" s="10" t="s">
        <v>34</v>
      </c>
      <c r="G147" s="55">
        <f t="shared" si="3"/>
        <v>0</v>
      </c>
      <c r="H147" s="10"/>
      <c r="I147" s="13"/>
      <c r="J147" s="56"/>
      <c r="K147" s="57"/>
      <c r="M147" s="14"/>
      <c r="N147" s="14"/>
      <c r="O147" s="14"/>
      <c r="P147" s="14"/>
      <c r="Q147" s="14"/>
      <c r="R147" s="14"/>
      <c r="S147" s="14"/>
      <c r="T147" s="70"/>
      <c r="U147" s="76"/>
      <c r="V147" s="76"/>
      <c r="W147" s="76"/>
      <c r="X147" s="76"/>
      <c r="Y147" s="77"/>
      <c r="Z147" s="87"/>
      <c r="AA147" s="79"/>
      <c r="AB147" s="79"/>
      <c r="AC147" s="79"/>
      <c r="AD147" s="79"/>
      <c r="AE147" s="79"/>
      <c r="AF147" s="79"/>
      <c r="AG147" s="79"/>
      <c r="AH147" s="79"/>
      <c r="AI147" s="53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</row>
    <row r="148" spans="1:110" ht="13.8" x14ac:dyDescent="0.25">
      <c r="A148" s="24">
        <v>1104020</v>
      </c>
      <c r="B148" s="11" t="s">
        <v>30</v>
      </c>
      <c r="C148" s="16" t="s">
        <v>1582</v>
      </c>
      <c r="D148" s="26" t="s">
        <v>131</v>
      </c>
      <c r="E148" s="10" t="s">
        <v>329</v>
      </c>
      <c r="F148" s="10" t="s">
        <v>34</v>
      </c>
      <c r="G148" s="55">
        <f t="shared" si="3"/>
        <v>0</v>
      </c>
      <c r="H148" s="10"/>
      <c r="I148" s="13">
        <v>55</v>
      </c>
      <c r="J148" s="56"/>
      <c r="K148" s="57"/>
      <c r="M148" s="14"/>
      <c r="N148" s="14"/>
      <c r="O148" s="14"/>
      <c r="P148" s="14"/>
      <c r="Q148" s="14"/>
      <c r="R148" s="14"/>
      <c r="S148" s="14"/>
      <c r="T148" s="70"/>
      <c r="U148" s="76"/>
      <c r="V148" s="76"/>
      <c r="W148" s="76"/>
      <c r="X148" s="76"/>
      <c r="Y148" s="77"/>
      <c r="Z148" s="87"/>
      <c r="AA148" s="79" t="s">
        <v>329</v>
      </c>
      <c r="AB148" s="79" t="s">
        <v>35</v>
      </c>
      <c r="AC148" s="79" t="s">
        <v>35</v>
      </c>
      <c r="AD148" s="79" t="s">
        <v>38</v>
      </c>
      <c r="AE148" s="79" t="s">
        <v>330</v>
      </c>
      <c r="AF148" s="79" t="s">
        <v>1583</v>
      </c>
      <c r="AG148" s="79" t="s">
        <v>331</v>
      </c>
      <c r="AH148" s="79" t="s">
        <v>1602</v>
      </c>
      <c r="AI148" s="53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</row>
    <row r="149" spans="1:110" ht="13.8" x14ac:dyDescent="0.25">
      <c r="A149" s="24">
        <v>1105001</v>
      </c>
      <c r="B149" s="11" t="s">
        <v>30</v>
      </c>
      <c r="C149" s="25" t="s">
        <v>316</v>
      </c>
      <c r="D149" s="24" t="s">
        <v>317</v>
      </c>
      <c r="E149" s="24" t="s">
        <v>33</v>
      </c>
      <c r="F149" s="26" t="s">
        <v>34</v>
      </c>
      <c r="G149" s="55">
        <f t="shared" si="3"/>
        <v>6.8</v>
      </c>
      <c r="H149" s="24">
        <v>6</v>
      </c>
      <c r="I149" s="34">
        <v>1996</v>
      </c>
      <c r="J149" s="56"/>
      <c r="K149" s="57"/>
      <c r="M149" s="14"/>
      <c r="N149" s="14">
        <v>8.2799999999999994</v>
      </c>
      <c r="O149" s="14">
        <v>6.8</v>
      </c>
      <c r="P149" s="14"/>
      <c r="Q149" s="14">
        <v>6.54</v>
      </c>
      <c r="R149" s="14"/>
      <c r="S149" s="14"/>
      <c r="T149" s="70"/>
      <c r="U149" s="76">
        <v>6.8</v>
      </c>
      <c r="V149" s="76">
        <v>0</v>
      </c>
      <c r="W149" s="76">
        <v>6.8</v>
      </c>
      <c r="X149" s="76">
        <v>0</v>
      </c>
      <c r="Y149" s="77" t="s">
        <v>35</v>
      </c>
      <c r="Z149" s="99"/>
      <c r="AA149" s="100" t="s">
        <v>36</v>
      </c>
      <c r="AB149" s="96" t="s">
        <v>35</v>
      </c>
      <c r="AC149" s="79" t="s">
        <v>37</v>
      </c>
      <c r="AD149" s="96"/>
      <c r="AE149" s="79" t="s">
        <v>39</v>
      </c>
      <c r="AF149" s="79" t="s">
        <v>40</v>
      </c>
      <c r="AG149" s="79" t="s">
        <v>41</v>
      </c>
      <c r="AH149" s="79"/>
      <c r="AI149" s="53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</row>
    <row r="150" spans="1:110" ht="13.8" x14ac:dyDescent="0.25">
      <c r="A150" s="24">
        <v>1105002</v>
      </c>
      <c r="B150" s="11" t="s">
        <v>30</v>
      </c>
      <c r="C150" s="25" t="s">
        <v>318</v>
      </c>
      <c r="D150" s="24" t="s">
        <v>317</v>
      </c>
      <c r="E150" s="24" t="s">
        <v>33</v>
      </c>
      <c r="F150" s="26" t="s">
        <v>34</v>
      </c>
      <c r="G150" s="55" t="str">
        <f t="shared" si="3"/>
        <v>Obsolete</v>
      </c>
      <c r="H150" s="24">
        <v>6</v>
      </c>
      <c r="I150" s="34" t="s">
        <v>88</v>
      </c>
      <c r="J150" s="56"/>
      <c r="K150" s="57"/>
      <c r="M150" s="14"/>
      <c r="N150" s="14"/>
      <c r="O150" s="14">
        <v>8.5399999999999991</v>
      </c>
      <c r="P150" s="14"/>
      <c r="Q150" s="14"/>
      <c r="R150" s="14"/>
      <c r="S150" s="14"/>
      <c r="T150" s="70"/>
      <c r="U150" s="76" t="s">
        <v>54</v>
      </c>
      <c r="V150" s="101"/>
      <c r="W150" s="76" t="s">
        <v>54</v>
      </c>
      <c r="X150" s="76"/>
      <c r="Y150" s="102"/>
      <c r="Z150" s="99"/>
      <c r="AA150" s="100" t="s">
        <v>64</v>
      </c>
      <c r="AB150" s="96" t="s">
        <v>37</v>
      </c>
      <c r="AC150" s="79" t="s">
        <v>37</v>
      </c>
      <c r="AD150" s="96"/>
      <c r="AE150" s="79" t="s">
        <v>39</v>
      </c>
      <c r="AF150" s="79" t="s">
        <v>40</v>
      </c>
      <c r="AG150" s="79" t="s">
        <v>41</v>
      </c>
      <c r="AH150" s="79"/>
      <c r="AI150" s="53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</row>
    <row r="151" spans="1:110" ht="13.8" x14ac:dyDescent="0.25">
      <c r="A151" s="24">
        <v>1105003</v>
      </c>
      <c r="B151" s="11" t="s">
        <v>30</v>
      </c>
      <c r="C151" s="25" t="s">
        <v>319</v>
      </c>
      <c r="D151" s="24" t="s">
        <v>317</v>
      </c>
      <c r="E151" s="24" t="s">
        <v>33</v>
      </c>
      <c r="F151" s="26" t="s">
        <v>34</v>
      </c>
      <c r="G151" s="55">
        <f t="shared" si="3"/>
        <v>3.7171493212669682</v>
      </c>
      <c r="H151" s="24">
        <v>6</v>
      </c>
      <c r="I151" s="34">
        <v>55</v>
      </c>
      <c r="J151" s="56"/>
      <c r="K151" s="57"/>
      <c r="M151" s="14"/>
      <c r="N151" s="14"/>
      <c r="O151" s="14"/>
      <c r="P151" s="14"/>
      <c r="Q151" s="14"/>
      <c r="R151" s="14"/>
      <c r="S151" s="14"/>
      <c r="T151" s="70"/>
      <c r="U151" s="76">
        <v>3.69</v>
      </c>
      <c r="V151" s="76">
        <v>2.7149321266968326E-2</v>
      </c>
      <c r="W151" s="76">
        <v>3.69</v>
      </c>
      <c r="X151" s="76">
        <v>2.7149321266968326E-2</v>
      </c>
      <c r="Y151" s="77" t="s">
        <v>35</v>
      </c>
      <c r="Z151" s="99"/>
      <c r="AA151" s="100" t="s">
        <v>234</v>
      </c>
      <c r="AB151" s="96" t="s">
        <v>35</v>
      </c>
      <c r="AC151" s="79" t="s">
        <v>37</v>
      </c>
      <c r="AD151" s="96" t="s">
        <v>38</v>
      </c>
      <c r="AE151" s="79" t="s">
        <v>39</v>
      </c>
      <c r="AF151" s="79" t="s">
        <v>40</v>
      </c>
      <c r="AG151" s="79" t="s">
        <v>41</v>
      </c>
      <c r="AH151" s="79"/>
      <c r="AI151" s="53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</row>
    <row r="152" spans="1:110" ht="13.8" x14ac:dyDescent="0.25">
      <c r="A152" s="24">
        <v>1105004</v>
      </c>
      <c r="B152" s="11" t="s">
        <v>30</v>
      </c>
      <c r="C152" s="25" t="s">
        <v>320</v>
      </c>
      <c r="D152" s="24" t="s">
        <v>317</v>
      </c>
      <c r="E152" s="24" t="s">
        <v>33</v>
      </c>
      <c r="F152" s="26" t="s">
        <v>34</v>
      </c>
      <c r="G152" s="55">
        <f t="shared" si="3"/>
        <v>22.15</v>
      </c>
      <c r="H152" s="24">
        <v>6</v>
      </c>
      <c r="I152" s="34">
        <v>55</v>
      </c>
      <c r="J152" s="56"/>
      <c r="K152" s="57"/>
      <c r="M152" s="14">
        <v>22.15</v>
      </c>
      <c r="N152" s="14"/>
      <c r="O152" s="14"/>
      <c r="P152" s="14"/>
      <c r="Q152" s="14"/>
      <c r="R152" s="14"/>
      <c r="S152" s="14"/>
      <c r="T152" s="70"/>
      <c r="U152" s="76">
        <v>22.15</v>
      </c>
      <c r="V152" s="76">
        <v>0</v>
      </c>
      <c r="W152" s="76">
        <v>22.15</v>
      </c>
      <c r="X152" s="76">
        <v>0</v>
      </c>
      <c r="Y152" s="77" t="s">
        <v>35</v>
      </c>
      <c r="Z152" s="99">
        <v>55</v>
      </c>
      <c r="AA152" s="100" t="s">
        <v>102</v>
      </c>
      <c r="AB152" s="96" t="s">
        <v>35</v>
      </c>
      <c r="AC152" s="79" t="s">
        <v>35</v>
      </c>
      <c r="AD152" s="96"/>
      <c r="AE152" s="79" t="s">
        <v>39</v>
      </c>
      <c r="AF152" s="79" t="s">
        <v>40</v>
      </c>
      <c r="AG152" s="79" t="s">
        <v>41</v>
      </c>
      <c r="AH152" s="79"/>
      <c r="AI152" s="53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</row>
    <row r="153" spans="1:110" ht="13.8" x14ac:dyDescent="0.25">
      <c r="A153" s="24">
        <v>1105005</v>
      </c>
      <c r="B153" s="11" t="s">
        <v>30</v>
      </c>
      <c r="C153" s="25" t="s">
        <v>321</v>
      </c>
      <c r="D153" s="24" t="s">
        <v>317</v>
      </c>
      <c r="E153" s="24" t="s">
        <v>276</v>
      </c>
      <c r="F153" s="26" t="s">
        <v>34</v>
      </c>
      <c r="G153" s="55" t="str">
        <f t="shared" si="3"/>
        <v>Obsolete</v>
      </c>
      <c r="H153" s="24">
        <v>8</v>
      </c>
      <c r="I153" s="34"/>
      <c r="J153" s="56"/>
      <c r="K153" s="57"/>
      <c r="M153" s="14"/>
      <c r="N153" s="14"/>
      <c r="O153" s="14"/>
      <c r="P153" s="14"/>
      <c r="Q153" s="14"/>
      <c r="R153" s="14"/>
      <c r="S153" s="14"/>
      <c r="T153" s="70"/>
      <c r="U153" s="76" t="s">
        <v>54</v>
      </c>
      <c r="V153" s="76">
        <v>0</v>
      </c>
      <c r="W153" s="76" t="s">
        <v>54</v>
      </c>
      <c r="X153" s="76">
        <v>0</v>
      </c>
      <c r="Y153" s="77" t="s">
        <v>37</v>
      </c>
      <c r="Z153" s="99">
        <v>55</v>
      </c>
      <c r="AA153" s="100" t="s">
        <v>102</v>
      </c>
      <c r="AB153" s="79" t="s">
        <v>37</v>
      </c>
      <c r="AC153" s="79" t="s">
        <v>35</v>
      </c>
      <c r="AD153" s="91" t="s">
        <v>57</v>
      </c>
      <c r="AE153" s="79" t="s">
        <v>278</v>
      </c>
      <c r="AF153" s="83" t="s">
        <v>279</v>
      </c>
      <c r="AG153" s="79" t="s">
        <v>280</v>
      </c>
      <c r="AH153" s="79"/>
      <c r="AI153" s="53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</row>
    <row r="154" spans="1:110" ht="13.8" x14ac:dyDescent="0.25">
      <c r="A154" s="24">
        <v>1105006</v>
      </c>
      <c r="B154" s="11" t="s">
        <v>30</v>
      </c>
      <c r="C154" s="25" t="s">
        <v>322</v>
      </c>
      <c r="D154" s="24" t="s">
        <v>317</v>
      </c>
      <c r="E154" s="24" t="s">
        <v>323</v>
      </c>
      <c r="F154" s="26" t="s">
        <v>34</v>
      </c>
      <c r="G154" s="55">
        <f t="shared" si="3"/>
        <v>3.84</v>
      </c>
      <c r="H154" s="24"/>
      <c r="I154" s="34">
        <v>55</v>
      </c>
      <c r="J154" s="56"/>
      <c r="K154" s="57"/>
      <c r="M154" s="14">
        <v>3.84</v>
      </c>
      <c r="N154" s="14"/>
      <c r="O154" s="14">
        <v>3.13</v>
      </c>
      <c r="P154" s="14">
        <v>3.07</v>
      </c>
      <c r="Q154" s="14"/>
      <c r="R154" s="14"/>
      <c r="S154" s="14"/>
      <c r="T154" s="70"/>
      <c r="U154" s="76">
        <v>3.84</v>
      </c>
      <c r="V154" s="76">
        <v>0</v>
      </c>
      <c r="W154" s="76">
        <v>3.84</v>
      </c>
      <c r="X154" s="76">
        <v>0</v>
      </c>
      <c r="Y154" s="77" t="s">
        <v>37</v>
      </c>
      <c r="Z154" s="99">
        <v>55</v>
      </c>
      <c r="AA154" s="100" t="s">
        <v>102</v>
      </c>
      <c r="AB154" s="79" t="s">
        <v>35</v>
      </c>
      <c r="AC154" s="79" t="s">
        <v>35</v>
      </c>
      <c r="AD154" s="79"/>
      <c r="AE154" s="79" t="s">
        <v>324</v>
      </c>
      <c r="AF154" s="83" t="s">
        <v>325</v>
      </c>
      <c r="AG154" s="79" t="s">
        <v>326</v>
      </c>
      <c r="AH154" s="79"/>
      <c r="AI154" s="53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</row>
    <row r="155" spans="1:110" ht="20.399999999999999" x14ac:dyDescent="0.25">
      <c r="A155" s="24">
        <v>1105007</v>
      </c>
      <c r="B155" s="11" t="s">
        <v>30</v>
      </c>
      <c r="C155" s="25" t="s">
        <v>327</v>
      </c>
      <c r="D155" s="24" t="s">
        <v>328</v>
      </c>
      <c r="E155" s="24" t="s">
        <v>329</v>
      </c>
      <c r="F155" s="26" t="s">
        <v>34</v>
      </c>
      <c r="G155" s="55">
        <f t="shared" si="3"/>
        <v>0.01</v>
      </c>
      <c r="H155" s="24"/>
      <c r="I155" s="34"/>
      <c r="J155" s="56"/>
      <c r="K155" s="57"/>
      <c r="M155" s="14"/>
      <c r="N155" s="14"/>
      <c r="O155" s="14"/>
      <c r="P155" s="14"/>
      <c r="Q155" s="14"/>
      <c r="R155" s="14"/>
      <c r="S155" s="14"/>
      <c r="T155" s="70"/>
      <c r="U155" s="76">
        <v>0</v>
      </c>
      <c r="V155" s="76">
        <v>0.01</v>
      </c>
      <c r="W155" s="76">
        <v>0</v>
      </c>
      <c r="X155" s="76">
        <v>0.01</v>
      </c>
      <c r="Y155" s="77" t="s">
        <v>37</v>
      </c>
      <c r="Z155" s="99"/>
      <c r="AA155" s="100" t="s">
        <v>329</v>
      </c>
      <c r="AB155" s="79" t="s">
        <v>35</v>
      </c>
      <c r="AC155" s="79"/>
      <c r="AD155" s="79"/>
      <c r="AE155" s="79" t="s">
        <v>330</v>
      </c>
      <c r="AF155" s="83"/>
      <c r="AG155" s="79" t="s">
        <v>331</v>
      </c>
      <c r="AH155" s="79" t="s">
        <v>1607</v>
      </c>
      <c r="AI155" s="53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</row>
    <row r="156" spans="1:110" ht="20.399999999999999" x14ac:dyDescent="0.25">
      <c r="A156" s="24">
        <v>1105008</v>
      </c>
      <c r="B156" s="11" t="s">
        <v>30</v>
      </c>
      <c r="C156" s="25" t="s">
        <v>332</v>
      </c>
      <c r="D156" s="24" t="s">
        <v>317</v>
      </c>
      <c r="E156" s="24" t="s">
        <v>276</v>
      </c>
      <c r="F156" s="26" t="s">
        <v>34</v>
      </c>
      <c r="G156" s="55">
        <f t="shared" si="3"/>
        <v>4.2149999999999999</v>
      </c>
      <c r="H156" s="24"/>
      <c r="I156" s="34">
        <v>1323</v>
      </c>
      <c r="J156" s="56"/>
      <c r="K156" s="57"/>
      <c r="M156" s="14"/>
      <c r="N156" s="14"/>
      <c r="O156" s="14"/>
      <c r="P156" s="14"/>
      <c r="Q156" s="14"/>
      <c r="R156" s="14"/>
      <c r="S156" s="14"/>
      <c r="T156" s="70"/>
      <c r="U156" s="76">
        <v>4.17</v>
      </c>
      <c r="V156" s="76">
        <v>4.4999999999999998E-2</v>
      </c>
      <c r="W156" s="76">
        <v>4.17</v>
      </c>
      <c r="X156" s="76">
        <v>4.4999999999999998E-2</v>
      </c>
      <c r="Y156" s="77"/>
      <c r="Z156" s="99"/>
      <c r="AA156" s="100"/>
      <c r="AB156" s="79"/>
      <c r="AC156" s="79"/>
      <c r="AD156" s="79"/>
      <c r="AE156" s="79"/>
      <c r="AF156" s="83"/>
      <c r="AG156" s="79"/>
      <c r="AH156" s="79"/>
      <c r="AI156" s="53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</row>
    <row r="157" spans="1:110" ht="13.8" x14ac:dyDescent="0.25">
      <c r="A157" s="24">
        <v>1105009</v>
      </c>
      <c r="B157" s="11" t="s">
        <v>30</v>
      </c>
      <c r="C157" s="25" t="s">
        <v>333</v>
      </c>
      <c r="D157" s="24" t="s">
        <v>317</v>
      </c>
      <c r="E157" s="24" t="s">
        <v>33</v>
      </c>
      <c r="F157" s="26" t="s">
        <v>34</v>
      </c>
      <c r="G157" s="55">
        <f t="shared" si="3"/>
        <v>3.25</v>
      </c>
      <c r="H157" s="24">
        <v>10</v>
      </c>
      <c r="I157" s="34">
        <v>55</v>
      </c>
      <c r="J157" s="56"/>
      <c r="K157" s="57"/>
      <c r="M157" s="14">
        <v>3.25</v>
      </c>
      <c r="N157" s="14"/>
      <c r="O157" s="14"/>
      <c r="P157" s="14"/>
      <c r="Q157" s="14"/>
      <c r="R157" s="14"/>
      <c r="S157" s="14"/>
      <c r="T157" s="70"/>
      <c r="U157" s="76">
        <v>3.25</v>
      </c>
      <c r="V157" s="76">
        <v>0</v>
      </c>
      <c r="W157" s="76">
        <v>3.25</v>
      </c>
      <c r="X157" s="76">
        <v>0</v>
      </c>
      <c r="Y157" s="77" t="s">
        <v>37</v>
      </c>
      <c r="Z157" s="99">
        <v>55</v>
      </c>
      <c r="AA157" s="100" t="s">
        <v>44</v>
      </c>
      <c r="AB157" s="79" t="s">
        <v>37</v>
      </c>
      <c r="AC157" s="79" t="s">
        <v>37</v>
      </c>
      <c r="AD157" s="79" t="s">
        <v>38</v>
      </c>
      <c r="AE157" s="79" t="s">
        <v>39</v>
      </c>
      <c r="AF157" s="79" t="s">
        <v>40</v>
      </c>
      <c r="AG157" s="79" t="s">
        <v>41</v>
      </c>
      <c r="AH157" s="79"/>
      <c r="AI157" s="53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</row>
    <row r="158" spans="1:110" ht="13.8" x14ac:dyDescent="0.25">
      <c r="A158" s="24">
        <v>1105010</v>
      </c>
      <c r="B158" s="11" t="s">
        <v>30</v>
      </c>
      <c r="C158" s="25" t="s">
        <v>334</v>
      </c>
      <c r="D158" s="24" t="s">
        <v>317</v>
      </c>
      <c r="E158" s="24" t="s">
        <v>33</v>
      </c>
      <c r="F158" s="26" t="s">
        <v>34</v>
      </c>
      <c r="G158" s="55">
        <f t="shared" si="3"/>
        <v>3.75</v>
      </c>
      <c r="H158" s="24">
        <v>10</v>
      </c>
      <c r="I158" s="34">
        <v>55</v>
      </c>
      <c r="J158" s="56"/>
      <c r="K158" s="57"/>
      <c r="M158" s="14">
        <v>3.75</v>
      </c>
      <c r="N158" s="14"/>
      <c r="O158" s="14"/>
      <c r="P158" s="14"/>
      <c r="Q158" s="14"/>
      <c r="R158" s="14"/>
      <c r="S158" s="14"/>
      <c r="T158" s="70"/>
      <c r="U158" s="76">
        <v>3.75</v>
      </c>
      <c r="V158" s="76">
        <v>0</v>
      </c>
      <c r="W158" s="76">
        <v>3.75</v>
      </c>
      <c r="X158" s="76">
        <v>0</v>
      </c>
      <c r="Y158" s="77" t="s">
        <v>37</v>
      </c>
      <c r="Z158" s="99">
        <v>55</v>
      </c>
      <c r="AA158" s="100" t="s">
        <v>44</v>
      </c>
      <c r="AB158" s="79" t="s">
        <v>37</v>
      </c>
      <c r="AC158" s="79" t="s">
        <v>37</v>
      </c>
      <c r="AD158" s="79" t="s">
        <v>38</v>
      </c>
      <c r="AE158" s="79" t="s">
        <v>39</v>
      </c>
      <c r="AF158" s="79" t="s">
        <v>40</v>
      </c>
      <c r="AG158" s="79" t="s">
        <v>41</v>
      </c>
      <c r="AH158" s="79"/>
      <c r="AI158" s="53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</row>
    <row r="159" spans="1:110" ht="13.8" x14ac:dyDescent="0.25">
      <c r="A159" s="24">
        <v>1105011</v>
      </c>
      <c r="B159" s="11" t="s">
        <v>30</v>
      </c>
      <c r="C159" s="25" t="s">
        <v>1597</v>
      </c>
      <c r="D159" s="24" t="s">
        <v>317</v>
      </c>
      <c r="E159" s="24" t="s">
        <v>329</v>
      </c>
      <c r="F159" s="26" t="s">
        <v>34</v>
      </c>
      <c r="G159" s="55">
        <v>0</v>
      </c>
      <c r="H159" s="24"/>
      <c r="I159" s="34"/>
      <c r="J159" s="56"/>
      <c r="K159" s="57"/>
      <c r="M159" s="14"/>
      <c r="N159" s="14"/>
      <c r="O159" s="14"/>
      <c r="P159" s="14"/>
      <c r="Q159" s="14"/>
      <c r="R159" s="14"/>
      <c r="S159" s="14"/>
      <c r="T159" s="70"/>
      <c r="U159" s="76"/>
      <c r="V159" s="76"/>
      <c r="W159" s="76"/>
      <c r="X159" s="76"/>
      <c r="Y159" s="77"/>
      <c r="Z159" s="99"/>
      <c r="AA159" s="100"/>
      <c r="AB159" s="79"/>
      <c r="AC159" s="79"/>
      <c r="AD159" s="79"/>
      <c r="AE159" s="79"/>
      <c r="AF159" s="79"/>
      <c r="AG159" s="79"/>
      <c r="AH159" s="79"/>
      <c r="AI159" s="53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</row>
    <row r="160" spans="1:110" ht="13.8" x14ac:dyDescent="0.25">
      <c r="A160" s="24">
        <v>1106001</v>
      </c>
      <c r="B160" s="11" t="s">
        <v>30</v>
      </c>
      <c r="C160" s="25" t="s">
        <v>335</v>
      </c>
      <c r="D160" s="26" t="s">
        <v>146</v>
      </c>
      <c r="E160" s="10" t="s">
        <v>336</v>
      </c>
      <c r="F160" s="10" t="s">
        <v>34</v>
      </c>
      <c r="G160" s="55" t="str">
        <f t="shared" ref="G160:G177" si="4">IF(U160="Obsolete",U160,U160+V160)</f>
        <v>Obsolete</v>
      </c>
      <c r="H160" s="10">
        <v>2</v>
      </c>
      <c r="I160" s="13">
        <v>1100</v>
      </c>
      <c r="J160" s="56"/>
      <c r="K160" s="57"/>
      <c r="M160" s="14"/>
      <c r="N160" s="14"/>
      <c r="O160" s="14">
        <v>1.28</v>
      </c>
      <c r="P160" s="14">
        <v>1.3</v>
      </c>
      <c r="Q160" s="14"/>
      <c r="R160" s="14"/>
      <c r="S160" s="14"/>
      <c r="T160" s="70"/>
      <c r="U160" s="76" t="s">
        <v>54</v>
      </c>
      <c r="V160" s="76"/>
      <c r="W160" s="76" t="s">
        <v>54</v>
      </c>
      <c r="X160" s="76"/>
      <c r="Y160" s="97"/>
      <c r="Z160" s="87" t="s">
        <v>337</v>
      </c>
      <c r="AA160" s="79" t="s">
        <v>189</v>
      </c>
      <c r="AB160" s="79" t="s">
        <v>37</v>
      </c>
      <c r="AC160" s="79" t="s">
        <v>37</v>
      </c>
      <c r="AD160" s="79"/>
      <c r="AE160" s="79" t="s">
        <v>338</v>
      </c>
      <c r="AF160" s="79" t="s">
        <v>339</v>
      </c>
      <c r="AG160" s="79" t="s">
        <v>340</v>
      </c>
      <c r="AH160" s="79"/>
      <c r="AI160" s="53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</row>
    <row r="161" spans="1:110" ht="13.8" x14ac:dyDescent="0.25">
      <c r="A161" s="24">
        <v>1106002</v>
      </c>
      <c r="B161" s="11" t="s">
        <v>30</v>
      </c>
      <c r="C161" s="12" t="s">
        <v>341</v>
      </c>
      <c r="D161" s="11" t="s">
        <v>146</v>
      </c>
      <c r="E161" s="10" t="s">
        <v>342</v>
      </c>
      <c r="F161" s="10" t="s">
        <v>34</v>
      </c>
      <c r="G161" s="55" t="str">
        <f t="shared" si="4"/>
        <v>Obsolete</v>
      </c>
      <c r="H161" s="10">
        <v>4</v>
      </c>
      <c r="I161" s="13">
        <v>1500</v>
      </c>
      <c r="J161" s="56"/>
      <c r="K161" s="57"/>
      <c r="M161" s="14"/>
      <c r="N161" s="14"/>
      <c r="O161" s="14">
        <v>2</v>
      </c>
      <c r="P161" s="14"/>
      <c r="Q161" s="14"/>
      <c r="R161" s="14"/>
      <c r="S161" s="14"/>
      <c r="T161" s="70"/>
      <c r="U161" s="76" t="s">
        <v>54</v>
      </c>
      <c r="V161" s="76"/>
      <c r="W161" s="76" t="s">
        <v>54</v>
      </c>
      <c r="X161" s="76"/>
      <c r="Y161" s="97"/>
      <c r="Z161" s="78">
        <v>1500</v>
      </c>
      <c r="AA161" s="79" t="s">
        <v>189</v>
      </c>
      <c r="AB161" s="79" t="s">
        <v>37</v>
      </c>
      <c r="AC161" s="79" t="s">
        <v>37</v>
      </c>
      <c r="AD161" s="79"/>
      <c r="AE161" s="79" t="s">
        <v>343</v>
      </c>
      <c r="AF161" s="79" t="s">
        <v>344</v>
      </c>
      <c r="AG161" s="79" t="s">
        <v>345</v>
      </c>
      <c r="AH161" s="79"/>
      <c r="AI161" s="53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</row>
    <row r="162" spans="1:110" ht="13.8" x14ac:dyDescent="0.25">
      <c r="A162" s="24">
        <v>1106003</v>
      </c>
      <c r="B162" s="11" t="s">
        <v>30</v>
      </c>
      <c r="C162" s="25" t="s">
        <v>346</v>
      </c>
      <c r="D162" s="26" t="s">
        <v>146</v>
      </c>
      <c r="E162" s="10" t="s">
        <v>194</v>
      </c>
      <c r="F162" s="10" t="s">
        <v>34</v>
      </c>
      <c r="G162" s="55" t="str">
        <f t="shared" si="4"/>
        <v>Obsolete</v>
      </c>
      <c r="H162" s="10">
        <v>2</v>
      </c>
      <c r="I162" s="13">
        <v>1499</v>
      </c>
      <c r="J162" s="56"/>
      <c r="K162" s="57"/>
      <c r="M162" s="14"/>
      <c r="N162" s="14"/>
      <c r="O162" s="14">
        <v>1.3340000000000001</v>
      </c>
      <c r="P162" s="14">
        <v>1.28</v>
      </c>
      <c r="Q162" s="14"/>
      <c r="R162" s="14"/>
      <c r="S162" s="14"/>
      <c r="T162" s="70"/>
      <c r="U162" s="76" t="s">
        <v>54</v>
      </c>
      <c r="V162" s="76">
        <v>0</v>
      </c>
      <c r="W162" s="76" t="s">
        <v>54</v>
      </c>
      <c r="X162" s="76">
        <v>0</v>
      </c>
      <c r="Y162" s="77" t="s">
        <v>37</v>
      </c>
      <c r="Z162" s="78">
        <v>1499</v>
      </c>
      <c r="AA162" s="79" t="s">
        <v>36</v>
      </c>
      <c r="AB162" s="79" t="s">
        <v>37</v>
      </c>
      <c r="AC162" s="79" t="s">
        <v>37</v>
      </c>
      <c r="AD162" s="79" t="s">
        <v>38</v>
      </c>
      <c r="AE162" s="79" t="s">
        <v>347</v>
      </c>
      <c r="AF162" s="79" t="s">
        <v>348</v>
      </c>
      <c r="AG162" s="79" t="s">
        <v>349</v>
      </c>
      <c r="AH162" s="79"/>
      <c r="AI162" s="53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</row>
    <row r="163" spans="1:110" ht="13.8" x14ac:dyDescent="0.25">
      <c r="A163" s="24">
        <v>1106004</v>
      </c>
      <c r="B163" s="11" t="s">
        <v>30</v>
      </c>
      <c r="C163" s="25" t="s">
        <v>350</v>
      </c>
      <c r="D163" s="26" t="s">
        <v>146</v>
      </c>
      <c r="E163" s="10" t="s">
        <v>336</v>
      </c>
      <c r="F163" s="10" t="s">
        <v>34</v>
      </c>
      <c r="G163" s="55" t="str">
        <f t="shared" si="4"/>
        <v>Obsolete</v>
      </c>
      <c r="H163" s="10">
        <v>3</v>
      </c>
      <c r="I163" s="13">
        <v>1100</v>
      </c>
      <c r="J163" s="56"/>
      <c r="K163" s="57"/>
      <c r="M163" s="14"/>
      <c r="N163" s="14"/>
      <c r="O163" s="14">
        <v>1.49</v>
      </c>
      <c r="P163" s="14"/>
      <c r="Q163" s="14"/>
      <c r="R163" s="14"/>
      <c r="S163" s="14"/>
      <c r="T163" s="70"/>
      <c r="U163" s="76" t="s">
        <v>54</v>
      </c>
      <c r="V163" s="76"/>
      <c r="W163" s="76" t="s">
        <v>54</v>
      </c>
      <c r="X163" s="76"/>
      <c r="Y163" s="97"/>
      <c r="Z163" s="78">
        <v>1100</v>
      </c>
      <c r="AA163" s="79" t="s">
        <v>189</v>
      </c>
      <c r="AB163" s="79" t="s">
        <v>37</v>
      </c>
      <c r="AC163" s="79" t="s">
        <v>37</v>
      </c>
      <c r="AD163" s="79"/>
      <c r="AE163" s="79" t="s">
        <v>338</v>
      </c>
      <c r="AF163" s="79" t="s">
        <v>339</v>
      </c>
      <c r="AG163" s="79" t="s">
        <v>340</v>
      </c>
      <c r="AH163" s="79"/>
      <c r="AI163" s="53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</row>
    <row r="164" spans="1:110" ht="13.8" x14ac:dyDescent="0.25">
      <c r="A164" s="24">
        <v>1106005</v>
      </c>
      <c r="B164" s="11" t="s">
        <v>30</v>
      </c>
      <c r="C164" s="25" t="s">
        <v>351</v>
      </c>
      <c r="D164" s="26" t="s">
        <v>146</v>
      </c>
      <c r="E164" s="10" t="s">
        <v>1611</v>
      </c>
      <c r="F164" s="10" t="s">
        <v>34</v>
      </c>
      <c r="G164" s="55">
        <f t="shared" si="4"/>
        <v>2.1879999999999997</v>
      </c>
      <c r="H164" s="10">
        <v>7</v>
      </c>
      <c r="I164" s="13">
        <v>1400</v>
      </c>
      <c r="J164" s="56">
        <v>44616</v>
      </c>
      <c r="K164" s="57">
        <v>2.379</v>
      </c>
      <c r="M164" s="14"/>
      <c r="N164" s="14"/>
      <c r="O164" s="14">
        <v>2.1429999999999998</v>
      </c>
      <c r="P164" s="14"/>
      <c r="Q164" s="14">
        <v>2.1429999999999998</v>
      </c>
      <c r="R164" s="14"/>
      <c r="S164" s="14">
        <v>2.113</v>
      </c>
      <c r="T164" s="70">
        <v>2.093</v>
      </c>
      <c r="U164" s="14">
        <v>2.1429999999999998</v>
      </c>
      <c r="V164" s="76">
        <v>4.4999999999999998E-2</v>
      </c>
      <c r="W164" s="14">
        <v>2.1429999999999998</v>
      </c>
      <c r="X164" s="76">
        <v>4.4999999999999998E-2</v>
      </c>
      <c r="Y164" s="77" t="s">
        <v>35</v>
      </c>
      <c r="Z164" s="78">
        <v>1200</v>
      </c>
      <c r="AA164" s="79" t="s">
        <v>36</v>
      </c>
      <c r="AB164" s="79" t="s">
        <v>35</v>
      </c>
      <c r="AC164" s="79" t="s">
        <v>37</v>
      </c>
      <c r="AD164" s="79" t="s">
        <v>38</v>
      </c>
      <c r="AE164" s="79" t="s">
        <v>1517</v>
      </c>
      <c r="AF164" s="83" t="s">
        <v>1518</v>
      </c>
      <c r="AG164" s="79" t="s">
        <v>1519</v>
      </c>
      <c r="AH164" s="79"/>
      <c r="AI164" s="53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</row>
    <row r="165" spans="1:110" ht="13.8" x14ac:dyDescent="0.25">
      <c r="A165" s="24">
        <v>1106006</v>
      </c>
      <c r="B165" s="11" t="s">
        <v>30</v>
      </c>
      <c r="C165" s="25" t="s">
        <v>352</v>
      </c>
      <c r="D165" s="26" t="s">
        <v>146</v>
      </c>
      <c r="E165" s="10" t="s">
        <v>307</v>
      </c>
      <c r="F165" s="10" t="s">
        <v>34</v>
      </c>
      <c r="G165" s="55">
        <f t="shared" si="4"/>
        <v>5.25</v>
      </c>
      <c r="H165" s="10">
        <v>4</v>
      </c>
      <c r="I165" s="13">
        <v>50</v>
      </c>
      <c r="J165" s="56"/>
      <c r="K165" s="57"/>
      <c r="M165" s="14">
        <v>4.25</v>
      </c>
      <c r="N165" s="14"/>
      <c r="O165" s="14">
        <v>1.3</v>
      </c>
      <c r="P165" s="14"/>
      <c r="Q165" s="14"/>
      <c r="R165" s="14"/>
      <c r="S165" s="14"/>
      <c r="T165" s="70">
        <v>1.23</v>
      </c>
      <c r="U165" s="76">
        <v>4.25</v>
      </c>
      <c r="V165" s="76">
        <v>1</v>
      </c>
      <c r="W165" s="76">
        <v>4.25</v>
      </c>
      <c r="X165" s="76">
        <v>1</v>
      </c>
      <c r="Y165" s="77" t="s">
        <v>37</v>
      </c>
      <c r="Z165" s="78">
        <v>55</v>
      </c>
      <c r="AA165" s="79" t="s">
        <v>36</v>
      </c>
      <c r="AB165" s="79" t="s">
        <v>35</v>
      </c>
      <c r="AC165" s="79" t="s">
        <v>37</v>
      </c>
      <c r="AD165" s="79" t="s">
        <v>38</v>
      </c>
      <c r="AE165" s="79" t="s">
        <v>308</v>
      </c>
      <c r="AF165" s="79" t="s">
        <v>309</v>
      </c>
      <c r="AG165" s="79" t="s">
        <v>310</v>
      </c>
      <c r="AH165" s="79"/>
      <c r="AI165" s="53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</row>
    <row r="166" spans="1:110" ht="13.8" x14ac:dyDescent="0.25">
      <c r="A166" s="24">
        <v>1106007</v>
      </c>
      <c r="B166" s="11" t="s">
        <v>30</v>
      </c>
      <c r="C166" s="25" t="s">
        <v>353</v>
      </c>
      <c r="D166" s="26" t="s">
        <v>146</v>
      </c>
      <c r="E166" s="10" t="s">
        <v>33</v>
      </c>
      <c r="F166" s="10" t="s">
        <v>34</v>
      </c>
      <c r="G166" s="55">
        <f t="shared" si="4"/>
        <v>1.18</v>
      </c>
      <c r="H166" s="10">
        <v>6</v>
      </c>
      <c r="I166" s="13">
        <v>8800</v>
      </c>
      <c r="J166" s="56"/>
      <c r="K166" s="57"/>
      <c r="M166" s="14"/>
      <c r="N166" s="14"/>
      <c r="O166" s="14"/>
      <c r="P166" s="14"/>
      <c r="Q166" s="14"/>
      <c r="R166" s="14"/>
      <c r="S166" s="14"/>
      <c r="T166" s="70">
        <v>1.18</v>
      </c>
      <c r="U166" s="76">
        <v>1.18</v>
      </c>
      <c r="V166" s="76">
        <v>0</v>
      </c>
      <c r="W166" s="76">
        <v>1.18</v>
      </c>
      <c r="X166" s="76">
        <v>0</v>
      </c>
      <c r="Y166" s="77" t="s">
        <v>35</v>
      </c>
      <c r="Z166" s="78"/>
      <c r="AA166" s="79" t="s">
        <v>116</v>
      </c>
      <c r="AB166" s="79" t="s">
        <v>35</v>
      </c>
      <c r="AC166" s="79" t="s">
        <v>35</v>
      </c>
      <c r="AD166" s="79"/>
      <c r="AE166" s="79" t="s">
        <v>39</v>
      </c>
      <c r="AF166" s="79" t="s">
        <v>40</v>
      </c>
      <c r="AG166" s="79" t="s">
        <v>41</v>
      </c>
      <c r="AH166" s="79"/>
      <c r="AI166" s="53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</row>
    <row r="167" spans="1:110" ht="13.8" x14ac:dyDescent="0.25">
      <c r="A167" s="24">
        <v>1106008</v>
      </c>
      <c r="B167" s="11" t="s">
        <v>30</v>
      </c>
      <c r="C167" s="25" t="s">
        <v>354</v>
      </c>
      <c r="D167" s="26" t="s">
        <v>146</v>
      </c>
      <c r="E167" s="10" t="s">
        <v>1611</v>
      </c>
      <c r="F167" s="10" t="s">
        <v>34</v>
      </c>
      <c r="G167" s="55">
        <f t="shared" si="4"/>
        <v>2.0409999999999999</v>
      </c>
      <c r="H167" s="10">
        <v>7</v>
      </c>
      <c r="I167" s="13">
        <v>1300</v>
      </c>
      <c r="J167" s="56">
        <v>44616</v>
      </c>
      <c r="K167" s="57">
        <v>2.21</v>
      </c>
      <c r="M167" s="14"/>
      <c r="N167" s="14"/>
      <c r="O167" s="76">
        <v>1.996</v>
      </c>
      <c r="P167" s="14"/>
      <c r="Q167" s="14"/>
      <c r="R167" s="14"/>
      <c r="S167" s="14">
        <v>1.966</v>
      </c>
      <c r="T167" s="70">
        <v>1.946</v>
      </c>
      <c r="U167" s="76">
        <v>1.996</v>
      </c>
      <c r="V167" s="76">
        <v>4.4999999999999998E-2</v>
      </c>
      <c r="W167" s="76">
        <v>1.996</v>
      </c>
      <c r="X167" s="76">
        <v>4.4999999999999998E-2</v>
      </c>
      <c r="Y167" s="77" t="s">
        <v>35</v>
      </c>
      <c r="Z167" s="78">
        <v>1300</v>
      </c>
      <c r="AA167" s="79" t="s">
        <v>36</v>
      </c>
      <c r="AB167" s="79" t="s">
        <v>35</v>
      </c>
      <c r="AC167" s="79" t="s">
        <v>37</v>
      </c>
      <c r="AD167" s="79" t="s">
        <v>38</v>
      </c>
      <c r="AE167" s="79" t="s">
        <v>1517</v>
      </c>
      <c r="AF167" s="83" t="s">
        <v>1518</v>
      </c>
      <c r="AG167" s="79" t="s">
        <v>1519</v>
      </c>
      <c r="AH167" s="79"/>
      <c r="AI167" s="53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</row>
    <row r="168" spans="1:110" ht="13.8" x14ac:dyDescent="0.25">
      <c r="A168" s="24">
        <v>1106009</v>
      </c>
      <c r="B168" s="11" t="s">
        <v>30</v>
      </c>
      <c r="C168" s="25" t="s">
        <v>355</v>
      </c>
      <c r="D168" s="26" t="s">
        <v>146</v>
      </c>
      <c r="E168" s="10" t="s">
        <v>1611</v>
      </c>
      <c r="F168" s="10" t="s">
        <v>34</v>
      </c>
      <c r="G168" s="55" t="str">
        <f t="shared" si="4"/>
        <v>Obsolete</v>
      </c>
      <c r="H168" s="10">
        <v>7</v>
      </c>
      <c r="I168" s="13">
        <v>1300</v>
      </c>
      <c r="J168" s="56"/>
      <c r="K168" s="57"/>
      <c r="M168" s="14"/>
      <c r="N168" s="14"/>
      <c r="O168" s="14"/>
      <c r="P168" s="14"/>
      <c r="Q168" s="14"/>
      <c r="R168" s="14"/>
      <c r="S168" s="14"/>
      <c r="T168" s="70"/>
      <c r="U168" s="76" t="s">
        <v>54</v>
      </c>
      <c r="V168" s="76">
        <v>0</v>
      </c>
      <c r="W168" s="76" t="s">
        <v>54</v>
      </c>
      <c r="X168" s="76">
        <v>0</v>
      </c>
      <c r="Y168" s="77" t="s">
        <v>35</v>
      </c>
      <c r="Z168" s="78">
        <v>1300</v>
      </c>
      <c r="AA168" s="79" t="s">
        <v>36</v>
      </c>
      <c r="AB168" s="79" t="s">
        <v>37</v>
      </c>
      <c r="AC168" s="79" t="s">
        <v>37</v>
      </c>
      <c r="AD168" s="79" t="s">
        <v>38</v>
      </c>
      <c r="AE168" s="79" t="s">
        <v>1517</v>
      </c>
      <c r="AF168" s="83" t="s">
        <v>1518</v>
      </c>
      <c r="AG168" s="79" t="s">
        <v>1519</v>
      </c>
      <c r="AH168" s="79"/>
      <c r="AI168" s="53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</row>
    <row r="169" spans="1:110" ht="13.8" x14ac:dyDescent="0.25">
      <c r="A169" s="24">
        <v>1106010</v>
      </c>
      <c r="B169" s="11" t="s">
        <v>30</v>
      </c>
      <c r="C169" s="25" t="s">
        <v>356</v>
      </c>
      <c r="D169" s="26" t="s">
        <v>146</v>
      </c>
      <c r="E169" s="10" t="s">
        <v>357</v>
      </c>
      <c r="F169" s="10" t="s">
        <v>34</v>
      </c>
      <c r="G169" s="55">
        <f t="shared" si="4"/>
        <v>1.01</v>
      </c>
      <c r="H169" s="10">
        <v>4</v>
      </c>
      <c r="I169" s="13">
        <v>30300</v>
      </c>
      <c r="J169" s="56"/>
      <c r="K169" s="57"/>
      <c r="M169" s="14"/>
      <c r="N169" s="14"/>
      <c r="O169" s="14"/>
      <c r="P169" s="14"/>
      <c r="Q169" s="14"/>
      <c r="R169" s="14"/>
      <c r="S169" s="14">
        <v>1.01</v>
      </c>
      <c r="T169" s="70">
        <v>0.91</v>
      </c>
      <c r="U169" s="76">
        <v>1.01</v>
      </c>
      <c r="V169" s="76">
        <v>0</v>
      </c>
      <c r="W169" s="76">
        <v>1.01</v>
      </c>
      <c r="X169" s="76">
        <v>0</v>
      </c>
      <c r="Y169" s="77" t="s">
        <v>35</v>
      </c>
      <c r="Z169" s="78">
        <v>25</v>
      </c>
      <c r="AA169" s="79" t="s">
        <v>358</v>
      </c>
      <c r="AB169" s="79" t="s">
        <v>35</v>
      </c>
      <c r="AC169" s="79" t="s">
        <v>37</v>
      </c>
      <c r="AD169" s="79" t="s">
        <v>38</v>
      </c>
      <c r="AE169" s="79" t="s">
        <v>359</v>
      </c>
      <c r="AF169" s="79" t="s">
        <v>360</v>
      </c>
      <c r="AG169" s="79" t="s">
        <v>361</v>
      </c>
      <c r="AH169" s="79"/>
      <c r="AI169" s="53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</row>
    <row r="170" spans="1:110" ht="15.75" customHeight="1" x14ac:dyDescent="0.25">
      <c r="A170" s="24">
        <v>1106011</v>
      </c>
      <c r="B170" s="11" t="s">
        <v>30</v>
      </c>
      <c r="C170" s="25" t="s">
        <v>362</v>
      </c>
      <c r="D170" s="26" t="s">
        <v>146</v>
      </c>
      <c r="E170" s="10" t="s">
        <v>363</v>
      </c>
      <c r="F170" s="10" t="s">
        <v>34</v>
      </c>
      <c r="G170" s="55" t="str">
        <f t="shared" si="4"/>
        <v>Obsolete</v>
      </c>
      <c r="H170" s="10"/>
      <c r="I170" s="13"/>
      <c r="J170" s="56"/>
      <c r="K170" s="57"/>
      <c r="M170" s="14"/>
      <c r="N170" s="14"/>
      <c r="O170" s="14"/>
      <c r="P170" s="14"/>
      <c r="Q170" s="14"/>
      <c r="R170" s="14"/>
      <c r="S170" s="14"/>
      <c r="T170" s="70"/>
      <c r="U170" s="76" t="s">
        <v>54</v>
      </c>
      <c r="V170" s="76"/>
      <c r="W170" s="76" t="s">
        <v>54</v>
      </c>
      <c r="X170" s="76"/>
      <c r="Y170" s="77"/>
      <c r="Z170" s="78"/>
      <c r="AA170" s="79"/>
      <c r="AB170" s="79" t="s">
        <v>37</v>
      </c>
      <c r="AC170" s="79"/>
      <c r="AD170" s="79"/>
      <c r="AE170" s="79"/>
      <c r="AF170" s="79"/>
      <c r="AG170" s="79"/>
      <c r="AH170" s="79"/>
      <c r="AI170" s="53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</row>
    <row r="171" spans="1:110" ht="20.399999999999999" x14ac:dyDescent="0.25">
      <c r="A171" s="24">
        <v>1106012</v>
      </c>
      <c r="B171" s="11" t="s">
        <v>30</v>
      </c>
      <c r="C171" s="25" t="s">
        <v>364</v>
      </c>
      <c r="D171" s="26" t="s">
        <v>146</v>
      </c>
      <c r="E171" s="10" t="s">
        <v>194</v>
      </c>
      <c r="F171" s="10" t="s">
        <v>34</v>
      </c>
      <c r="G171" s="55" t="str">
        <f t="shared" si="4"/>
        <v>Obsolete</v>
      </c>
      <c r="H171" s="10">
        <v>7</v>
      </c>
      <c r="I171" s="13">
        <v>2200</v>
      </c>
      <c r="J171" s="56"/>
      <c r="K171" s="57"/>
      <c r="M171" s="14"/>
      <c r="N171" s="14"/>
      <c r="O171" s="14">
        <v>2.8650000000000002</v>
      </c>
      <c r="P171" s="14"/>
      <c r="Q171" s="14"/>
      <c r="R171" s="14"/>
      <c r="S171" s="14"/>
      <c r="T171" s="70"/>
      <c r="U171" s="76" t="s">
        <v>54</v>
      </c>
      <c r="V171" s="76">
        <v>0</v>
      </c>
      <c r="W171" s="76" t="s">
        <v>54</v>
      </c>
      <c r="X171" s="76">
        <v>0</v>
      </c>
      <c r="Y171" s="77" t="s">
        <v>37</v>
      </c>
      <c r="Z171" s="78">
        <v>1500</v>
      </c>
      <c r="AA171" s="79" t="s">
        <v>365</v>
      </c>
      <c r="AB171" s="79" t="s">
        <v>37</v>
      </c>
      <c r="AC171" s="79" t="s">
        <v>35</v>
      </c>
      <c r="AD171" s="79"/>
      <c r="AE171" s="79" t="s">
        <v>347</v>
      </c>
      <c r="AF171" s="79" t="s">
        <v>348</v>
      </c>
      <c r="AG171" s="79" t="s">
        <v>349</v>
      </c>
      <c r="AH171" s="79"/>
      <c r="AI171" s="53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</row>
    <row r="172" spans="1:110" ht="13.8" x14ac:dyDescent="0.25">
      <c r="A172" s="24">
        <v>1106013</v>
      </c>
      <c r="B172" s="11" t="s">
        <v>30</v>
      </c>
      <c r="C172" s="16" t="s">
        <v>366</v>
      </c>
      <c r="D172" s="11" t="s">
        <v>146</v>
      </c>
      <c r="E172" s="10" t="s">
        <v>101</v>
      </c>
      <c r="F172" s="10" t="s">
        <v>34</v>
      </c>
      <c r="G172" s="55">
        <f t="shared" si="4"/>
        <v>2.3245</v>
      </c>
      <c r="H172" s="10">
        <v>5</v>
      </c>
      <c r="I172" s="13"/>
      <c r="J172" s="56">
        <v>44273</v>
      </c>
      <c r="K172" s="57">
        <v>1.6844999999999999</v>
      </c>
      <c r="M172" s="14"/>
      <c r="N172" s="14"/>
      <c r="O172" s="14"/>
      <c r="P172" s="14"/>
      <c r="Q172" s="14"/>
      <c r="R172" s="14">
        <v>2.27</v>
      </c>
      <c r="S172" s="14"/>
      <c r="T172" s="70">
        <v>2.21</v>
      </c>
      <c r="U172" s="76">
        <v>2.27</v>
      </c>
      <c r="V172" s="76">
        <v>5.45E-2</v>
      </c>
      <c r="W172" s="76">
        <v>2.27</v>
      </c>
      <c r="X172" s="76">
        <v>5.45E-2</v>
      </c>
      <c r="Y172" s="77"/>
      <c r="Z172" s="78"/>
      <c r="AA172" s="79" t="s">
        <v>365</v>
      </c>
      <c r="AB172" s="79" t="s">
        <v>35</v>
      </c>
      <c r="AC172" s="79" t="s">
        <v>35</v>
      </c>
      <c r="AD172" s="79" t="s">
        <v>35</v>
      </c>
      <c r="AE172" s="79" t="s">
        <v>103</v>
      </c>
      <c r="AF172" s="79" t="s">
        <v>104</v>
      </c>
      <c r="AG172" s="79" t="s">
        <v>105</v>
      </c>
      <c r="AH172" s="79"/>
      <c r="AI172" s="53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</row>
    <row r="173" spans="1:110" ht="13.8" x14ac:dyDescent="0.25">
      <c r="A173" s="122">
        <v>1106014</v>
      </c>
      <c r="B173" s="11" t="s">
        <v>30</v>
      </c>
      <c r="C173" s="16" t="s">
        <v>367</v>
      </c>
      <c r="D173" s="10" t="s">
        <v>146</v>
      </c>
      <c r="E173" s="10" t="s">
        <v>1611</v>
      </c>
      <c r="F173" s="10" t="s">
        <v>34</v>
      </c>
      <c r="G173" s="55">
        <f t="shared" si="4"/>
        <v>2.3759999999999999</v>
      </c>
      <c r="H173" s="10">
        <v>7</v>
      </c>
      <c r="I173" s="13">
        <v>5600</v>
      </c>
      <c r="J173" s="56">
        <v>44616</v>
      </c>
      <c r="K173" s="57">
        <v>2.3119999999999998</v>
      </c>
      <c r="M173" s="14"/>
      <c r="N173" s="14"/>
      <c r="O173" s="14">
        <v>2.6379999999999999</v>
      </c>
      <c r="P173" s="14"/>
      <c r="Q173" s="14"/>
      <c r="R173" s="14">
        <v>2.331</v>
      </c>
      <c r="S173" s="14"/>
      <c r="T173" s="70">
        <v>2.181</v>
      </c>
      <c r="U173" s="14">
        <v>2.331</v>
      </c>
      <c r="V173" s="76">
        <v>4.4999999999999998E-2</v>
      </c>
      <c r="W173" s="14">
        <v>2.331</v>
      </c>
      <c r="X173" s="76">
        <v>4.4999999999999998E-2</v>
      </c>
      <c r="Y173" s="77" t="s">
        <v>35</v>
      </c>
      <c r="Z173" s="78">
        <v>1400</v>
      </c>
      <c r="AA173" s="79" t="s">
        <v>36</v>
      </c>
      <c r="AB173" s="79" t="s">
        <v>35</v>
      </c>
      <c r="AC173" s="79" t="s">
        <v>37</v>
      </c>
      <c r="AD173" s="79" t="s">
        <v>38</v>
      </c>
      <c r="AE173" s="79" t="s">
        <v>1517</v>
      </c>
      <c r="AF173" s="83" t="s">
        <v>1518</v>
      </c>
      <c r="AG173" s="79" t="s">
        <v>1519</v>
      </c>
      <c r="AH173" s="79"/>
      <c r="AI173" s="53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</row>
    <row r="174" spans="1:110" ht="13.8" x14ac:dyDescent="0.25">
      <c r="A174" s="24">
        <v>1106015</v>
      </c>
      <c r="B174" s="11" t="s">
        <v>30</v>
      </c>
      <c r="C174" s="16" t="s">
        <v>368</v>
      </c>
      <c r="D174" s="10" t="s">
        <v>146</v>
      </c>
      <c r="E174" s="10" t="s">
        <v>1619</v>
      </c>
      <c r="F174" s="10" t="s">
        <v>34</v>
      </c>
      <c r="G174" s="55">
        <f t="shared" si="4"/>
        <v>2.4499999999999997</v>
      </c>
      <c r="H174" s="10">
        <v>9</v>
      </c>
      <c r="I174" s="13">
        <v>4200</v>
      </c>
      <c r="J174" s="56">
        <v>44446</v>
      </c>
      <c r="K174" s="57">
        <v>2.34</v>
      </c>
      <c r="M174" s="14"/>
      <c r="N174" s="14"/>
      <c r="O174" s="14"/>
      <c r="P174" s="14"/>
      <c r="Q174" s="14"/>
      <c r="R174" s="14">
        <v>2.42</v>
      </c>
      <c r="S174" s="14"/>
      <c r="T174" s="70"/>
      <c r="U174" s="76">
        <v>2.42</v>
      </c>
      <c r="V174" s="76">
        <v>0.03</v>
      </c>
      <c r="W174" s="76">
        <v>2.42</v>
      </c>
      <c r="X174" s="76">
        <v>0.03</v>
      </c>
      <c r="Y174" s="77" t="s">
        <v>37</v>
      </c>
      <c r="Z174" s="78">
        <v>1400</v>
      </c>
      <c r="AA174" s="79" t="s">
        <v>358</v>
      </c>
      <c r="AB174" s="79" t="s">
        <v>35</v>
      </c>
      <c r="AC174" s="79" t="s">
        <v>37</v>
      </c>
      <c r="AD174" s="79" t="s">
        <v>38</v>
      </c>
      <c r="AE174" s="79" t="s">
        <v>50</v>
      </c>
      <c r="AF174" s="79" t="s">
        <v>51</v>
      </c>
      <c r="AG174" s="79" t="s">
        <v>52</v>
      </c>
      <c r="AH174" s="79"/>
      <c r="AI174" s="53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</row>
    <row r="175" spans="1:110" ht="13.8" x14ac:dyDescent="0.25">
      <c r="A175" s="24">
        <v>1106016</v>
      </c>
      <c r="B175" s="11" t="s">
        <v>30</v>
      </c>
      <c r="C175" s="16" t="s">
        <v>369</v>
      </c>
      <c r="D175" s="10" t="s">
        <v>146</v>
      </c>
      <c r="E175" s="10" t="s">
        <v>101</v>
      </c>
      <c r="F175" s="10" t="s">
        <v>34</v>
      </c>
      <c r="G175" s="55">
        <f t="shared" si="4"/>
        <v>0</v>
      </c>
      <c r="H175" s="10">
        <v>6</v>
      </c>
      <c r="I175" s="13"/>
      <c r="J175" s="56"/>
      <c r="K175" s="57"/>
      <c r="M175" s="14"/>
      <c r="N175" s="14"/>
      <c r="O175" s="14"/>
      <c r="P175" s="14"/>
      <c r="Q175" s="14"/>
      <c r="R175" s="14"/>
      <c r="S175" s="14"/>
      <c r="T175" s="70"/>
      <c r="U175" s="93">
        <v>0</v>
      </c>
      <c r="V175" s="76">
        <v>0</v>
      </c>
      <c r="W175" s="93">
        <v>0</v>
      </c>
      <c r="X175" s="93">
        <v>0</v>
      </c>
      <c r="Y175" s="77" t="s">
        <v>37</v>
      </c>
      <c r="Z175" s="78">
        <v>55</v>
      </c>
      <c r="AA175" s="79" t="s">
        <v>370</v>
      </c>
      <c r="AB175" s="79" t="s">
        <v>35</v>
      </c>
      <c r="AC175" s="79" t="s">
        <v>37</v>
      </c>
      <c r="AD175" s="79" t="s">
        <v>38</v>
      </c>
      <c r="AE175" s="79" t="s">
        <v>103</v>
      </c>
      <c r="AF175" s="79" t="s">
        <v>104</v>
      </c>
      <c r="AG175" s="79" t="s">
        <v>105</v>
      </c>
      <c r="AH175" s="79"/>
      <c r="AI175" s="53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</row>
    <row r="176" spans="1:110" ht="13.8" x14ac:dyDescent="0.25">
      <c r="A176" s="24">
        <v>1106017</v>
      </c>
      <c r="B176" s="11" t="s">
        <v>30</v>
      </c>
      <c r="C176" s="16" t="s">
        <v>371</v>
      </c>
      <c r="D176" s="10" t="s">
        <v>372</v>
      </c>
      <c r="E176" s="10" t="s">
        <v>329</v>
      </c>
      <c r="F176" s="10" t="s">
        <v>34</v>
      </c>
      <c r="G176" s="55">
        <f t="shared" si="4"/>
        <v>0.01</v>
      </c>
      <c r="H176" s="10"/>
      <c r="I176" s="13"/>
      <c r="J176" s="56"/>
      <c r="K176" s="57"/>
      <c r="M176" s="14"/>
      <c r="N176" s="14"/>
      <c r="O176" s="14"/>
      <c r="P176" s="14"/>
      <c r="Q176" s="14"/>
      <c r="R176" s="14"/>
      <c r="S176" s="14"/>
      <c r="T176" s="70"/>
      <c r="U176" s="76">
        <v>0</v>
      </c>
      <c r="V176" s="76">
        <v>0.01</v>
      </c>
      <c r="W176" s="76">
        <v>0</v>
      </c>
      <c r="X176" s="76">
        <v>0.01</v>
      </c>
      <c r="Y176" s="77" t="s">
        <v>37</v>
      </c>
      <c r="Z176" s="99"/>
      <c r="AA176" s="100" t="s">
        <v>329</v>
      </c>
      <c r="AB176" s="79" t="s">
        <v>35</v>
      </c>
      <c r="AC176" s="79"/>
      <c r="AD176" s="79"/>
      <c r="AE176" s="79" t="s">
        <v>330</v>
      </c>
      <c r="AF176" s="83"/>
      <c r="AG176" s="79" t="s">
        <v>331</v>
      </c>
      <c r="AH176" s="79" t="s">
        <v>1605</v>
      </c>
      <c r="AI176" s="53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</row>
    <row r="177" spans="1:110" ht="13.8" x14ac:dyDescent="0.25">
      <c r="A177" s="122">
        <v>1106018</v>
      </c>
      <c r="B177" s="11" t="s">
        <v>30</v>
      </c>
      <c r="C177" s="16" t="s">
        <v>373</v>
      </c>
      <c r="D177" s="10" t="s">
        <v>146</v>
      </c>
      <c r="E177" s="10" t="s">
        <v>194</v>
      </c>
      <c r="F177" s="10" t="s">
        <v>34</v>
      </c>
      <c r="G177" s="55">
        <f t="shared" si="4"/>
        <v>2.891</v>
      </c>
      <c r="H177" s="10">
        <v>10</v>
      </c>
      <c r="I177" s="13">
        <v>2205</v>
      </c>
      <c r="J177" s="56">
        <v>44616</v>
      </c>
      <c r="K177" s="57">
        <v>2.7509999999999999</v>
      </c>
      <c r="M177" s="14"/>
      <c r="N177" s="14"/>
      <c r="O177" s="14"/>
      <c r="P177" s="14"/>
      <c r="Q177" s="14"/>
      <c r="R177" s="14">
        <v>2.83</v>
      </c>
      <c r="S177" s="14"/>
      <c r="T177" s="70"/>
      <c r="U177" s="14">
        <v>2.83</v>
      </c>
      <c r="V177" s="76">
        <v>6.0999999999999999E-2</v>
      </c>
      <c r="W177" s="14">
        <v>2.83</v>
      </c>
      <c r="X177" s="76">
        <v>6.164E-2</v>
      </c>
      <c r="Y177" s="77" t="s">
        <v>37</v>
      </c>
      <c r="Z177" s="99">
        <v>2205</v>
      </c>
      <c r="AA177" s="100" t="s">
        <v>36</v>
      </c>
      <c r="AB177" s="79" t="s">
        <v>35</v>
      </c>
      <c r="AC177" s="79" t="s">
        <v>37</v>
      </c>
      <c r="AD177" s="79" t="s">
        <v>38</v>
      </c>
      <c r="AE177" s="79" t="s">
        <v>374</v>
      </c>
      <c r="AF177" s="83" t="s">
        <v>375</v>
      </c>
      <c r="AG177" s="79" t="s">
        <v>376</v>
      </c>
      <c r="AH177" s="79"/>
      <c r="AI177" s="53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</row>
    <row r="178" spans="1:110" ht="13.8" x14ac:dyDescent="0.25">
      <c r="A178" s="24">
        <v>1106019</v>
      </c>
      <c r="B178" s="11" t="s">
        <v>30</v>
      </c>
      <c r="C178" s="16" t="s">
        <v>1598</v>
      </c>
      <c r="D178" s="10" t="s">
        <v>146</v>
      </c>
      <c r="E178" s="10" t="s">
        <v>329</v>
      </c>
      <c r="F178" s="10" t="s">
        <v>34</v>
      </c>
      <c r="G178" s="55">
        <v>0</v>
      </c>
      <c r="H178" s="10"/>
      <c r="I178" s="13"/>
      <c r="J178" s="56"/>
      <c r="K178" s="57"/>
      <c r="M178" s="14"/>
      <c r="N178" s="14"/>
      <c r="O178" s="14"/>
      <c r="P178" s="14"/>
      <c r="Q178" s="14"/>
      <c r="R178" s="14"/>
      <c r="S178" s="14"/>
      <c r="T178" s="70"/>
      <c r="U178" s="76"/>
      <c r="V178" s="76"/>
      <c r="W178" s="76"/>
      <c r="X178" s="76"/>
      <c r="Y178" s="77"/>
      <c r="Z178" s="99"/>
      <c r="AA178" s="100"/>
      <c r="AB178" s="79"/>
      <c r="AC178" s="79"/>
      <c r="AD178" s="79"/>
      <c r="AE178" s="79"/>
      <c r="AF178" s="83"/>
      <c r="AG178" s="79"/>
      <c r="AH178" s="79"/>
      <c r="AI178" s="53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</row>
    <row r="179" spans="1:110" ht="13.8" x14ac:dyDescent="0.25">
      <c r="A179" s="24">
        <v>1107001</v>
      </c>
      <c r="B179" s="11" t="s">
        <v>30</v>
      </c>
      <c r="C179" s="12" t="s">
        <v>377</v>
      </c>
      <c r="D179" s="11" t="s">
        <v>378</v>
      </c>
      <c r="E179" s="10" t="s">
        <v>1619</v>
      </c>
      <c r="F179" s="10" t="s">
        <v>34</v>
      </c>
      <c r="G179" s="55">
        <f t="shared" ref="G179:G215" si="5">IF(U179="Obsolete",U179,U179+V179)</f>
        <v>1.72</v>
      </c>
      <c r="H179" s="10">
        <v>4</v>
      </c>
      <c r="I179" s="13"/>
      <c r="J179" s="56"/>
      <c r="K179" s="57"/>
      <c r="M179" s="14"/>
      <c r="N179" s="14"/>
      <c r="O179" s="14"/>
      <c r="P179" s="14">
        <v>1.83</v>
      </c>
      <c r="Q179" s="14"/>
      <c r="R179" s="14"/>
      <c r="S179" s="14">
        <v>1.72</v>
      </c>
      <c r="T179" s="70"/>
      <c r="U179" s="76">
        <v>1.72</v>
      </c>
      <c r="V179" s="76">
        <v>0</v>
      </c>
      <c r="W179" s="76">
        <v>1.72</v>
      </c>
      <c r="X179" s="76">
        <v>0</v>
      </c>
      <c r="Y179" s="77" t="s">
        <v>35</v>
      </c>
      <c r="Z179" s="78">
        <v>55</v>
      </c>
      <c r="AA179" s="79" t="s">
        <v>36</v>
      </c>
      <c r="AB179" s="79" t="s">
        <v>35</v>
      </c>
      <c r="AC179" s="79" t="s">
        <v>37</v>
      </c>
      <c r="AD179" s="79" t="s">
        <v>38</v>
      </c>
      <c r="AE179" s="79" t="s">
        <v>50</v>
      </c>
      <c r="AF179" s="79" t="s">
        <v>51</v>
      </c>
      <c r="AG179" s="79" t="s">
        <v>52</v>
      </c>
      <c r="AH179" s="79"/>
      <c r="AI179" s="53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</row>
    <row r="180" spans="1:110" ht="13.8" x14ac:dyDescent="0.25">
      <c r="A180" s="24">
        <v>1107002</v>
      </c>
      <c r="B180" s="11" t="s">
        <v>30</v>
      </c>
      <c r="C180" s="12" t="s">
        <v>379</v>
      </c>
      <c r="D180" s="11" t="s">
        <v>380</v>
      </c>
      <c r="E180" s="10" t="s">
        <v>307</v>
      </c>
      <c r="F180" s="10" t="s">
        <v>34</v>
      </c>
      <c r="G180" s="55" t="str">
        <f t="shared" si="5"/>
        <v>Obsolete</v>
      </c>
      <c r="H180" s="10">
        <v>4</v>
      </c>
      <c r="I180" s="13">
        <v>55</v>
      </c>
      <c r="J180" s="56"/>
      <c r="K180" s="57"/>
      <c r="M180" s="14">
        <v>4.55</v>
      </c>
      <c r="N180" s="14">
        <v>4.05</v>
      </c>
      <c r="O180" s="14">
        <v>3.5</v>
      </c>
      <c r="P180" s="14"/>
      <c r="Q180" s="14"/>
      <c r="R180" s="14"/>
      <c r="S180" s="14"/>
      <c r="T180" s="70"/>
      <c r="U180" s="76" t="s">
        <v>54</v>
      </c>
      <c r="V180" s="76">
        <v>0.90900000000000003</v>
      </c>
      <c r="W180" s="76" t="s">
        <v>54</v>
      </c>
      <c r="X180" s="76">
        <v>0.90900000000000003</v>
      </c>
      <c r="Y180" s="77" t="s">
        <v>37</v>
      </c>
      <c r="Z180" s="78">
        <v>55</v>
      </c>
      <c r="AA180" s="79" t="s">
        <v>36</v>
      </c>
      <c r="AB180" s="79" t="s">
        <v>37</v>
      </c>
      <c r="AC180" s="79" t="s">
        <v>37</v>
      </c>
      <c r="AD180" s="79" t="s">
        <v>38</v>
      </c>
      <c r="AE180" s="79" t="s">
        <v>308</v>
      </c>
      <c r="AF180" s="79" t="s">
        <v>309</v>
      </c>
      <c r="AG180" s="79" t="s">
        <v>310</v>
      </c>
      <c r="AH180" s="79"/>
      <c r="AI180" s="53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</row>
    <row r="181" spans="1:110" ht="13.8" x14ac:dyDescent="0.25">
      <c r="A181" s="24">
        <v>1107004</v>
      </c>
      <c r="B181" s="11" t="s">
        <v>30</v>
      </c>
      <c r="C181" s="12" t="s">
        <v>381</v>
      </c>
      <c r="D181" s="11" t="s">
        <v>138</v>
      </c>
      <c r="E181" s="10" t="s">
        <v>382</v>
      </c>
      <c r="F181" s="10" t="s">
        <v>34</v>
      </c>
      <c r="G181" s="55" t="str">
        <f t="shared" si="5"/>
        <v>Obsolete</v>
      </c>
      <c r="H181" s="10">
        <v>4</v>
      </c>
      <c r="I181" s="13"/>
      <c r="J181" s="56"/>
      <c r="K181" s="57"/>
      <c r="M181" s="14"/>
      <c r="N181" s="14"/>
      <c r="O181" s="14"/>
      <c r="P181" s="14"/>
      <c r="Q181" s="14"/>
      <c r="R181" s="14"/>
      <c r="S181" s="14"/>
      <c r="T181" s="70"/>
      <c r="U181" s="76" t="s">
        <v>54</v>
      </c>
      <c r="V181" s="76"/>
      <c r="W181" s="76" t="s">
        <v>54</v>
      </c>
      <c r="X181" s="76"/>
      <c r="Y181" s="97"/>
      <c r="Z181" s="78"/>
      <c r="AA181" s="79" t="s">
        <v>382</v>
      </c>
      <c r="AB181" s="79" t="s">
        <v>37</v>
      </c>
      <c r="AC181" s="79" t="s">
        <v>37</v>
      </c>
      <c r="AD181" s="91" t="s">
        <v>57</v>
      </c>
      <c r="AE181" s="91" t="s">
        <v>57</v>
      </c>
      <c r="AF181" s="91" t="s">
        <v>57</v>
      </c>
      <c r="AG181" s="79" t="s">
        <v>57</v>
      </c>
      <c r="AH181" s="79"/>
      <c r="AI181" s="53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</row>
    <row r="182" spans="1:110" ht="13.8" x14ac:dyDescent="0.25">
      <c r="A182" s="24">
        <v>1107005</v>
      </c>
      <c r="B182" s="11" t="s">
        <v>30</v>
      </c>
      <c r="C182" s="25" t="s">
        <v>383</v>
      </c>
      <c r="D182" s="26" t="s">
        <v>380</v>
      </c>
      <c r="E182" s="10" t="s">
        <v>384</v>
      </c>
      <c r="F182" s="10" t="s">
        <v>34</v>
      </c>
      <c r="G182" s="55" t="str">
        <f t="shared" si="5"/>
        <v>Obsolete</v>
      </c>
      <c r="H182" s="10">
        <v>1</v>
      </c>
      <c r="I182" s="13"/>
      <c r="J182" s="56"/>
      <c r="K182" s="57"/>
      <c r="M182" s="14"/>
      <c r="N182" s="14"/>
      <c r="O182" s="14"/>
      <c r="P182" s="14"/>
      <c r="Q182" s="14"/>
      <c r="R182" s="14"/>
      <c r="S182" s="14"/>
      <c r="T182" s="70"/>
      <c r="U182" s="76" t="s">
        <v>54</v>
      </c>
      <c r="V182" s="76"/>
      <c r="W182" s="76" t="s">
        <v>54</v>
      </c>
      <c r="X182" s="76"/>
      <c r="Y182" s="97"/>
      <c r="Z182" s="87">
        <v>55</v>
      </c>
      <c r="AA182" s="79" t="s">
        <v>64</v>
      </c>
      <c r="AB182" s="79" t="s">
        <v>37</v>
      </c>
      <c r="AC182" s="79" t="s">
        <v>37</v>
      </c>
      <c r="AD182" s="91" t="s">
        <v>57</v>
      </c>
      <c r="AE182" s="91" t="s">
        <v>57</v>
      </c>
      <c r="AF182" s="91" t="s">
        <v>57</v>
      </c>
      <c r="AG182" s="79" t="s">
        <v>57</v>
      </c>
      <c r="AH182" s="79"/>
      <c r="AI182" s="53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</row>
    <row r="183" spans="1:110" ht="13.8" x14ac:dyDescent="0.25">
      <c r="A183" s="24">
        <v>1107006</v>
      </c>
      <c r="B183" s="11" t="s">
        <v>30</v>
      </c>
      <c r="C183" s="25" t="s">
        <v>385</v>
      </c>
      <c r="D183" s="26" t="s">
        <v>138</v>
      </c>
      <c r="E183" s="10" t="s">
        <v>384</v>
      </c>
      <c r="F183" s="10" t="s">
        <v>34</v>
      </c>
      <c r="G183" s="55" t="str">
        <f t="shared" si="5"/>
        <v>Obsolete</v>
      </c>
      <c r="H183" s="10">
        <v>1</v>
      </c>
      <c r="I183" s="13">
        <v>55</v>
      </c>
      <c r="J183" s="56"/>
      <c r="K183" s="57"/>
      <c r="M183" s="14">
        <v>3.98</v>
      </c>
      <c r="N183" s="14">
        <v>3.73</v>
      </c>
      <c r="O183" s="14">
        <v>3.48</v>
      </c>
      <c r="P183" s="14">
        <v>3.14</v>
      </c>
      <c r="Q183" s="14"/>
      <c r="R183" s="14"/>
      <c r="S183" s="14"/>
      <c r="T183" s="70"/>
      <c r="U183" s="76" t="s">
        <v>54</v>
      </c>
      <c r="V183" s="76"/>
      <c r="W183" s="76" t="s">
        <v>54</v>
      </c>
      <c r="X183" s="76"/>
      <c r="Y183" s="97"/>
      <c r="Z183" s="87">
        <v>55</v>
      </c>
      <c r="AA183" s="79" t="s">
        <v>169</v>
      </c>
      <c r="AB183" s="79" t="s">
        <v>37</v>
      </c>
      <c r="AC183" s="79" t="s">
        <v>37</v>
      </c>
      <c r="AD183" s="91" t="s">
        <v>57</v>
      </c>
      <c r="AE183" s="91" t="s">
        <v>57</v>
      </c>
      <c r="AF183" s="91" t="s">
        <v>57</v>
      </c>
      <c r="AG183" s="79" t="s">
        <v>57</v>
      </c>
      <c r="AH183" s="79"/>
      <c r="AI183" s="53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</row>
    <row r="184" spans="1:110" ht="13.8" x14ac:dyDescent="0.25">
      <c r="A184" s="24">
        <v>1107007</v>
      </c>
      <c r="B184" s="11" t="s">
        <v>30</v>
      </c>
      <c r="C184" s="25" t="s">
        <v>386</v>
      </c>
      <c r="D184" s="26" t="s">
        <v>259</v>
      </c>
      <c r="E184" s="10" t="s">
        <v>33</v>
      </c>
      <c r="F184" s="10" t="s">
        <v>34</v>
      </c>
      <c r="G184" s="55">
        <f t="shared" si="5"/>
        <v>2.87</v>
      </c>
      <c r="H184" s="10">
        <v>6</v>
      </c>
      <c r="I184" s="13">
        <v>8800</v>
      </c>
      <c r="J184" s="56"/>
      <c r="K184" s="57"/>
      <c r="M184" s="14"/>
      <c r="N184" s="14"/>
      <c r="O184" s="14"/>
      <c r="P184" s="14"/>
      <c r="Q184" s="14"/>
      <c r="R184" s="14"/>
      <c r="S184" s="14"/>
      <c r="T184" s="70">
        <v>2.87</v>
      </c>
      <c r="U184" s="76">
        <v>2.87</v>
      </c>
      <c r="V184" s="76">
        <v>0</v>
      </c>
      <c r="W184" s="76">
        <v>2.87</v>
      </c>
      <c r="X184" s="76">
        <v>0</v>
      </c>
      <c r="Y184" s="77" t="s">
        <v>35</v>
      </c>
      <c r="Z184" s="87"/>
      <c r="AA184" s="79" t="s">
        <v>234</v>
      </c>
      <c r="AB184" s="79" t="s">
        <v>35</v>
      </c>
      <c r="AC184" s="79" t="s">
        <v>37</v>
      </c>
      <c r="AD184" s="79" t="s">
        <v>38</v>
      </c>
      <c r="AE184" s="79" t="s">
        <v>39</v>
      </c>
      <c r="AF184" s="79" t="s">
        <v>40</v>
      </c>
      <c r="AG184" s="79" t="s">
        <v>41</v>
      </c>
      <c r="AH184" s="79"/>
      <c r="AI184" s="53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</row>
    <row r="185" spans="1:110" ht="13.8" x14ac:dyDescent="0.25">
      <c r="A185" s="24">
        <v>1107008</v>
      </c>
      <c r="B185" s="11" t="s">
        <v>30</v>
      </c>
      <c r="C185" s="25" t="s">
        <v>387</v>
      </c>
      <c r="D185" s="26" t="s">
        <v>138</v>
      </c>
      <c r="E185" s="10" t="s">
        <v>384</v>
      </c>
      <c r="F185" s="10" t="s">
        <v>34</v>
      </c>
      <c r="G185" s="55" t="str">
        <f t="shared" si="5"/>
        <v>Obsolete</v>
      </c>
      <c r="H185" s="10"/>
      <c r="I185" s="13"/>
      <c r="J185" s="56"/>
      <c r="K185" s="57"/>
      <c r="M185" s="14"/>
      <c r="N185" s="14"/>
      <c r="O185" s="14"/>
      <c r="P185" s="14">
        <v>2.81</v>
      </c>
      <c r="Q185" s="14"/>
      <c r="R185" s="14"/>
      <c r="S185" s="14"/>
      <c r="T185" s="70"/>
      <c r="U185" s="76" t="s">
        <v>54</v>
      </c>
      <c r="V185" s="76"/>
      <c r="W185" s="76" t="s">
        <v>54</v>
      </c>
      <c r="X185" s="76"/>
      <c r="Y185" s="97"/>
      <c r="Z185" s="87">
        <v>55</v>
      </c>
      <c r="AA185" s="79" t="s">
        <v>64</v>
      </c>
      <c r="AB185" s="79" t="s">
        <v>37</v>
      </c>
      <c r="AC185" s="79" t="s">
        <v>37</v>
      </c>
      <c r="AD185" s="91" t="s">
        <v>57</v>
      </c>
      <c r="AE185" s="91" t="s">
        <v>57</v>
      </c>
      <c r="AF185" s="91" t="s">
        <v>57</v>
      </c>
      <c r="AG185" s="79" t="s">
        <v>57</v>
      </c>
      <c r="AH185" s="79"/>
      <c r="AI185" s="53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</row>
    <row r="186" spans="1:110" ht="13.8" x14ac:dyDescent="0.25">
      <c r="A186" s="24">
        <v>1107009</v>
      </c>
      <c r="B186" s="11" t="s">
        <v>30</v>
      </c>
      <c r="C186" s="25" t="s">
        <v>388</v>
      </c>
      <c r="D186" s="26" t="s">
        <v>80</v>
      </c>
      <c r="E186" s="10" t="s">
        <v>389</v>
      </c>
      <c r="F186" s="10" t="s">
        <v>34</v>
      </c>
      <c r="G186" s="55">
        <f t="shared" si="5"/>
        <v>3.0500000000000003</v>
      </c>
      <c r="H186" s="10">
        <v>3</v>
      </c>
      <c r="I186" s="13">
        <v>3500</v>
      </c>
      <c r="J186" s="56">
        <v>44348</v>
      </c>
      <c r="K186" s="57">
        <v>2.71</v>
      </c>
      <c r="M186" s="14"/>
      <c r="N186" s="14"/>
      <c r="O186" s="14"/>
      <c r="P186" s="14"/>
      <c r="Q186" s="14">
        <v>2.7</v>
      </c>
      <c r="R186" s="14"/>
      <c r="S186" s="14"/>
      <c r="T186" s="70"/>
      <c r="U186" s="76">
        <v>2.7</v>
      </c>
      <c r="V186" s="76">
        <v>0.35</v>
      </c>
      <c r="W186" s="76">
        <v>2.7</v>
      </c>
      <c r="X186" s="76">
        <v>0.35</v>
      </c>
      <c r="Y186" s="77" t="s">
        <v>35</v>
      </c>
      <c r="Z186" s="87">
        <v>1500</v>
      </c>
      <c r="AA186" s="79" t="s">
        <v>36</v>
      </c>
      <c r="AB186" s="79" t="s">
        <v>35</v>
      </c>
      <c r="AC186" s="79" t="s">
        <v>37</v>
      </c>
      <c r="AD186" s="79" t="s">
        <v>38</v>
      </c>
      <c r="AE186" s="79" t="s">
        <v>390</v>
      </c>
      <c r="AF186" s="79" t="s">
        <v>391</v>
      </c>
      <c r="AG186" s="79" t="s">
        <v>392</v>
      </c>
      <c r="AH186" s="79"/>
      <c r="AI186" s="53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</row>
    <row r="187" spans="1:110" ht="13.8" x14ac:dyDescent="0.25">
      <c r="A187" s="24">
        <v>1107010</v>
      </c>
      <c r="B187" s="11" t="s">
        <v>30</v>
      </c>
      <c r="C187" s="25" t="s">
        <v>393</v>
      </c>
      <c r="D187" s="26" t="s">
        <v>80</v>
      </c>
      <c r="E187" s="10" t="s">
        <v>389</v>
      </c>
      <c r="F187" s="10" t="s">
        <v>34</v>
      </c>
      <c r="G187" s="55">
        <f t="shared" si="5"/>
        <v>2.9086000000000003</v>
      </c>
      <c r="H187" s="10">
        <v>3</v>
      </c>
      <c r="I187" s="13">
        <v>3500</v>
      </c>
      <c r="J187" s="56">
        <v>44348</v>
      </c>
      <c r="K187" s="57">
        <v>2.5686</v>
      </c>
      <c r="M187" s="14"/>
      <c r="N187" s="14"/>
      <c r="O187" s="14"/>
      <c r="P187" s="14"/>
      <c r="Q187" s="14">
        <v>2.74</v>
      </c>
      <c r="R187" s="14"/>
      <c r="S187" s="14"/>
      <c r="T187" s="70"/>
      <c r="U187" s="76">
        <v>2.74</v>
      </c>
      <c r="V187" s="76">
        <v>0.1686</v>
      </c>
      <c r="W187" s="76">
        <v>2.74</v>
      </c>
      <c r="X187" s="76">
        <v>0.1686</v>
      </c>
      <c r="Y187" s="77" t="s">
        <v>35</v>
      </c>
      <c r="Z187" s="87">
        <v>1500</v>
      </c>
      <c r="AA187" s="79" t="s">
        <v>36</v>
      </c>
      <c r="AB187" s="79" t="s">
        <v>35</v>
      </c>
      <c r="AC187" s="79" t="s">
        <v>37</v>
      </c>
      <c r="AD187" s="79" t="s">
        <v>38</v>
      </c>
      <c r="AE187" s="79" t="s">
        <v>390</v>
      </c>
      <c r="AF187" s="79" t="s">
        <v>391</v>
      </c>
      <c r="AG187" s="79" t="s">
        <v>392</v>
      </c>
      <c r="AH187" s="79"/>
      <c r="AI187" s="53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</row>
    <row r="188" spans="1:110" ht="20.399999999999999" x14ac:dyDescent="0.25">
      <c r="A188" s="24">
        <v>1107011</v>
      </c>
      <c r="B188" s="11" t="s">
        <v>30</v>
      </c>
      <c r="C188" s="25" t="s">
        <v>394</v>
      </c>
      <c r="D188" s="26" t="s">
        <v>380</v>
      </c>
      <c r="E188" s="10" t="s">
        <v>384</v>
      </c>
      <c r="F188" s="10" t="s">
        <v>34</v>
      </c>
      <c r="G188" s="55" t="str">
        <f t="shared" si="5"/>
        <v>Obsolete</v>
      </c>
      <c r="H188" s="10">
        <v>6</v>
      </c>
      <c r="I188" s="13">
        <v>1100</v>
      </c>
      <c r="J188" s="56"/>
      <c r="K188" s="57"/>
      <c r="M188" s="14"/>
      <c r="N188" s="14"/>
      <c r="O188" s="14"/>
      <c r="P188" s="14">
        <v>4.17</v>
      </c>
      <c r="Q188" s="14"/>
      <c r="R188" s="14"/>
      <c r="S188" s="14"/>
      <c r="T188" s="70"/>
      <c r="U188" s="76" t="s">
        <v>54</v>
      </c>
      <c r="V188" s="76"/>
      <c r="W188" s="76" t="s">
        <v>54</v>
      </c>
      <c r="X188" s="76"/>
      <c r="Y188" s="97"/>
      <c r="Z188" s="87">
        <v>1100</v>
      </c>
      <c r="AA188" s="79" t="s">
        <v>36</v>
      </c>
      <c r="AB188" s="79" t="s">
        <v>37</v>
      </c>
      <c r="AC188" s="79" t="s">
        <v>37</v>
      </c>
      <c r="AD188" s="91" t="s">
        <v>57</v>
      </c>
      <c r="AE188" s="91" t="s">
        <v>57</v>
      </c>
      <c r="AF188" s="91" t="s">
        <v>57</v>
      </c>
      <c r="AG188" s="79" t="s">
        <v>57</v>
      </c>
      <c r="AH188" s="79"/>
      <c r="AI188" s="53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</row>
    <row r="189" spans="1:110" ht="13.8" x14ac:dyDescent="0.25">
      <c r="A189" s="24">
        <v>1107012</v>
      </c>
      <c r="B189" s="11" t="s">
        <v>30</v>
      </c>
      <c r="C189" s="25" t="s">
        <v>395</v>
      </c>
      <c r="D189" s="26" t="s">
        <v>317</v>
      </c>
      <c r="E189" s="10" t="s">
        <v>101</v>
      </c>
      <c r="F189" s="10" t="s">
        <v>34</v>
      </c>
      <c r="G189" s="55" t="str">
        <f t="shared" si="5"/>
        <v>Obsolete</v>
      </c>
      <c r="H189" s="10">
        <v>6</v>
      </c>
      <c r="I189" s="13">
        <v>1100</v>
      </c>
      <c r="J189" s="56"/>
      <c r="K189" s="57"/>
      <c r="M189" s="14"/>
      <c r="N189" s="14"/>
      <c r="O189" s="14"/>
      <c r="P189" s="14">
        <v>3.28</v>
      </c>
      <c r="Q189" s="14"/>
      <c r="R189" s="14"/>
      <c r="S189" s="14"/>
      <c r="T189" s="70"/>
      <c r="U189" s="76" t="s">
        <v>54</v>
      </c>
      <c r="V189" s="76"/>
      <c r="W189" s="76" t="s">
        <v>54</v>
      </c>
      <c r="X189" s="76"/>
      <c r="Y189" s="97"/>
      <c r="Z189" s="87">
        <v>1100</v>
      </c>
      <c r="AA189" s="79" t="s">
        <v>36</v>
      </c>
      <c r="AB189" s="79" t="s">
        <v>37</v>
      </c>
      <c r="AC189" s="79" t="s">
        <v>37</v>
      </c>
      <c r="AD189" s="79"/>
      <c r="AE189" s="79" t="s">
        <v>103</v>
      </c>
      <c r="AF189" s="79" t="s">
        <v>104</v>
      </c>
      <c r="AG189" s="79" t="s">
        <v>105</v>
      </c>
      <c r="AH189" s="79"/>
      <c r="AI189" s="53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</row>
    <row r="190" spans="1:110" ht="13.8" x14ac:dyDescent="0.25">
      <c r="A190" s="24">
        <v>1107013</v>
      </c>
      <c r="B190" s="11" t="s">
        <v>30</v>
      </c>
      <c r="C190" s="25" t="s">
        <v>396</v>
      </c>
      <c r="D190" s="26" t="s">
        <v>380</v>
      </c>
      <c r="E190" s="10" t="s">
        <v>307</v>
      </c>
      <c r="F190" s="10" t="s">
        <v>34</v>
      </c>
      <c r="G190" s="55" t="str">
        <f t="shared" si="5"/>
        <v>Obsolete</v>
      </c>
      <c r="H190" s="10">
        <v>4</v>
      </c>
      <c r="I190" s="13">
        <v>44</v>
      </c>
      <c r="J190" s="56"/>
      <c r="K190" s="57"/>
      <c r="M190" s="14">
        <v>5.25</v>
      </c>
      <c r="N190" s="14">
        <v>4.5</v>
      </c>
      <c r="O190" s="14">
        <v>3.75</v>
      </c>
      <c r="P190" s="14">
        <v>3.41</v>
      </c>
      <c r="Q190" s="14"/>
      <c r="R190" s="14"/>
      <c r="S190" s="14"/>
      <c r="T190" s="70"/>
      <c r="U190" s="76" t="s">
        <v>54</v>
      </c>
      <c r="V190" s="76">
        <v>0.22700000000000001</v>
      </c>
      <c r="W190" s="76" t="s">
        <v>54</v>
      </c>
      <c r="X190" s="76">
        <v>0.22700000000000001</v>
      </c>
      <c r="Y190" s="77" t="s">
        <v>37</v>
      </c>
      <c r="Z190" s="87">
        <v>55</v>
      </c>
      <c r="AA190" s="79" t="s">
        <v>36</v>
      </c>
      <c r="AB190" s="79" t="s">
        <v>37</v>
      </c>
      <c r="AC190" s="79" t="s">
        <v>37</v>
      </c>
      <c r="AD190" s="79" t="s">
        <v>38</v>
      </c>
      <c r="AE190" s="79" t="s">
        <v>308</v>
      </c>
      <c r="AF190" s="79" t="s">
        <v>309</v>
      </c>
      <c r="AG190" s="79" t="s">
        <v>310</v>
      </c>
      <c r="AH190" s="79"/>
      <c r="AI190" s="53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</row>
    <row r="191" spans="1:110" ht="13.8" x14ac:dyDescent="0.25">
      <c r="A191" s="24">
        <v>1107014</v>
      </c>
      <c r="B191" s="11" t="s">
        <v>30</v>
      </c>
      <c r="C191" s="25" t="s">
        <v>397</v>
      </c>
      <c r="D191" s="26" t="s">
        <v>380</v>
      </c>
      <c r="E191" s="10" t="s">
        <v>101</v>
      </c>
      <c r="F191" s="10" t="s">
        <v>34</v>
      </c>
      <c r="G191" s="55">
        <f t="shared" si="5"/>
        <v>0</v>
      </c>
      <c r="H191" s="10">
        <v>6</v>
      </c>
      <c r="I191" s="13"/>
      <c r="J191" s="56"/>
      <c r="K191" s="57"/>
      <c r="M191" s="14"/>
      <c r="N191" s="14"/>
      <c r="O191" s="14"/>
      <c r="P191" s="14"/>
      <c r="Q191" s="14"/>
      <c r="R191" s="14"/>
      <c r="S191" s="14"/>
      <c r="T191" s="70"/>
      <c r="U191" s="76">
        <v>0</v>
      </c>
      <c r="V191" s="76">
        <v>0</v>
      </c>
      <c r="W191" s="76">
        <v>0</v>
      </c>
      <c r="X191" s="76">
        <v>0</v>
      </c>
      <c r="Y191" s="77" t="s">
        <v>37</v>
      </c>
      <c r="Z191" s="87"/>
      <c r="AA191" s="79" t="s">
        <v>370</v>
      </c>
      <c r="AB191" s="79"/>
      <c r="AC191" s="79"/>
      <c r="AD191" s="79"/>
      <c r="AE191" s="79" t="s">
        <v>103</v>
      </c>
      <c r="AF191" s="79" t="s">
        <v>104</v>
      </c>
      <c r="AG191" s="79" t="s">
        <v>105</v>
      </c>
      <c r="AH191" s="79"/>
      <c r="AI191" s="53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</row>
    <row r="192" spans="1:110" ht="13.8" x14ac:dyDescent="0.25">
      <c r="A192" s="122">
        <v>1107015</v>
      </c>
      <c r="B192" s="11" t="s">
        <v>30</v>
      </c>
      <c r="C192" s="25" t="s">
        <v>398</v>
      </c>
      <c r="D192" s="26" t="s">
        <v>380</v>
      </c>
      <c r="E192" s="10" t="s">
        <v>307</v>
      </c>
      <c r="F192" s="10" t="s">
        <v>34</v>
      </c>
      <c r="G192" s="55">
        <f t="shared" si="5"/>
        <v>3.62</v>
      </c>
      <c r="H192" s="10">
        <v>4</v>
      </c>
      <c r="I192" s="13">
        <v>2200</v>
      </c>
      <c r="J192" s="56">
        <v>44616</v>
      </c>
      <c r="K192" s="57">
        <v>3.57</v>
      </c>
      <c r="M192" s="14"/>
      <c r="N192" s="14"/>
      <c r="O192" s="14"/>
      <c r="P192" s="14">
        <v>3.37</v>
      </c>
      <c r="Q192" s="14"/>
      <c r="R192" s="14"/>
      <c r="S192" s="14"/>
      <c r="T192" s="70"/>
      <c r="U192" s="14">
        <v>3.37</v>
      </c>
      <c r="V192" s="76">
        <v>0.25</v>
      </c>
      <c r="W192" s="14">
        <v>3.37</v>
      </c>
      <c r="X192" s="76">
        <v>0.25</v>
      </c>
      <c r="Y192" s="77" t="s">
        <v>37</v>
      </c>
      <c r="Z192" s="87">
        <v>1200</v>
      </c>
      <c r="AA192" s="79" t="s">
        <v>36</v>
      </c>
      <c r="AB192" s="79" t="s">
        <v>35</v>
      </c>
      <c r="AC192" s="79" t="s">
        <v>37</v>
      </c>
      <c r="AD192" s="79" t="s">
        <v>38</v>
      </c>
      <c r="AE192" s="79" t="s">
        <v>308</v>
      </c>
      <c r="AF192" s="79" t="s">
        <v>309</v>
      </c>
      <c r="AG192" s="79" t="s">
        <v>310</v>
      </c>
      <c r="AH192" s="79"/>
      <c r="AI192" s="53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</row>
    <row r="193" spans="1:110" ht="13.8" x14ac:dyDescent="0.25">
      <c r="A193" s="24">
        <v>1107016</v>
      </c>
      <c r="B193" s="11" t="s">
        <v>30</v>
      </c>
      <c r="C193" s="25" t="s">
        <v>399</v>
      </c>
      <c r="D193" s="26" t="s">
        <v>138</v>
      </c>
      <c r="E193" s="10" t="s">
        <v>400</v>
      </c>
      <c r="F193" s="10" t="s">
        <v>34</v>
      </c>
      <c r="G193" s="55">
        <f t="shared" si="5"/>
        <v>4.21</v>
      </c>
      <c r="H193" s="10">
        <v>1</v>
      </c>
      <c r="I193" s="13"/>
      <c r="J193" s="56"/>
      <c r="K193" s="57"/>
      <c r="M193" s="14">
        <v>4.21</v>
      </c>
      <c r="N193" s="14"/>
      <c r="O193" s="14"/>
      <c r="P193" s="14"/>
      <c r="Q193" s="14"/>
      <c r="R193" s="14"/>
      <c r="S193" s="14"/>
      <c r="T193" s="70"/>
      <c r="U193" s="76">
        <v>4.21</v>
      </c>
      <c r="V193" s="76"/>
      <c r="W193" s="76">
        <v>4.21</v>
      </c>
      <c r="X193" s="76"/>
      <c r="Y193" s="77" t="s">
        <v>35</v>
      </c>
      <c r="Z193" s="87"/>
      <c r="AA193" s="79" t="s">
        <v>261</v>
      </c>
      <c r="AB193" s="79" t="s">
        <v>35</v>
      </c>
      <c r="AC193" s="79" t="s">
        <v>35</v>
      </c>
      <c r="AD193" s="79"/>
      <c r="AE193" s="79" t="s">
        <v>401</v>
      </c>
      <c r="AF193" s="79"/>
      <c r="AG193" s="79" t="s">
        <v>402</v>
      </c>
      <c r="AH193" s="79"/>
      <c r="AI193" s="53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</row>
    <row r="194" spans="1:110" ht="13.8" x14ac:dyDescent="0.25">
      <c r="A194" s="24">
        <v>1107017</v>
      </c>
      <c r="B194" s="11" t="s">
        <v>30</v>
      </c>
      <c r="C194" s="25" t="s">
        <v>403</v>
      </c>
      <c r="D194" s="26" t="s">
        <v>181</v>
      </c>
      <c r="E194" s="10" t="s">
        <v>1619</v>
      </c>
      <c r="F194" s="10" t="s">
        <v>34</v>
      </c>
      <c r="G194" s="55">
        <f t="shared" si="5"/>
        <v>4.76</v>
      </c>
      <c r="H194" s="10">
        <v>10</v>
      </c>
      <c r="I194" s="13">
        <v>500</v>
      </c>
      <c r="J194" s="56"/>
      <c r="K194" s="57"/>
      <c r="M194" s="14"/>
      <c r="N194" s="14">
        <v>4.66</v>
      </c>
      <c r="O194" s="14"/>
      <c r="P194" s="14"/>
      <c r="Q194" s="14"/>
      <c r="R194" s="14"/>
      <c r="S194" s="14"/>
      <c r="T194" s="70"/>
      <c r="U194" s="76">
        <v>4.66</v>
      </c>
      <c r="V194" s="76">
        <v>0.1</v>
      </c>
      <c r="W194" s="76">
        <v>3.9247999999999998</v>
      </c>
      <c r="X194" s="76">
        <v>0.1</v>
      </c>
      <c r="Y194" s="77"/>
      <c r="Z194" s="87"/>
      <c r="AA194" s="79"/>
      <c r="AB194" s="79"/>
      <c r="AC194" s="79"/>
      <c r="AD194" s="79"/>
      <c r="AE194" s="79" t="s">
        <v>50</v>
      </c>
      <c r="AF194" s="79" t="s">
        <v>51</v>
      </c>
      <c r="AG194" s="79" t="s">
        <v>52</v>
      </c>
      <c r="AH194" s="79"/>
      <c r="AI194" s="53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</row>
    <row r="195" spans="1:110" ht="13.8" x14ac:dyDescent="0.25">
      <c r="A195" s="24">
        <v>1107018</v>
      </c>
      <c r="B195" s="11" t="s">
        <v>30</v>
      </c>
      <c r="C195" s="25" t="s">
        <v>404</v>
      </c>
      <c r="D195" s="26" t="s">
        <v>138</v>
      </c>
      <c r="E195" s="10" t="s">
        <v>323</v>
      </c>
      <c r="F195" s="10" t="s">
        <v>34</v>
      </c>
      <c r="G195" s="55">
        <f t="shared" si="5"/>
        <v>13.225</v>
      </c>
      <c r="H195" s="10">
        <v>10</v>
      </c>
      <c r="I195" s="13">
        <v>550</v>
      </c>
      <c r="J195" s="56"/>
      <c r="K195" s="57"/>
      <c r="M195" s="14"/>
      <c r="N195" s="14"/>
      <c r="O195" s="14"/>
      <c r="P195" s="14"/>
      <c r="Q195" s="14"/>
      <c r="R195" s="14"/>
      <c r="S195" s="14"/>
      <c r="T195" s="70"/>
      <c r="U195" s="76">
        <v>13.18</v>
      </c>
      <c r="V195" s="76">
        <v>4.4999999999999998E-2</v>
      </c>
      <c r="W195" s="76">
        <v>13.18</v>
      </c>
      <c r="X195" s="76">
        <v>4.4999999999999998E-2</v>
      </c>
      <c r="Y195" s="77" t="s">
        <v>37</v>
      </c>
      <c r="Z195" s="87">
        <v>55</v>
      </c>
      <c r="AA195" s="79" t="s">
        <v>36</v>
      </c>
      <c r="AB195" s="79" t="s">
        <v>35</v>
      </c>
      <c r="AC195" s="79" t="s">
        <v>37</v>
      </c>
      <c r="AD195" s="79" t="s">
        <v>38</v>
      </c>
      <c r="AE195" s="79" t="s">
        <v>324</v>
      </c>
      <c r="AF195" s="79" t="s">
        <v>325</v>
      </c>
      <c r="AG195" s="79" t="s">
        <v>326</v>
      </c>
      <c r="AH195" s="79"/>
      <c r="AI195" s="53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</row>
    <row r="196" spans="1:110" ht="13.8" x14ac:dyDescent="0.25">
      <c r="A196" s="24">
        <v>1107019</v>
      </c>
      <c r="B196" s="11" t="s">
        <v>30</v>
      </c>
      <c r="C196" s="25" t="s">
        <v>405</v>
      </c>
      <c r="D196" s="26" t="s">
        <v>138</v>
      </c>
      <c r="E196" s="10" t="s">
        <v>307</v>
      </c>
      <c r="F196" s="10" t="s">
        <v>34</v>
      </c>
      <c r="G196" s="55">
        <f t="shared" si="5"/>
        <v>4.5049999999999999</v>
      </c>
      <c r="H196" s="10">
        <v>10</v>
      </c>
      <c r="I196" s="13">
        <v>55</v>
      </c>
      <c r="J196" s="56">
        <v>44616</v>
      </c>
      <c r="K196" s="57">
        <v>5.085</v>
      </c>
      <c r="M196" s="14"/>
      <c r="N196" s="14"/>
      <c r="O196" s="14"/>
      <c r="P196" s="14"/>
      <c r="Q196" s="14"/>
      <c r="R196" s="14"/>
      <c r="S196" s="14"/>
      <c r="T196" s="70"/>
      <c r="U196" s="76">
        <v>4.46</v>
      </c>
      <c r="V196" s="76">
        <v>4.4999999999999998E-2</v>
      </c>
      <c r="W196" s="76">
        <v>4.46</v>
      </c>
      <c r="X196" s="76">
        <v>4.4999999999999998E-2</v>
      </c>
      <c r="Y196" s="77" t="s">
        <v>37</v>
      </c>
      <c r="Z196" s="87">
        <v>55</v>
      </c>
      <c r="AA196" s="79" t="s">
        <v>468</v>
      </c>
      <c r="AB196" s="79" t="s">
        <v>35</v>
      </c>
      <c r="AC196" s="79" t="s">
        <v>37</v>
      </c>
      <c r="AD196" s="79" t="s">
        <v>38</v>
      </c>
      <c r="AE196" s="79"/>
      <c r="AF196" s="79"/>
      <c r="AG196" s="79"/>
      <c r="AH196" s="79"/>
      <c r="AI196" s="53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</row>
    <row r="197" spans="1:110" ht="13.8" x14ac:dyDescent="0.25">
      <c r="A197" s="122">
        <v>1108001</v>
      </c>
      <c r="B197" s="11" t="s">
        <v>30</v>
      </c>
      <c r="C197" s="12" t="s">
        <v>406</v>
      </c>
      <c r="D197" s="11" t="s">
        <v>46</v>
      </c>
      <c r="E197" s="10" t="s">
        <v>47</v>
      </c>
      <c r="F197" s="10" t="s">
        <v>34</v>
      </c>
      <c r="G197" s="55">
        <f t="shared" si="5"/>
        <v>2.48</v>
      </c>
      <c r="H197" s="10">
        <v>10</v>
      </c>
      <c r="I197" s="13">
        <v>6400</v>
      </c>
      <c r="J197" s="56">
        <v>44616</v>
      </c>
      <c r="K197" s="57">
        <v>2.23</v>
      </c>
      <c r="M197" s="14"/>
      <c r="N197" s="14"/>
      <c r="O197" s="14">
        <v>13.13</v>
      </c>
      <c r="P197" s="14"/>
      <c r="Q197" s="14"/>
      <c r="R197" s="14"/>
      <c r="S197" s="14">
        <v>2.48</v>
      </c>
      <c r="T197" s="70"/>
      <c r="U197" s="14">
        <v>2.48</v>
      </c>
      <c r="V197" s="76">
        <v>0</v>
      </c>
      <c r="W197" s="14">
        <v>2.48</v>
      </c>
      <c r="X197" s="76">
        <v>0</v>
      </c>
      <c r="Y197" s="77" t="s">
        <v>35</v>
      </c>
      <c r="Z197" s="78">
        <v>1600</v>
      </c>
      <c r="AA197" s="79" t="s">
        <v>36</v>
      </c>
      <c r="AB197" s="79" t="s">
        <v>35</v>
      </c>
      <c r="AC197" s="79" t="s">
        <v>37</v>
      </c>
      <c r="AD197" s="79" t="s">
        <v>38</v>
      </c>
      <c r="AE197" s="79" t="s">
        <v>1547</v>
      </c>
      <c r="AF197" s="79" t="s">
        <v>1548</v>
      </c>
      <c r="AG197" s="79" t="s">
        <v>1549</v>
      </c>
      <c r="AH197" s="79"/>
      <c r="AI197" s="53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</row>
    <row r="198" spans="1:110" ht="13.8" x14ac:dyDescent="0.25">
      <c r="A198" s="24">
        <v>1108002</v>
      </c>
      <c r="B198" s="11" t="s">
        <v>30</v>
      </c>
      <c r="C198" s="12" t="s">
        <v>407</v>
      </c>
      <c r="D198" s="11" t="s">
        <v>46</v>
      </c>
      <c r="E198" s="10" t="s">
        <v>169</v>
      </c>
      <c r="F198" s="10" t="s">
        <v>34</v>
      </c>
      <c r="G198" s="55" t="str">
        <f t="shared" si="5"/>
        <v>Obsolete</v>
      </c>
      <c r="H198" s="10"/>
      <c r="I198" s="13">
        <v>6000</v>
      </c>
      <c r="J198" s="56"/>
      <c r="K198" s="57"/>
      <c r="M198" s="14">
        <v>4.4000000000000004</v>
      </c>
      <c r="N198" s="14"/>
      <c r="O198" s="14"/>
      <c r="P198" s="14"/>
      <c r="Q198" s="14"/>
      <c r="R198" s="14"/>
      <c r="S198" s="14">
        <v>4.4000000000000004</v>
      </c>
      <c r="T198" s="70"/>
      <c r="U198" s="76" t="s">
        <v>54</v>
      </c>
      <c r="V198" s="76">
        <v>0</v>
      </c>
      <c r="W198" s="76" t="s">
        <v>54</v>
      </c>
      <c r="X198" s="76">
        <v>0</v>
      </c>
      <c r="Y198" s="97"/>
      <c r="Z198" s="78"/>
      <c r="AA198" s="79" t="s">
        <v>36</v>
      </c>
      <c r="AB198" s="79" t="s">
        <v>37</v>
      </c>
      <c r="AC198" s="79" t="s">
        <v>37</v>
      </c>
      <c r="AD198" s="79" t="s">
        <v>38</v>
      </c>
      <c r="AE198" s="91" t="s">
        <v>57</v>
      </c>
      <c r="AF198" s="91" t="s">
        <v>57</v>
      </c>
      <c r="AG198" s="79" t="s">
        <v>57</v>
      </c>
      <c r="AH198" s="79"/>
      <c r="AI198" s="53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</row>
    <row r="199" spans="1:110" ht="13.8" x14ac:dyDescent="0.25">
      <c r="A199" s="122">
        <v>1108003</v>
      </c>
      <c r="B199" s="11" t="s">
        <v>30</v>
      </c>
      <c r="C199" s="12" t="s">
        <v>408</v>
      </c>
      <c r="D199" s="11" t="s">
        <v>155</v>
      </c>
      <c r="E199" s="10" t="s">
        <v>194</v>
      </c>
      <c r="F199" s="10" t="s">
        <v>34</v>
      </c>
      <c r="G199" s="55">
        <f t="shared" si="5"/>
        <v>4.13</v>
      </c>
      <c r="H199" s="10">
        <v>4</v>
      </c>
      <c r="I199" s="13">
        <v>220</v>
      </c>
      <c r="J199" s="56">
        <v>44616</v>
      </c>
      <c r="K199" s="57">
        <v>3.42</v>
      </c>
      <c r="M199" s="14">
        <v>4.13</v>
      </c>
      <c r="N199" s="14"/>
      <c r="O199" s="14"/>
      <c r="P199" s="14"/>
      <c r="Q199" s="14"/>
      <c r="R199" s="14"/>
      <c r="S199" s="14"/>
      <c r="T199" s="70"/>
      <c r="U199" s="14">
        <v>4.13</v>
      </c>
      <c r="V199" s="76">
        <v>0</v>
      </c>
      <c r="W199" s="14">
        <v>4.13</v>
      </c>
      <c r="X199" s="76">
        <v>0</v>
      </c>
      <c r="Y199" s="77" t="s">
        <v>37</v>
      </c>
      <c r="Z199" s="78">
        <v>1650</v>
      </c>
      <c r="AA199" s="79" t="s">
        <v>36</v>
      </c>
      <c r="AB199" s="79" t="s">
        <v>35</v>
      </c>
      <c r="AC199" s="79" t="s">
        <v>37</v>
      </c>
      <c r="AD199" s="79" t="s">
        <v>38</v>
      </c>
      <c r="AE199" s="79" t="s">
        <v>308</v>
      </c>
      <c r="AF199" s="79" t="s">
        <v>309</v>
      </c>
      <c r="AG199" s="79" t="s">
        <v>310</v>
      </c>
      <c r="AH199" s="79"/>
      <c r="AI199" s="53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</row>
    <row r="200" spans="1:110" ht="13.8" x14ac:dyDescent="0.25">
      <c r="A200" s="24">
        <v>1108004</v>
      </c>
      <c r="B200" s="11" t="s">
        <v>30</v>
      </c>
      <c r="C200" s="12" t="s">
        <v>409</v>
      </c>
      <c r="D200" s="11" t="s">
        <v>46</v>
      </c>
      <c r="E200" s="10" t="s">
        <v>47</v>
      </c>
      <c r="F200" s="10" t="s">
        <v>34</v>
      </c>
      <c r="G200" s="55">
        <f t="shared" si="5"/>
        <v>4.57</v>
      </c>
      <c r="H200" s="10">
        <v>10</v>
      </c>
      <c r="I200" s="13">
        <v>6400</v>
      </c>
      <c r="J200" s="56"/>
      <c r="K200" s="57"/>
      <c r="M200" s="14"/>
      <c r="N200" s="14"/>
      <c r="O200" s="14"/>
      <c r="P200" s="14"/>
      <c r="Q200" s="14"/>
      <c r="R200" s="14"/>
      <c r="S200" s="14">
        <v>4.57</v>
      </c>
      <c r="T200" s="70"/>
      <c r="U200" s="76">
        <v>4.57</v>
      </c>
      <c r="V200" s="76">
        <v>0</v>
      </c>
      <c r="W200" s="76">
        <v>4.57</v>
      </c>
      <c r="X200" s="76">
        <v>0</v>
      </c>
      <c r="Y200" s="77" t="s">
        <v>35</v>
      </c>
      <c r="Z200" s="78">
        <v>55</v>
      </c>
      <c r="AA200" s="79" t="s">
        <v>36</v>
      </c>
      <c r="AB200" s="79" t="s">
        <v>35</v>
      </c>
      <c r="AC200" s="79" t="s">
        <v>37</v>
      </c>
      <c r="AD200" s="79" t="s">
        <v>38</v>
      </c>
      <c r="AE200" s="79" t="s">
        <v>1547</v>
      </c>
      <c r="AF200" s="79" t="s">
        <v>1548</v>
      </c>
      <c r="AG200" s="79" t="s">
        <v>1549</v>
      </c>
      <c r="AH200" s="79"/>
      <c r="AI200" s="53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</row>
    <row r="201" spans="1:110" ht="13.8" x14ac:dyDescent="0.25">
      <c r="A201" s="122">
        <v>1108005</v>
      </c>
      <c r="B201" s="11" t="s">
        <v>30</v>
      </c>
      <c r="C201" s="25" t="s">
        <v>410</v>
      </c>
      <c r="D201" s="26" t="s">
        <v>46</v>
      </c>
      <c r="E201" s="10" t="s">
        <v>1611</v>
      </c>
      <c r="F201" s="10" t="s">
        <v>34</v>
      </c>
      <c r="G201" s="55">
        <f t="shared" si="5"/>
        <v>1.9949999999999999</v>
      </c>
      <c r="H201" s="10">
        <v>7</v>
      </c>
      <c r="I201" s="13">
        <v>1500</v>
      </c>
      <c r="J201" s="56">
        <v>44616</v>
      </c>
      <c r="K201" s="57">
        <v>1.7929999999999999</v>
      </c>
      <c r="M201" s="14"/>
      <c r="N201" s="14"/>
      <c r="O201" s="76">
        <v>1.95</v>
      </c>
      <c r="P201" s="14"/>
      <c r="Q201" s="14"/>
      <c r="R201" s="14"/>
      <c r="S201" s="14">
        <v>1.853</v>
      </c>
      <c r="T201" s="70">
        <v>1.804</v>
      </c>
      <c r="U201" s="76">
        <v>1.95</v>
      </c>
      <c r="V201" s="76">
        <v>4.4999999999999998E-2</v>
      </c>
      <c r="W201" s="76">
        <v>1.95</v>
      </c>
      <c r="X201" s="76">
        <v>4.4999999999999998E-2</v>
      </c>
      <c r="Y201" s="77" t="s">
        <v>35</v>
      </c>
      <c r="Z201" s="78">
        <v>1500</v>
      </c>
      <c r="AA201" s="79" t="s">
        <v>36</v>
      </c>
      <c r="AB201" s="79" t="s">
        <v>35</v>
      </c>
      <c r="AC201" s="79" t="s">
        <v>37</v>
      </c>
      <c r="AD201" s="79" t="s">
        <v>38</v>
      </c>
      <c r="AE201" s="79" t="s">
        <v>1517</v>
      </c>
      <c r="AF201" s="83" t="s">
        <v>1518</v>
      </c>
      <c r="AG201" s="79" t="s">
        <v>1519</v>
      </c>
      <c r="AH201" s="79"/>
      <c r="AI201" s="53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</row>
    <row r="202" spans="1:110" ht="13.8" x14ac:dyDescent="0.25">
      <c r="A202" s="24">
        <v>1108006</v>
      </c>
      <c r="B202" s="11" t="s">
        <v>30</v>
      </c>
      <c r="C202" s="12" t="s">
        <v>411</v>
      </c>
      <c r="D202" s="11" t="s">
        <v>46</v>
      </c>
      <c r="E202" s="10" t="s">
        <v>132</v>
      </c>
      <c r="F202" s="10" t="s">
        <v>34</v>
      </c>
      <c r="G202" s="55" t="str">
        <f t="shared" si="5"/>
        <v>Obsolete</v>
      </c>
      <c r="H202" s="10">
        <v>10</v>
      </c>
      <c r="I202" s="13">
        <v>4000</v>
      </c>
      <c r="J202" s="56"/>
      <c r="K202" s="57"/>
      <c r="M202" s="14"/>
      <c r="N202" s="14"/>
      <c r="O202" s="14"/>
      <c r="P202" s="14"/>
      <c r="Q202" s="14"/>
      <c r="R202" s="14">
        <v>2.0699999999999998</v>
      </c>
      <c r="S202" s="14"/>
      <c r="T202" s="70"/>
      <c r="U202" s="76" t="s">
        <v>54</v>
      </c>
      <c r="V202" s="76"/>
      <c r="W202" s="76" t="s">
        <v>54</v>
      </c>
      <c r="X202" s="76"/>
      <c r="Y202" s="97"/>
      <c r="Z202" s="78">
        <v>55</v>
      </c>
      <c r="AA202" s="79" t="s">
        <v>64</v>
      </c>
      <c r="AB202" s="79" t="s">
        <v>37</v>
      </c>
      <c r="AC202" s="79" t="s">
        <v>37</v>
      </c>
      <c r="AD202" s="79"/>
      <c r="AE202" s="79" t="s">
        <v>133</v>
      </c>
      <c r="AF202" s="79" t="s">
        <v>134</v>
      </c>
      <c r="AG202" s="79" t="s">
        <v>135</v>
      </c>
      <c r="AH202" s="79"/>
      <c r="AI202" s="53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</row>
    <row r="203" spans="1:110" ht="13.8" x14ac:dyDescent="0.25">
      <c r="A203" s="24">
        <v>1108007</v>
      </c>
      <c r="B203" s="11" t="s">
        <v>30</v>
      </c>
      <c r="C203" s="12" t="s">
        <v>412</v>
      </c>
      <c r="D203" s="11" t="s">
        <v>46</v>
      </c>
      <c r="E203" s="10" t="s">
        <v>47</v>
      </c>
      <c r="F203" s="10" t="s">
        <v>34</v>
      </c>
      <c r="G203" s="55" t="str">
        <f t="shared" si="5"/>
        <v>Obsolete</v>
      </c>
      <c r="H203" s="10">
        <v>10</v>
      </c>
      <c r="I203" s="13"/>
      <c r="J203" s="56"/>
      <c r="K203" s="57"/>
      <c r="M203" s="14"/>
      <c r="N203" s="14"/>
      <c r="O203" s="14"/>
      <c r="P203" s="14"/>
      <c r="Q203" s="14"/>
      <c r="R203" s="14"/>
      <c r="S203" s="14"/>
      <c r="T203" s="70"/>
      <c r="U203" s="76" t="s">
        <v>54</v>
      </c>
      <c r="V203" s="76">
        <v>0</v>
      </c>
      <c r="W203" s="76" t="s">
        <v>54</v>
      </c>
      <c r="X203" s="76">
        <v>0</v>
      </c>
      <c r="Y203" s="97" t="s">
        <v>35</v>
      </c>
      <c r="Z203" s="78">
        <v>1600</v>
      </c>
      <c r="AA203" s="79" t="s">
        <v>36</v>
      </c>
      <c r="AB203" s="79" t="s">
        <v>37</v>
      </c>
      <c r="AC203" s="79" t="s">
        <v>37</v>
      </c>
      <c r="AD203" s="79" t="s">
        <v>38</v>
      </c>
      <c r="AE203" s="79" t="s">
        <v>1547</v>
      </c>
      <c r="AF203" s="79" t="s">
        <v>1548</v>
      </c>
      <c r="AG203" s="79" t="s">
        <v>1549</v>
      </c>
      <c r="AH203" s="79"/>
      <c r="AI203" s="53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</row>
    <row r="204" spans="1:110" ht="13.8" x14ac:dyDescent="0.25">
      <c r="A204" s="24">
        <v>1108008</v>
      </c>
      <c r="B204" s="11" t="s">
        <v>30</v>
      </c>
      <c r="C204" s="12" t="s">
        <v>413</v>
      </c>
      <c r="D204" s="11" t="s">
        <v>46</v>
      </c>
      <c r="E204" s="10" t="s">
        <v>132</v>
      </c>
      <c r="F204" s="10" t="s">
        <v>34</v>
      </c>
      <c r="G204" s="55" t="str">
        <f t="shared" si="5"/>
        <v>Obsolete</v>
      </c>
      <c r="H204" s="10">
        <v>10</v>
      </c>
      <c r="I204" s="13">
        <v>2000</v>
      </c>
      <c r="J204" s="56"/>
      <c r="K204" s="57"/>
      <c r="M204" s="14"/>
      <c r="N204" s="14"/>
      <c r="O204" s="14"/>
      <c r="P204" s="14"/>
      <c r="Q204" s="14"/>
      <c r="R204" s="14"/>
      <c r="S204" s="14"/>
      <c r="T204" s="70"/>
      <c r="U204" s="76" t="s">
        <v>54</v>
      </c>
      <c r="V204" s="76"/>
      <c r="W204" s="76" t="s">
        <v>54</v>
      </c>
      <c r="X204" s="76"/>
      <c r="Y204" s="97"/>
      <c r="Z204" s="78">
        <v>55</v>
      </c>
      <c r="AA204" s="79" t="s">
        <v>64</v>
      </c>
      <c r="AB204" s="79" t="s">
        <v>37</v>
      </c>
      <c r="AC204" s="79" t="s">
        <v>37</v>
      </c>
      <c r="AD204" s="79"/>
      <c r="AE204" s="79" t="s">
        <v>133</v>
      </c>
      <c r="AF204" s="79" t="s">
        <v>134</v>
      </c>
      <c r="AG204" s="79" t="s">
        <v>135</v>
      </c>
      <c r="AH204" s="79"/>
      <c r="AI204" s="53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</row>
    <row r="205" spans="1:110" ht="13.8" x14ac:dyDescent="0.25">
      <c r="A205" s="24">
        <v>1108009</v>
      </c>
      <c r="B205" s="11" t="s">
        <v>30</v>
      </c>
      <c r="C205" s="12" t="s">
        <v>414</v>
      </c>
      <c r="D205" s="11" t="s">
        <v>49</v>
      </c>
      <c r="E205" s="10" t="s">
        <v>1619</v>
      </c>
      <c r="F205" s="10" t="s">
        <v>34</v>
      </c>
      <c r="G205" s="55">
        <f t="shared" si="5"/>
        <v>3.02</v>
      </c>
      <c r="H205" s="10">
        <v>10</v>
      </c>
      <c r="I205" s="13">
        <v>110</v>
      </c>
      <c r="J205" s="56">
        <v>44273</v>
      </c>
      <c r="K205" s="57">
        <v>2.85</v>
      </c>
      <c r="M205" s="14">
        <v>2.66</v>
      </c>
      <c r="N205" s="14"/>
      <c r="O205" s="14"/>
      <c r="P205" s="14"/>
      <c r="Q205" s="14"/>
      <c r="R205" s="14"/>
      <c r="S205" s="14"/>
      <c r="T205" s="70"/>
      <c r="U205" s="76">
        <v>2.66</v>
      </c>
      <c r="V205" s="76">
        <v>0.36</v>
      </c>
      <c r="W205" s="76">
        <v>2.66</v>
      </c>
      <c r="X205" s="76">
        <v>0.36</v>
      </c>
      <c r="Y205" s="77" t="s">
        <v>37</v>
      </c>
      <c r="Z205" s="78">
        <v>55</v>
      </c>
      <c r="AA205" s="79" t="s">
        <v>36</v>
      </c>
      <c r="AB205" s="79" t="s">
        <v>35</v>
      </c>
      <c r="AC205" s="79" t="s">
        <v>37</v>
      </c>
      <c r="AD205" s="79" t="s">
        <v>38</v>
      </c>
      <c r="AE205" s="79" t="s">
        <v>50</v>
      </c>
      <c r="AF205" s="79" t="s">
        <v>51</v>
      </c>
      <c r="AG205" s="79" t="s">
        <v>52</v>
      </c>
      <c r="AH205" s="79"/>
      <c r="AI205" s="53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</row>
    <row r="206" spans="1:110" ht="13.8" x14ac:dyDescent="0.25">
      <c r="A206" s="24">
        <v>1108010</v>
      </c>
      <c r="B206" s="11" t="s">
        <v>30</v>
      </c>
      <c r="C206" s="12" t="s">
        <v>415</v>
      </c>
      <c r="D206" s="11" t="s">
        <v>416</v>
      </c>
      <c r="E206" s="10" t="s">
        <v>1619</v>
      </c>
      <c r="F206" s="10" t="s">
        <v>34</v>
      </c>
      <c r="G206" s="55">
        <f t="shared" si="5"/>
        <v>3.8600000000000003</v>
      </c>
      <c r="H206" s="10">
        <v>10</v>
      </c>
      <c r="I206" s="13">
        <v>55</v>
      </c>
      <c r="J206" s="56"/>
      <c r="K206" s="57"/>
      <c r="M206" s="14">
        <v>3.14</v>
      </c>
      <c r="N206" s="14"/>
      <c r="O206" s="14"/>
      <c r="P206" s="14"/>
      <c r="Q206" s="14"/>
      <c r="R206" s="14"/>
      <c r="S206" s="14"/>
      <c r="T206" s="70"/>
      <c r="U206" s="76">
        <v>3.14</v>
      </c>
      <c r="V206" s="76">
        <v>0.72</v>
      </c>
      <c r="W206" s="76">
        <v>3.14</v>
      </c>
      <c r="X206" s="76">
        <v>0.72</v>
      </c>
      <c r="Y206" s="77" t="s">
        <v>37</v>
      </c>
      <c r="Z206" s="78">
        <v>55</v>
      </c>
      <c r="AA206" s="79" t="s">
        <v>36</v>
      </c>
      <c r="AB206" s="79" t="s">
        <v>35</v>
      </c>
      <c r="AC206" s="79" t="s">
        <v>37</v>
      </c>
      <c r="AD206" s="79" t="s">
        <v>38</v>
      </c>
      <c r="AE206" s="79" t="s">
        <v>50</v>
      </c>
      <c r="AF206" s="79" t="s">
        <v>51</v>
      </c>
      <c r="AG206" s="79" t="s">
        <v>52</v>
      </c>
      <c r="AH206" s="79"/>
      <c r="AI206" s="53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</row>
    <row r="207" spans="1:110" ht="13.8" x14ac:dyDescent="0.25">
      <c r="A207" s="24">
        <v>1108011</v>
      </c>
      <c r="B207" s="11" t="s">
        <v>30</v>
      </c>
      <c r="C207" s="12" t="s">
        <v>417</v>
      </c>
      <c r="D207" s="11" t="s">
        <v>416</v>
      </c>
      <c r="E207" s="10" t="s">
        <v>132</v>
      </c>
      <c r="F207" s="10" t="s">
        <v>34</v>
      </c>
      <c r="G207" s="55">
        <f t="shared" si="5"/>
        <v>3.48</v>
      </c>
      <c r="H207" s="10">
        <v>10</v>
      </c>
      <c r="I207" s="13">
        <v>2200</v>
      </c>
      <c r="J207" s="56"/>
      <c r="K207" s="57"/>
      <c r="M207" s="14"/>
      <c r="N207" s="14"/>
      <c r="O207" s="14"/>
      <c r="P207" s="14"/>
      <c r="Q207" s="14"/>
      <c r="R207" s="14"/>
      <c r="S207" s="14"/>
      <c r="T207" s="70"/>
      <c r="U207" s="76">
        <v>3.48</v>
      </c>
      <c r="V207" s="76"/>
      <c r="W207" s="76">
        <v>3.48</v>
      </c>
      <c r="X207" s="76"/>
      <c r="Y207" s="97"/>
      <c r="Z207" s="78">
        <v>55</v>
      </c>
      <c r="AA207" s="79" t="s">
        <v>64</v>
      </c>
      <c r="AB207" s="79" t="s">
        <v>37</v>
      </c>
      <c r="AC207" s="79" t="s">
        <v>37</v>
      </c>
      <c r="AD207" s="79"/>
      <c r="AE207" s="79" t="s">
        <v>133</v>
      </c>
      <c r="AF207" s="79" t="s">
        <v>134</v>
      </c>
      <c r="AG207" s="79" t="s">
        <v>135</v>
      </c>
      <c r="AH207" s="79"/>
      <c r="AI207" s="53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</row>
    <row r="208" spans="1:110" ht="13.8" x14ac:dyDescent="0.25">
      <c r="A208" s="24">
        <v>1108012</v>
      </c>
      <c r="B208" s="11" t="s">
        <v>30</v>
      </c>
      <c r="C208" s="12" t="s">
        <v>418</v>
      </c>
      <c r="D208" s="11" t="s">
        <v>416</v>
      </c>
      <c r="E208" s="10" t="s">
        <v>419</v>
      </c>
      <c r="F208" s="10" t="s">
        <v>34</v>
      </c>
      <c r="G208" s="55" t="str">
        <f t="shared" si="5"/>
        <v>Obsolete</v>
      </c>
      <c r="H208" s="10"/>
      <c r="I208" s="13"/>
      <c r="J208" s="56"/>
      <c r="K208" s="57"/>
      <c r="M208" s="14"/>
      <c r="N208" s="14"/>
      <c r="O208" s="14"/>
      <c r="P208" s="14"/>
      <c r="Q208" s="14"/>
      <c r="R208" s="14">
        <v>5.5940000000000003</v>
      </c>
      <c r="S208" s="14"/>
      <c r="T208" s="70"/>
      <c r="U208" s="76" t="s">
        <v>54</v>
      </c>
      <c r="V208" s="76"/>
      <c r="W208" s="76" t="s">
        <v>54</v>
      </c>
      <c r="X208" s="76"/>
      <c r="Y208" s="97"/>
      <c r="Z208" s="78"/>
      <c r="AA208" s="79" t="s">
        <v>64</v>
      </c>
      <c r="AB208" s="79" t="s">
        <v>37</v>
      </c>
      <c r="AC208" s="79" t="s">
        <v>37</v>
      </c>
      <c r="AD208" s="79"/>
      <c r="AE208" s="79"/>
      <c r="AF208" s="79"/>
      <c r="AG208" s="79"/>
      <c r="AH208" s="79"/>
      <c r="AI208" s="53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</row>
    <row r="209" spans="1:110" ht="13.8" x14ac:dyDescent="0.25">
      <c r="A209" s="122">
        <v>1108013</v>
      </c>
      <c r="B209" s="11" t="s">
        <v>30</v>
      </c>
      <c r="C209" s="16" t="s">
        <v>420</v>
      </c>
      <c r="D209" s="11" t="s">
        <v>46</v>
      </c>
      <c r="E209" s="10" t="s">
        <v>47</v>
      </c>
      <c r="F209" s="10" t="s">
        <v>34</v>
      </c>
      <c r="G209" s="55">
        <f t="shared" si="5"/>
        <v>3.27</v>
      </c>
      <c r="H209" s="10">
        <v>10</v>
      </c>
      <c r="I209" s="13">
        <v>1600</v>
      </c>
      <c r="J209" s="56">
        <v>44616</v>
      </c>
      <c r="K209" s="57">
        <v>3.02</v>
      </c>
      <c r="M209" s="14"/>
      <c r="N209" s="14"/>
      <c r="O209" s="14">
        <v>3.27</v>
      </c>
      <c r="P209" s="14"/>
      <c r="Q209" s="14"/>
      <c r="R209" s="14"/>
      <c r="S209" s="14">
        <v>2.85</v>
      </c>
      <c r="T209" s="70"/>
      <c r="U209" s="14">
        <v>3.27</v>
      </c>
      <c r="V209" s="76">
        <v>0</v>
      </c>
      <c r="W209" s="14">
        <v>3.27</v>
      </c>
      <c r="X209" s="76">
        <v>0</v>
      </c>
      <c r="Y209" s="77" t="s">
        <v>35</v>
      </c>
      <c r="Z209" s="78">
        <v>1600</v>
      </c>
      <c r="AA209" s="79" t="s">
        <v>36</v>
      </c>
      <c r="AB209" s="79" t="s">
        <v>35</v>
      </c>
      <c r="AC209" s="79" t="s">
        <v>37</v>
      </c>
      <c r="AD209" s="79" t="s">
        <v>38</v>
      </c>
      <c r="AE209" s="79" t="s">
        <v>1547</v>
      </c>
      <c r="AF209" s="79" t="s">
        <v>1548</v>
      </c>
      <c r="AG209" s="79" t="s">
        <v>1549</v>
      </c>
      <c r="AH209" s="79"/>
      <c r="AI209" s="53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</row>
    <row r="210" spans="1:110" ht="13.8" x14ac:dyDescent="0.25">
      <c r="A210" s="24">
        <v>1108014</v>
      </c>
      <c r="B210" s="11" t="s">
        <v>30</v>
      </c>
      <c r="C210" s="16" t="s">
        <v>421</v>
      </c>
      <c r="D210" s="11" t="s">
        <v>46</v>
      </c>
      <c r="E210" s="10" t="s">
        <v>422</v>
      </c>
      <c r="F210" s="10" t="s">
        <v>34</v>
      </c>
      <c r="G210" s="55">
        <f t="shared" si="5"/>
        <v>1.9946999999999999</v>
      </c>
      <c r="H210" s="10">
        <v>8</v>
      </c>
      <c r="I210" s="13">
        <v>6000</v>
      </c>
      <c r="J210" s="56"/>
      <c r="K210" s="57"/>
      <c r="M210" s="14"/>
      <c r="N210" s="14"/>
      <c r="O210" s="14"/>
      <c r="P210" s="14"/>
      <c r="Q210" s="14"/>
      <c r="R210" s="14"/>
      <c r="S210" s="14"/>
      <c r="T210" s="70"/>
      <c r="U210" s="76">
        <v>1.599</v>
      </c>
      <c r="V210" s="76">
        <v>0.3957</v>
      </c>
      <c r="W210" s="76">
        <v>1.599</v>
      </c>
      <c r="X210" s="76">
        <v>0.3957</v>
      </c>
      <c r="Y210" s="77" t="s">
        <v>35</v>
      </c>
      <c r="Z210" s="87">
        <v>50</v>
      </c>
      <c r="AA210" s="79" t="s">
        <v>36</v>
      </c>
      <c r="AB210" s="79" t="s">
        <v>35</v>
      </c>
      <c r="AC210" s="79" t="s">
        <v>37</v>
      </c>
      <c r="AD210" s="79" t="s">
        <v>38</v>
      </c>
      <c r="AE210" s="79" t="s">
        <v>423</v>
      </c>
      <c r="AF210" s="91" t="s">
        <v>57</v>
      </c>
      <c r="AG210" s="79" t="s">
        <v>424</v>
      </c>
      <c r="AH210" s="79"/>
      <c r="AI210" s="53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</row>
    <row r="211" spans="1:110" ht="13.8" x14ac:dyDescent="0.25">
      <c r="A211" s="24">
        <v>1108015</v>
      </c>
      <c r="B211" s="11" t="s">
        <v>30</v>
      </c>
      <c r="C211" s="16" t="s">
        <v>425</v>
      </c>
      <c r="D211" s="11" t="s">
        <v>46</v>
      </c>
      <c r="E211" s="10" t="s">
        <v>426</v>
      </c>
      <c r="F211" s="10" t="s">
        <v>34</v>
      </c>
      <c r="G211" s="55" t="str">
        <f t="shared" si="5"/>
        <v>Obsolete</v>
      </c>
      <c r="H211" s="10"/>
      <c r="I211" s="13">
        <v>55</v>
      </c>
      <c r="J211" s="56"/>
      <c r="K211" s="57"/>
      <c r="M211" s="14"/>
      <c r="N211" s="14"/>
      <c r="O211" s="14"/>
      <c r="P211" s="14"/>
      <c r="Q211" s="14"/>
      <c r="R211" s="14"/>
      <c r="S211" s="14"/>
      <c r="T211" s="70"/>
      <c r="U211" s="76" t="s">
        <v>54</v>
      </c>
      <c r="V211" s="76"/>
      <c r="W211" s="76" t="s">
        <v>54</v>
      </c>
      <c r="X211" s="76"/>
      <c r="Y211" s="97"/>
      <c r="Z211" s="78"/>
      <c r="AA211" s="79" t="s">
        <v>36</v>
      </c>
      <c r="AB211" s="79" t="s">
        <v>37</v>
      </c>
      <c r="AC211" s="79" t="s">
        <v>37</v>
      </c>
      <c r="AD211" s="79"/>
      <c r="AE211" s="91" t="s">
        <v>57</v>
      </c>
      <c r="AF211" s="91" t="s">
        <v>57</v>
      </c>
      <c r="AG211" s="79" t="s">
        <v>57</v>
      </c>
      <c r="AH211" s="79"/>
      <c r="AI211" s="53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</row>
    <row r="212" spans="1:110" ht="13.8" x14ac:dyDescent="0.25">
      <c r="A212" s="122">
        <v>1108016</v>
      </c>
      <c r="B212" s="11" t="s">
        <v>30</v>
      </c>
      <c r="C212" s="16" t="s">
        <v>427</v>
      </c>
      <c r="D212" s="11" t="s">
        <v>46</v>
      </c>
      <c r="E212" s="10" t="s">
        <v>1611</v>
      </c>
      <c r="F212" s="10" t="s">
        <v>34</v>
      </c>
      <c r="G212" s="55">
        <f t="shared" si="5"/>
        <v>2.1919999999999997</v>
      </c>
      <c r="H212" s="10">
        <v>7</v>
      </c>
      <c r="I212" s="13">
        <v>5000</v>
      </c>
      <c r="J212" s="56">
        <v>44616</v>
      </c>
      <c r="K212" s="57">
        <v>1.99</v>
      </c>
      <c r="M212" s="14"/>
      <c r="N212" s="14"/>
      <c r="O212" s="14"/>
      <c r="P212" s="14">
        <v>2.2370000000000001</v>
      </c>
      <c r="Q212" s="14"/>
      <c r="R212" s="76"/>
      <c r="S212" s="14">
        <v>2.1469999999999998</v>
      </c>
      <c r="T212" s="70">
        <v>2.0670000000000002</v>
      </c>
      <c r="U212" s="14">
        <v>2.1469999999999998</v>
      </c>
      <c r="V212" s="76">
        <v>4.4999999999999998E-2</v>
      </c>
      <c r="W212" s="14">
        <v>2.1469999999999998</v>
      </c>
      <c r="X212" s="76">
        <v>4.4999999999999998E-2</v>
      </c>
      <c r="Y212" s="77" t="s">
        <v>35</v>
      </c>
      <c r="Z212" s="87">
        <v>1700</v>
      </c>
      <c r="AA212" s="79" t="s">
        <v>36</v>
      </c>
      <c r="AB212" s="79" t="s">
        <v>35</v>
      </c>
      <c r="AC212" s="79" t="s">
        <v>37</v>
      </c>
      <c r="AD212" s="79" t="s">
        <v>38</v>
      </c>
      <c r="AE212" s="79" t="s">
        <v>1517</v>
      </c>
      <c r="AF212" s="83" t="s">
        <v>1518</v>
      </c>
      <c r="AG212" s="79" t="s">
        <v>1519</v>
      </c>
      <c r="AH212" s="79"/>
      <c r="AI212" s="53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</row>
    <row r="213" spans="1:110" ht="13.8" x14ac:dyDescent="0.25">
      <c r="A213" s="122">
        <v>1108017</v>
      </c>
      <c r="B213" s="11" t="s">
        <v>30</v>
      </c>
      <c r="C213" s="31" t="s">
        <v>428</v>
      </c>
      <c r="D213" s="11" t="s">
        <v>46</v>
      </c>
      <c r="E213" s="10" t="s">
        <v>47</v>
      </c>
      <c r="F213" s="10" t="s">
        <v>34</v>
      </c>
      <c r="G213" s="55">
        <f t="shared" si="5"/>
        <v>3.25</v>
      </c>
      <c r="H213" s="10">
        <v>10</v>
      </c>
      <c r="I213" s="13">
        <v>330</v>
      </c>
      <c r="J213" s="56">
        <v>44616</v>
      </c>
      <c r="K213" s="57">
        <v>3.68</v>
      </c>
      <c r="M213" s="14"/>
      <c r="N213" s="14"/>
      <c r="O213" s="14">
        <v>2.52</v>
      </c>
      <c r="P213" s="14"/>
      <c r="Q213" s="14"/>
      <c r="R213" s="14"/>
      <c r="S213" s="14">
        <v>2.19</v>
      </c>
      <c r="T213" s="70"/>
      <c r="U213" s="14">
        <v>2.52</v>
      </c>
      <c r="V213" s="76">
        <v>0.73</v>
      </c>
      <c r="W213" s="14">
        <v>2.52</v>
      </c>
      <c r="X213" s="76">
        <v>0.73</v>
      </c>
      <c r="Y213" s="77" t="s">
        <v>35</v>
      </c>
      <c r="Z213" s="78">
        <v>55</v>
      </c>
      <c r="AA213" s="79" t="s">
        <v>36</v>
      </c>
      <c r="AB213" s="79" t="s">
        <v>35</v>
      </c>
      <c r="AC213" s="79" t="s">
        <v>37</v>
      </c>
      <c r="AD213" s="79" t="s">
        <v>38</v>
      </c>
      <c r="AE213" s="79" t="s">
        <v>374</v>
      </c>
      <c r="AF213" s="79" t="s">
        <v>375</v>
      </c>
      <c r="AG213" s="79" t="s">
        <v>376</v>
      </c>
      <c r="AH213" s="79"/>
      <c r="AI213" s="53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</row>
    <row r="214" spans="1:110" ht="13.8" x14ac:dyDescent="0.25">
      <c r="A214" s="24">
        <v>1108018</v>
      </c>
      <c r="B214" s="11" t="s">
        <v>30</v>
      </c>
      <c r="C214" s="16" t="s">
        <v>429</v>
      </c>
      <c r="D214" s="11" t="s">
        <v>46</v>
      </c>
      <c r="E214" s="10" t="s">
        <v>426</v>
      </c>
      <c r="F214" s="10" t="s">
        <v>34</v>
      </c>
      <c r="G214" s="55" t="str">
        <f t="shared" si="5"/>
        <v>Obsolete</v>
      </c>
      <c r="H214" s="10">
        <v>3</v>
      </c>
      <c r="I214" s="13">
        <v>2000</v>
      </c>
      <c r="J214" s="56"/>
      <c r="K214" s="57"/>
      <c r="M214" s="14"/>
      <c r="N214" s="14"/>
      <c r="O214" s="14"/>
      <c r="P214" s="14">
        <v>1.5580000000000001</v>
      </c>
      <c r="Q214" s="14"/>
      <c r="R214" s="14"/>
      <c r="S214" s="14"/>
      <c r="T214" s="70"/>
      <c r="U214" s="76" t="s">
        <v>54</v>
      </c>
      <c r="V214" s="76"/>
      <c r="W214" s="76" t="s">
        <v>54</v>
      </c>
      <c r="X214" s="76"/>
      <c r="Y214" s="97"/>
      <c r="Z214" s="78">
        <v>2000</v>
      </c>
      <c r="AA214" s="79" t="s">
        <v>36</v>
      </c>
      <c r="AB214" s="79" t="s">
        <v>37</v>
      </c>
      <c r="AC214" s="79" t="s">
        <v>37</v>
      </c>
      <c r="AD214" s="79"/>
      <c r="AE214" s="91" t="s">
        <v>57</v>
      </c>
      <c r="AF214" s="91" t="s">
        <v>57</v>
      </c>
      <c r="AG214" s="79" t="s">
        <v>57</v>
      </c>
      <c r="AH214" s="79"/>
      <c r="AI214" s="53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</row>
    <row r="215" spans="1:110" ht="13.8" x14ac:dyDescent="0.25">
      <c r="A215" s="24">
        <v>1108020</v>
      </c>
      <c r="B215" s="11" t="s">
        <v>30</v>
      </c>
      <c r="C215" s="16" t="s">
        <v>430</v>
      </c>
      <c r="D215" s="11" t="s">
        <v>46</v>
      </c>
      <c r="E215" s="10" t="s">
        <v>194</v>
      </c>
      <c r="F215" s="10" t="s">
        <v>34</v>
      </c>
      <c r="G215" s="55">
        <f t="shared" si="5"/>
        <v>4.63</v>
      </c>
      <c r="H215" s="10">
        <v>10</v>
      </c>
      <c r="I215" s="13">
        <v>165</v>
      </c>
      <c r="J215" s="56"/>
      <c r="K215" s="57"/>
      <c r="M215" s="14">
        <v>2.78</v>
      </c>
      <c r="N215" s="14"/>
      <c r="O215" s="14"/>
      <c r="P215" s="14"/>
      <c r="Q215" s="14"/>
      <c r="R215" s="14"/>
      <c r="S215" s="14"/>
      <c r="T215" s="70"/>
      <c r="U215" s="76">
        <v>2.78</v>
      </c>
      <c r="V215" s="76">
        <v>1.85</v>
      </c>
      <c r="W215" s="76">
        <v>2.88</v>
      </c>
      <c r="X215" s="76">
        <v>0</v>
      </c>
      <c r="Y215" s="77" t="s">
        <v>35</v>
      </c>
      <c r="Z215" s="78">
        <v>55</v>
      </c>
      <c r="AA215" s="79" t="s">
        <v>36</v>
      </c>
      <c r="AB215" s="79" t="s">
        <v>35</v>
      </c>
      <c r="AC215" s="79" t="s">
        <v>37</v>
      </c>
      <c r="AD215" s="79" t="s">
        <v>38</v>
      </c>
      <c r="AE215" s="79" t="s">
        <v>347</v>
      </c>
      <c r="AF215" s="79" t="s">
        <v>348</v>
      </c>
      <c r="AG215" s="79" t="s">
        <v>349</v>
      </c>
      <c r="AH215" s="79"/>
      <c r="AI215" s="53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</row>
    <row r="216" spans="1:110" ht="13.8" x14ac:dyDescent="0.25">
      <c r="A216" s="24">
        <v>1108021</v>
      </c>
      <c r="B216" s="11" t="s">
        <v>30</v>
      </c>
      <c r="C216" s="12" t="s">
        <v>431</v>
      </c>
      <c r="D216" s="11" t="s">
        <v>432</v>
      </c>
      <c r="E216" s="10" t="s">
        <v>101</v>
      </c>
      <c r="F216" s="10" t="s">
        <v>34</v>
      </c>
      <c r="G216" s="55">
        <v>4.9000000000000004</v>
      </c>
      <c r="H216" s="10">
        <v>8</v>
      </c>
      <c r="I216" s="13">
        <v>200</v>
      </c>
      <c r="J216" s="56"/>
      <c r="K216" s="57"/>
      <c r="M216" s="14"/>
      <c r="N216" s="14"/>
      <c r="O216" s="14"/>
      <c r="P216" s="14">
        <v>4.9000000000000004</v>
      </c>
      <c r="Q216" s="14"/>
      <c r="R216" s="14"/>
      <c r="S216" s="14">
        <v>4.0999999999999996</v>
      </c>
      <c r="T216" s="70">
        <v>3.7</v>
      </c>
      <c r="U216" s="76"/>
      <c r="V216" s="76" t="s">
        <v>433</v>
      </c>
      <c r="W216" s="76"/>
      <c r="X216" s="76" t="s">
        <v>433</v>
      </c>
      <c r="Y216" s="77"/>
      <c r="Z216" s="78"/>
      <c r="AA216" s="79" t="s">
        <v>434</v>
      </c>
      <c r="AB216" s="79" t="s">
        <v>35</v>
      </c>
      <c r="AC216" s="79" t="s">
        <v>37</v>
      </c>
      <c r="AD216" s="79" t="s">
        <v>38</v>
      </c>
      <c r="AE216" s="79" t="s">
        <v>103</v>
      </c>
      <c r="AF216" s="79" t="s">
        <v>104</v>
      </c>
      <c r="AG216" s="79" t="s">
        <v>105</v>
      </c>
      <c r="AH216" s="79"/>
      <c r="AI216" s="53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</row>
    <row r="217" spans="1:110" ht="13.8" x14ac:dyDescent="0.25">
      <c r="A217" s="122">
        <v>1108022</v>
      </c>
      <c r="B217" s="11" t="s">
        <v>30</v>
      </c>
      <c r="C217" s="12" t="s">
        <v>435</v>
      </c>
      <c r="D217" s="11" t="s">
        <v>436</v>
      </c>
      <c r="E217" s="10" t="s">
        <v>194</v>
      </c>
      <c r="F217" s="10" t="s">
        <v>34</v>
      </c>
      <c r="G217" s="55">
        <f t="shared" ref="G217:G223" si="6">IF(U217="Obsolete",U217,U217+V217)</f>
        <v>14.63</v>
      </c>
      <c r="H217" s="10">
        <v>4</v>
      </c>
      <c r="I217" s="13">
        <v>353</v>
      </c>
      <c r="J217" s="56">
        <v>44616</v>
      </c>
      <c r="K217" s="57">
        <v>15.62</v>
      </c>
      <c r="M217" s="14">
        <v>14.63</v>
      </c>
      <c r="N217" s="14"/>
      <c r="O217" s="14"/>
      <c r="P217" s="14"/>
      <c r="Q217" s="14"/>
      <c r="R217" s="14"/>
      <c r="S217" s="14"/>
      <c r="T217" s="70"/>
      <c r="U217" s="14">
        <v>14.63</v>
      </c>
      <c r="V217" s="76">
        <v>0</v>
      </c>
      <c r="W217" s="14">
        <v>14.63</v>
      </c>
      <c r="X217" s="76">
        <v>0</v>
      </c>
      <c r="Y217" s="77" t="s">
        <v>37</v>
      </c>
      <c r="Z217" s="78">
        <v>55</v>
      </c>
      <c r="AA217" s="79" t="s">
        <v>36</v>
      </c>
      <c r="AB217" s="79" t="s">
        <v>35</v>
      </c>
      <c r="AC217" s="79" t="s">
        <v>37</v>
      </c>
      <c r="AD217" s="79" t="s">
        <v>38</v>
      </c>
      <c r="AE217" s="79" t="s">
        <v>374</v>
      </c>
      <c r="AF217" s="79" t="s">
        <v>375</v>
      </c>
      <c r="AG217" s="79" t="s">
        <v>376</v>
      </c>
      <c r="AH217" s="79"/>
      <c r="AI217" s="53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</row>
    <row r="218" spans="1:110" ht="13.8" x14ac:dyDescent="0.25">
      <c r="A218" s="24">
        <v>1108023</v>
      </c>
      <c r="B218" s="11" t="s">
        <v>30</v>
      </c>
      <c r="C218" s="12" t="s">
        <v>437</v>
      </c>
      <c r="D218" s="11" t="s">
        <v>438</v>
      </c>
      <c r="E218" s="10" t="s">
        <v>1619</v>
      </c>
      <c r="F218" s="10" t="s">
        <v>34</v>
      </c>
      <c r="G218" s="55">
        <f t="shared" si="6"/>
        <v>6.6749999999999998</v>
      </c>
      <c r="H218" s="10">
        <v>10</v>
      </c>
      <c r="I218" s="13">
        <v>50</v>
      </c>
      <c r="J218" s="56"/>
      <c r="K218" s="57"/>
      <c r="M218" s="14">
        <v>6.63</v>
      </c>
      <c r="N218" s="14"/>
      <c r="O218" s="14"/>
      <c r="P218" s="14"/>
      <c r="Q218" s="14"/>
      <c r="R218" s="14"/>
      <c r="S218" s="14"/>
      <c r="T218" s="70"/>
      <c r="U218" s="76">
        <v>6.63</v>
      </c>
      <c r="V218" s="76">
        <v>4.4999999999999998E-2</v>
      </c>
      <c r="W218" s="76">
        <v>6.63</v>
      </c>
      <c r="X218" s="76">
        <v>4.4999999999999998E-2</v>
      </c>
      <c r="Y218" s="77" t="s">
        <v>37</v>
      </c>
      <c r="Z218" s="78">
        <v>55</v>
      </c>
      <c r="AA218" s="79" t="s">
        <v>36</v>
      </c>
      <c r="AB218" s="79" t="s">
        <v>35</v>
      </c>
      <c r="AC218" s="79" t="s">
        <v>37</v>
      </c>
      <c r="AD218" s="79" t="s">
        <v>38</v>
      </c>
      <c r="AE218" s="79" t="s">
        <v>439</v>
      </c>
      <c r="AF218" s="79" t="s">
        <v>440</v>
      </c>
      <c r="AG218" s="79" t="s">
        <v>441</v>
      </c>
      <c r="AH218" s="79"/>
      <c r="AI218" s="53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</row>
    <row r="219" spans="1:110" ht="13.8" x14ac:dyDescent="0.25">
      <c r="A219" s="122">
        <v>1108024</v>
      </c>
      <c r="B219" s="11" t="s">
        <v>30</v>
      </c>
      <c r="C219" s="12" t="s">
        <v>442</v>
      </c>
      <c r="D219" s="11" t="s">
        <v>432</v>
      </c>
      <c r="E219" s="10" t="s">
        <v>47</v>
      </c>
      <c r="F219" s="10" t="s">
        <v>34</v>
      </c>
      <c r="G219" s="55">
        <f t="shared" si="6"/>
        <v>2.74</v>
      </c>
      <c r="H219" s="10">
        <v>10</v>
      </c>
      <c r="I219" s="13">
        <v>6400</v>
      </c>
      <c r="J219" s="56">
        <v>44616</v>
      </c>
      <c r="K219" s="57">
        <v>2.21</v>
      </c>
      <c r="M219" s="14"/>
      <c r="N219" s="14"/>
      <c r="O219" s="14">
        <v>13.13</v>
      </c>
      <c r="P219" s="14"/>
      <c r="Q219" s="14"/>
      <c r="R219" s="14"/>
      <c r="S219" s="14">
        <v>2.74</v>
      </c>
      <c r="T219" s="70"/>
      <c r="U219" s="14">
        <v>2.74</v>
      </c>
      <c r="V219" s="76">
        <v>0</v>
      </c>
      <c r="W219" s="14">
        <v>2.74</v>
      </c>
      <c r="X219" s="76">
        <v>0</v>
      </c>
      <c r="Y219" s="77"/>
      <c r="Z219" s="78"/>
      <c r="AA219" s="79"/>
      <c r="AB219" s="79"/>
      <c r="AC219" s="79"/>
      <c r="AD219" s="79"/>
      <c r="AE219" s="79" t="s">
        <v>1547</v>
      </c>
      <c r="AF219" s="79" t="s">
        <v>1548</v>
      </c>
      <c r="AG219" s="79" t="s">
        <v>1549</v>
      </c>
      <c r="AH219" s="79"/>
      <c r="AI219" s="53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</row>
    <row r="220" spans="1:110" ht="13.8" x14ac:dyDescent="0.25">
      <c r="A220" s="24">
        <v>1108025</v>
      </c>
      <c r="B220" s="11" t="s">
        <v>30</v>
      </c>
      <c r="C220" s="16" t="s">
        <v>443</v>
      </c>
      <c r="D220" s="11" t="s">
        <v>146</v>
      </c>
      <c r="E220" s="10" t="s">
        <v>444</v>
      </c>
      <c r="F220" s="10" t="s">
        <v>34</v>
      </c>
      <c r="G220" s="55" t="str">
        <f t="shared" si="6"/>
        <v>Obsolete</v>
      </c>
      <c r="H220" s="10">
        <v>4</v>
      </c>
      <c r="I220" s="13">
        <v>2000</v>
      </c>
      <c r="J220" s="56"/>
      <c r="K220" s="57"/>
      <c r="M220" s="14"/>
      <c r="N220" s="14">
        <v>0.97799999999999998</v>
      </c>
      <c r="O220" s="14">
        <v>0.88100000000000001</v>
      </c>
      <c r="P220" s="14">
        <v>0.83199999999999996</v>
      </c>
      <c r="Q220" s="14">
        <v>0.80800000000000005</v>
      </c>
      <c r="R220" s="14">
        <v>0.78300000000000003</v>
      </c>
      <c r="S220" s="14"/>
      <c r="T220" s="70"/>
      <c r="U220" s="76" t="s">
        <v>54</v>
      </c>
      <c r="V220" s="76">
        <v>0.52569999999999995</v>
      </c>
      <c r="W220" s="76" t="s">
        <v>54</v>
      </c>
      <c r="X220" s="76">
        <v>0.52569999999999995</v>
      </c>
      <c r="Y220" s="77" t="s">
        <v>35</v>
      </c>
      <c r="Z220" s="78">
        <v>1600</v>
      </c>
      <c r="AA220" s="79" t="s">
        <v>36</v>
      </c>
      <c r="AB220" s="79" t="s">
        <v>37</v>
      </c>
      <c r="AC220" s="79" t="s">
        <v>37</v>
      </c>
      <c r="AD220" s="79" t="s">
        <v>38</v>
      </c>
      <c r="AE220" s="79" t="s">
        <v>423</v>
      </c>
      <c r="AF220" s="79" t="s">
        <v>445</v>
      </c>
      <c r="AG220" s="79" t="s">
        <v>424</v>
      </c>
      <c r="AH220" s="79"/>
      <c r="AI220" s="53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</row>
    <row r="221" spans="1:110" ht="13.8" x14ac:dyDescent="0.25">
      <c r="A221" s="24">
        <v>1108026</v>
      </c>
      <c r="B221" s="11" t="s">
        <v>30</v>
      </c>
      <c r="C221" s="16" t="s">
        <v>446</v>
      </c>
      <c r="D221" s="11" t="s">
        <v>447</v>
      </c>
      <c r="E221" s="10" t="s">
        <v>307</v>
      </c>
      <c r="F221" s="10" t="s">
        <v>34</v>
      </c>
      <c r="G221" s="55" t="str">
        <f t="shared" si="6"/>
        <v>Obsolete</v>
      </c>
      <c r="H221" s="10">
        <v>4</v>
      </c>
      <c r="I221" s="13">
        <v>6400</v>
      </c>
      <c r="J221" s="56"/>
      <c r="K221" s="57"/>
      <c r="M221" s="14"/>
      <c r="N221" s="14"/>
      <c r="O221" s="14">
        <v>2.8</v>
      </c>
      <c r="P221" s="14"/>
      <c r="Q221" s="14">
        <v>2.7</v>
      </c>
      <c r="R221" s="14"/>
      <c r="S221" s="14">
        <v>2.2999999999999998</v>
      </c>
      <c r="T221" s="70"/>
      <c r="U221" s="76" t="s">
        <v>54</v>
      </c>
      <c r="V221" s="76">
        <v>7.7999999999999996E-3</v>
      </c>
      <c r="W221" s="76" t="s">
        <v>54</v>
      </c>
      <c r="X221" s="76">
        <v>7.7999999999999996E-3</v>
      </c>
      <c r="Y221" s="77" t="s">
        <v>37</v>
      </c>
      <c r="Z221" s="78">
        <v>1650</v>
      </c>
      <c r="AA221" s="79" t="s">
        <v>162</v>
      </c>
      <c r="AB221" s="79" t="s">
        <v>37</v>
      </c>
      <c r="AC221" s="79" t="s">
        <v>35</v>
      </c>
      <c r="AD221" s="79" t="s">
        <v>38</v>
      </c>
      <c r="AE221" s="79" t="s">
        <v>308</v>
      </c>
      <c r="AF221" s="79" t="s">
        <v>309</v>
      </c>
      <c r="AG221" s="79" t="s">
        <v>310</v>
      </c>
      <c r="AH221" s="79"/>
      <c r="AI221" s="53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</row>
    <row r="222" spans="1:110" ht="13.8" x14ac:dyDescent="0.25">
      <c r="A222" s="24">
        <v>1108027</v>
      </c>
      <c r="B222" s="11" t="s">
        <v>30</v>
      </c>
      <c r="C222" s="16" t="s">
        <v>448</v>
      </c>
      <c r="D222" s="11" t="s">
        <v>127</v>
      </c>
      <c r="E222" s="10" t="s">
        <v>307</v>
      </c>
      <c r="F222" s="10" t="s">
        <v>34</v>
      </c>
      <c r="G222" s="55" t="str">
        <f t="shared" si="6"/>
        <v>Obsolete</v>
      </c>
      <c r="H222" s="10">
        <v>2</v>
      </c>
      <c r="I222" s="13">
        <v>55</v>
      </c>
      <c r="J222" s="56">
        <v>44168</v>
      </c>
      <c r="K222" s="55">
        <v>15.519</v>
      </c>
      <c r="M222" s="14">
        <v>14.61</v>
      </c>
      <c r="N222" s="14"/>
      <c r="O222" s="14"/>
      <c r="P222" s="14"/>
      <c r="Q222" s="14"/>
      <c r="R222" s="14"/>
      <c r="S222" s="14"/>
      <c r="T222" s="70"/>
      <c r="U222" s="76" t="s">
        <v>54</v>
      </c>
      <c r="V222" s="76">
        <v>0.90900000000000003</v>
      </c>
      <c r="W222" s="76">
        <v>14.61</v>
      </c>
      <c r="X222" s="76">
        <v>0.90900000000000003</v>
      </c>
      <c r="Y222" s="77" t="s">
        <v>35</v>
      </c>
      <c r="Z222" s="78">
        <v>55</v>
      </c>
      <c r="AA222" s="79" t="s">
        <v>36</v>
      </c>
      <c r="AB222" s="79" t="s">
        <v>35</v>
      </c>
      <c r="AC222" s="79" t="s">
        <v>37</v>
      </c>
      <c r="AD222" s="79" t="s">
        <v>38</v>
      </c>
      <c r="AE222" s="79" t="s">
        <v>308</v>
      </c>
      <c r="AF222" s="79" t="s">
        <v>309</v>
      </c>
      <c r="AG222" s="79" t="s">
        <v>310</v>
      </c>
      <c r="AH222" s="79"/>
      <c r="AI222" s="53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</row>
    <row r="223" spans="1:110" ht="13.8" x14ac:dyDescent="0.25">
      <c r="A223" s="24">
        <v>1108028</v>
      </c>
      <c r="B223" s="11" t="s">
        <v>30</v>
      </c>
      <c r="C223" s="16" t="s">
        <v>449</v>
      </c>
      <c r="D223" s="11" t="s">
        <v>450</v>
      </c>
      <c r="E223" s="10" t="s">
        <v>276</v>
      </c>
      <c r="F223" s="10" t="s">
        <v>34</v>
      </c>
      <c r="G223" s="55">
        <f t="shared" si="6"/>
        <v>3.5</v>
      </c>
      <c r="H223" s="10">
        <v>7</v>
      </c>
      <c r="I223" s="13">
        <v>500</v>
      </c>
      <c r="J223" s="56"/>
      <c r="K223" s="57"/>
      <c r="M223" s="14"/>
      <c r="N223" s="14">
        <v>3.5</v>
      </c>
      <c r="O223" s="14"/>
      <c r="P223" s="14"/>
      <c r="Q223" s="14"/>
      <c r="R223" s="14"/>
      <c r="S223" s="14"/>
      <c r="T223" s="70"/>
      <c r="U223" s="76">
        <v>3.5</v>
      </c>
      <c r="V223" s="76">
        <v>0</v>
      </c>
      <c r="W223" s="76">
        <v>3.5</v>
      </c>
      <c r="X223" s="76">
        <v>0</v>
      </c>
      <c r="Y223" s="77" t="s">
        <v>37</v>
      </c>
      <c r="Z223" s="78">
        <v>50</v>
      </c>
      <c r="AA223" s="79" t="s">
        <v>102</v>
      </c>
      <c r="AB223" s="79" t="s">
        <v>35</v>
      </c>
      <c r="AC223" s="79" t="s">
        <v>35</v>
      </c>
      <c r="AD223" s="91" t="s">
        <v>57</v>
      </c>
      <c r="AE223" s="79" t="s">
        <v>278</v>
      </c>
      <c r="AF223" s="83" t="s">
        <v>279</v>
      </c>
      <c r="AG223" s="79" t="s">
        <v>280</v>
      </c>
      <c r="AH223" s="79"/>
      <c r="AI223" s="53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</row>
    <row r="224" spans="1:110" ht="13.8" x14ac:dyDescent="0.25">
      <c r="A224" s="24">
        <v>1108029</v>
      </c>
      <c r="B224" s="11" t="s">
        <v>30</v>
      </c>
      <c r="C224" s="16" t="s">
        <v>451</v>
      </c>
      <c r="D224" s="10" t="s">
        <v>416</v>
      </c>
      <c r="E224" s="10" t="s">
        <v>164</v>
      </c>
      <c r="F224" s="10" t="s">
        <v>34</v>
      </c>
      <c r="G224" s="58" t="s">
        <v>170</v>
      </c>
      <c r="H224" s="10"/>
      <c r="I224" s="13"/>
      <c r="J224" s="56"/>
      <c r="K224" s="57"/>
      <c r="M224" s="15"/>
      <c r="N224" s="15"/>
      <c r="O224" s="15"/>
      <c r="P224" s="15"/>
      <c r="Q224" s="15"/>
      <c r="R224" s="15"/>
      <c r="S224" s="15"/>
      <c r="T224" s="71"/>
      <c r="U224" s="77">
        <v>0</v>
      </c>
      <c r="V224" s="77">
        <v>0</v>
      </c>
      <c r="W224" s="77">
        <v>0</v>
      </c>
      <c r="X224" s="77">
        <v>0</v>
      </c>
      <c r="Y224" s="77"/>
      <c r="Z224" s="87"/>
      <c r="AA224" s="79" t="s">
        <v>36</v>
      </c>
      <c r="AB224" s="79" t="s">
        <v>37</v>
      </c>
      <c r="AC224" s="79" t="s">
        <v>37</v>
      </c>
      <c r="AD224" s="79" t="s">
        <v>38</v>
      </c>
      <c r="AE224" s="79" t="s">
        <v>313</v>
      </c>
      <c r="AF224" s="79" t="s">
        <v>452</v>
      </c>
      <c r="AG224" s="79" t="s">
        <v>453</v>
      </c>
      <c r="AH224" s="79"/>
      <c r="AI224" s="53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</row>
    <row r="225" spans="1:110" ht="13.8" x14ac:dyDescent="0.25">
      <c r="A225" s="122">
        <v>1108030</v>
      </c>
      <c r="B225" s="11" t="s">
        <v>30</v>
      </c>
      <c r="C225" s="16" t="s">
        <v>454</v>
      </c>
      <c r="D225" s="10" t="s">
        <v>416</v>
      </c>
      <c r="E225" s="10" t="s">
        <v>164</v>
      </c>
      <c r="F225" s="10" t="s">
        <v>34</v>
      </c>
      <c r="G225" s="55">
        <f t="shared" ref="G225:G242" si="7">IF(U225="Obsolete",U225,U225+V225)</f>
        <v>2.1758999999999999</v>
      </c>
      <c r="H225" s="10">
        <v>12</v>
      </c>
      <c r="I225" s="13">
        <v>1500</v>
      </c>
      <c r="J225" s="56">
        <v>44616</v>
      </c>
      <c r="K225" s="57">
        <v>1.7589999999999999</v>
      </c>
      <c r="M225" s="15"/>
      <c r="N225" s="15"/>
      <c r="O225" s="15"/>
      <c r="P225" s="15"/>
      <c r="Q225" s="15"/>
      <c r="R225" s="15"/>
      <c r="S225" s="15"/>
      <c r="T225" s="71"/>
      <c r="U225" s="103">
        <v>1.6629</v>
      </c>
      <c r="V225" s="77">
        <v>0.51300000000000001</v>
      </c>
      <c r="W225" s="103">
        <v>1.6629</v>
      </c>
      <c r="X225" s="77">
        <v>0.51300000000000001</v>
      </c>
      <c r="Y225" s="77" t="s">
        <v>35</v>
      </c>
      <c r="Z225" s="87">
        <v>1500</v>
      </c>
      <c r="AA225" s="79" t="s">
        <v>36</v>
      </c>
      <c r="AB225" s="79" t="s">
        <v>37</v>
      </c>
      <c r="AC225" s="79" t="s">
        <v>37</v>
      </c>
      <c r="AD225" s="79" t="s">
        <v>38</v>
      </c>
      <c r="AE225" s="79"/>
      <c r="AF225" s="79"/>
      <c r="AG225" s="79"/>
      <c r="AH225" s="79"/>
      <c r="AI225" s="53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</row>
    <row r="226" spans="1:110" ht="13.8" x14ac:dyDescent="0.25">
      <c r="A226" s="24">
        <v>1108031</v>
      </c>
      <c r="B226" s="11" t="s">
        <v>30</v>
      </c>
      <c r="C226" s="16" t="s">
        <v>455</v>
      </c>
      <c r="D226" s="10" t="s">
        <v>416</v>
      </c>
      <c r="E226" s="10" t="s">
        <v>400</v>
      </c>
      <c r="F226" s="10" t="s">
        <v>34</v>
      </c>
      <c r="G226" s="55">
        <f t="shared" si="7"/>
        <v>4.5199999999999996</v>
      </c>
      <c r="H226" s="10">
        <v>1</v>
      </c>
      <c r="I226" s="13"/>
      <c r="J226" s="56"/>
      <c r="K226" s="57"/>
      <c r="M226" s="15">
        <v>4.5199999999999996</v>
      </c>
      <c r="N226" s="15"/>
      <c r="O226" s="15"/>
      <c r="P226" s="15"/>
      <c r="Q226" s="15"/>
      <c r="R226" s="15"/>
      <c r="S226" s="15"/>
      <c r="T226" s="71"/>
      <c r="U226" s="77">
        <v>4.5199999999999996</v>
      </c>
      <c r="V226" s="77"/>
      <c r="W226" s="77">
        <v>4.5199999999999996</v>
      </c>
      <c r="X226" s="77"/>
      <c r="Y226" s="77" t="s">
        <v>35</v>
      </c>
      <c r="Z226" s="87"/>
      <c r="AA226" s="79" t="s">
        <v>261</v>
      </c>
      <c r="AB226" s="79" t="s">
        <v>35</v>
      </c>
      <c r="AC226" s="79" t="s">
        <v>35</v>
      </c>
      <c r="AD226" s="79"/>
      <c r="AE226" s="79" t="s">
        <v>401</v>
      </c>
      <c r="AF226" s="79"/>
      <c r="AG226" s="79" t="s">
        <v>402</v>
      </c>
      <c r="AH226" s="79"/>
      <c r="AI226" s="53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</row>
    <row r="227" spans="1:110" ht="13.8" x14ac:dyDescent="0.25">
      <c r="A227" s="24">
        <v>1108032</v>
      </c>
      <c r="B227" s="11" t="s">
        <v>30</v>
      </c>
      <c r="C227" s="16" t="s">
        <v>456</v>
      </c>
      <c r="D227" s="10" t="s">
        <v>416</v>
      </c>
      <c r="E227" s="10" t="s">
        <v>1619</v>
      </c>
      <c r="F227" s="10" t="s">
        <v>34</v>
      </c>
      <c r="G227" s="55">
        <f t="shared" si="7"/>
        <v>10.64</v>
      </c>
      <c r="H227" s="10">
        <v>10</v>
      </c>
      <c r="I227" s="13">
        <v>55</v>
      </c>
      <c r="J227" s="56"/>
      <c r="K227" s="57"/>
      <c r="M227" s="15">
        <v>10.64</v>
      </c>
      <c r="N227" s="15"/>
      <c r="O227" s="15"/>
      <c r="P227" s="15"/>
      <c r="Q227" s="15"/>
      <c r="R227" s="15"/>
      <c r="S227" s="15"/>
      <c r="T227" s="71"/>
      <c r="U227" s="76">
        <v>10.64</v>
      </c>
      <c r="V227" s="76">
        <v>0</v>
      </c>
      <c r="W227" s="76">
        <v>10.64</v>
      </c>
      <c r="X227" s="76">
        <v>0</v>
      </c>
      <c r="Y227" s="77"/>
      <c r="Z227" s="87"/>
      <c r="AA227" s="79" t="s">
        <v>102</v>
      </c>
      <c r="AB227" s="79" t="s">
        <v>35</v>
      </c>
      <c r="AC227" s="79" t="s">
        <v>35</v>
      </c>
      <c r="AD227" s="79"/>
      <c r="AE227" s="79" t="s">
        <v>439</v>
      </c>
      <c r="AF227" s="79" t="s">
        <v>440</v>
      </c>
      <c r="AG227" s="79" t="s">
        <v>441</v>
      </c>
      <c r="AH227" s="79"/>
      <c r="AI227" s="53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</row>
    <row r="228" spans="1:110" ht="13.8" x14ac:dyDescent="0.25">
      <c r="A228" s="24">
        <v>1108033</v>
      </c>
      <c r="B228" s="11" t="s">
        <v>30</v>
      </c>
      <c r="C228" s="16" t="s">
        <v>457</v>
      </c>
      <c r="D228" s="10" t="s">
        <v>416</v>
      </c>
      <c r="E228" s="10" t="s">
        <v>1619</v>
      </c>
      <c r="F228" s="10" t="s">
        <v>34</v>
      </c>
      <c r="G228" s="55">
        <f t="shared" si="7"/>
        <v>5.55</v>
      </c>
      <c r="H228" s="10">
        <v>10</v>
      </c>
      <c r="I228" s="13">
        <v>55</v>
      </c>
      <c r="J228" s="56"/>
      <c r="K228" s="57"/>
      <c r="M228" s="15">
        <v>5.55</v>
      </c>
      <c r="N228" s="15"/>
      <c r="O228" s="15"/>
      <c r="P228" s="15"/>
      <c r="Q228" s="15"/>
      <c r="R228" s="15"/>
      <c r="S228" s="15"/>
      <c r="T228" s="71"/>
      <c r="U228" s="76">
        <v>5.55</v>
      </c>
      <c r="V228" s="76">
        <v>0</v>
      </c>
      <c r="W228" s="76">
        <v>5.55</v>
      </c>
      <c r="X228" s="76">
        <v>0</v>
      </c>
      <c r="Y228" s="77"/>
      <c r="Z228" s="87"/>
      <c r="AA228" s="79" t="s">
        <v>102</v>
      </c>
      <c r="AB228" s="79" t="s">
        <v>35</v>
      </c>
      <c r="AC228" s="79" t="s">
        <v>35</v>
      </c>
      <c r="AD228" s="79"/>
      <c r="AE228" s="79" t="s">
        <v>439</v>
      </c>
      <c r="AF228" s="79" t="s">
        <v>440</v>
      </c>
      <c r="AG228" s="79" t="s">
        <v>441</v>
      </c>
      <c r="AH228" s="79"/>
      <c r="AI228" s="53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</row>
    <row r="229" spans="1:110" ht="13.8" x14ac:dyDescent="0.25">
      <c r="A229" s="24">
        <v>1108034</v>
      </c>
      <c r="B229" s="11" t="s">
        <v>30</v>
      </c>
      <c r="C229" s="12" t="s">
        <v>458</v>
      </c>
      <c r="D229" s="10" t="s">
        <v>416</v>
      </c>
      <c r="E229" s="10" t="s">
        <v>132</v>
      </c>
      <c r="F229" s="10" t="s">
        <v>34</v>
      </c>
      <c r="G229" s="55" t="str">
        <f t="shared" si="7"/>
        <v>Obsolete</v>
      </c>
      <c r="H229" s="10">
        <v>10</v>
      </c>
      <c r="I229" s="13">
        <v>55</v>
      </c>
      <c r="J229" s="56"/>
      <c r="K229" s="57"/>
      <c r="M229" s="15">
        <v>4.55</v>
      </c>
      <c r="N229" s="15"/>
      <c r="O229" s="15"/>
      <c r="P229" s="15"/>
      <c r="Q229" s="15"/>
      <c r="R229" s="15"/>
      <c r="S229" s="15"/>
      <c r="T229" s="71"/>
      <c r="U229" s="77" t="s">
        <v>54</v>
      </c>
      <c r="V229" s="77"/>
      <c r="W229" s="76" t="s">
        <v>54</v>
      </c>
      <c r="X229" s="77"/>
      <c r="Y229" s="77"/>
      <c r="Z229" s="87"/>
      <c r="AA229" s="79"/>
      <c r="AB229" s="79" t="s">
        <v>37</v>
      </c>
      <c r="AC229" s="79"/>
      <c r="AD229" s="79"/>
      <c r="AE229" s="79" t="s">
        <v>133</v>
      </c>
      <c r="AF229" s="79" t="s">
        <v>134</v>
      </c>
      <c r="AG229" s="79" t="s">
        <v>135</v>
      </c>
      <c r="AH229" s="79"/>
      <c r="AI229" s="53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</row>
    <row r="230" spans="1:110" ht="13.8" x14ac:dyDescent="0.25">
      <c r="A230" s="24">
        <v>1108035</v>
      </c>
      <c r="B230" s="11" t="s">
        <v>30</v>
      </c>
      <c r="C230" s="12" t="s">
        <v>459</v>
      </c>
      <c r="D230" s="10" t="s">
        <v>416</v>
      </c>
      <c r="E230" s="10" t="s">
        <v>1619</v>
      </c>
      <c r="F230" s="10" t="s">
        <v>34</v>
      </c>
      <c r="G230" s="55">
        <f t="shared" si="7"/>
        <v>5.59</v>
      </c>
      <c r="H230" s="10">
        <v>10</v>
      </c>
      <c r="I230" s="13">
        <v>55</v>
      </c>
      <c r="J230" s="56"/>
      <c r="K230" s="57"/>
      <c r="M230" s="15">
        <v>5.59</v>
      </c>
      <c r="N230" s="15"/>
      <c r="O230" s="15"/>
      <c r="P230" s="15"/>
      <c r="Q230" s="15"/>
      <c r="R230" s="15"/>
      <c r="S230" s="15"/>
      <c r="T230" s="71"/>
      <c r="U230" s="76">
        <v>5.59</v>
      </c>
      <c r="V230" s="77"/>
      <c r="W230" s="76">
        <v>5.59</v>
      </c>
      <c r="X230" s="77"/>
      <c r="Y230" s="77" t="s">
        <v>37</v>
      </c>
      <c r="Z230" s="87">
        <v>55</v>
      </c>
      <c r="AA230" s="79" t="s">
        <v>261</v>
      </c>
      <c r="AB230" s="79" t="s">
        <v>35</v>
      </c>
      <c r="AC230" s="79" t="s">
        <v>35</v>
      </c>
      <c r="AD230" s="79"/>
      <c r="AE230" s="79" t="s">
        <v>439</v>
      </c>
      <c r="AF230" s="79" t="s">
        <v>440</v>
      </c>
      <c r="AG230" s="79" t="s">
        <v>441</v>
      </c>
      <c r="AH230" s="79"/>
      <c r="AI230" s="53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</row>
    <row r="231" spans="1:110" ht="13.8" x14ac:dyDescent="0.25">
      <c r="A231" s="24">
        <v>1108036</v>
      </c>
      <c r="B231" s="11" t="s">
        <v>30</v>
      </c>
      <c r="C231" s="12" t="s">
        <v>460</v>
      </c>
      <c r="D231" s="10" t="s">
        <v>46</v>
      </c>
      <c r="E231" s="10" t="s">
        <v>47</v>
      </c>
      <c r="F231" s="10" t="s">
        <v>34</v>
      </c>
      <c r="G231" s="55">
        <f t="shared" si="7"/>
        <v>5.9399999999999995</v>
      </c>
      <c r="H231" s="10">
        <v>6</v>
      </c>
      <c r="I231" s="13">
        <v>55</v>
      </c>
      <c r="J231" s="56"/>
      <c r="K231" s="57"/>
      <c r="M231" s="15">
        <v>5.76</v>
      </c>
      <c r="N231" s="15"/>
      <c r="O231" s="15"/>
      <c r="P231" s="15"/>
      <c r="Q231" s="15"/>
      <c r="R231" s="15"/>
      <c r="S231" s="15"/>
      <c r="T231" s="71"/>
      <c r="U231" s="77">
        <v>5.76</v>
      </c>
      <c r="V231" s="77">
        <v>0.18</v>
      </c>
      <c r="W231" s="77">
        <v>2.13</v>
      </c>
      <c r="X231" s="77">
        <v>0</v>
      </c>
      <c r="Y231" s="77" t="s">
        <v>37</v>
      </c>
      <c r="Z231" s="87">
        <v>55</v>
      </c>
      <c r="AA231" s="79" t="s">
        <v>36</v>
      </c>
      <c r="AB231" s="79" t="s">
        <v>35</v>
      </c>
      <c r="AC231" s="79" t="s">
        <v>37</v>
      </c>
      <c r="AD231" s="79" t="s">
        <v>38</v>
      </c>
      <c r="AE231" s="79" t="s">
        <v>461</v>
      </c>
      <c r="AF231" s="79" t="s">
        <v>462</v>
      </c>
      <c r="AG231" s="79" t="s">
        <v>463</v>
      </c>
      <c r="AH231" s="79"/>
      <c r="AI231" s="53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</row>
    <row r="232" spans="1:110" ht="13.8" x14ac:dyDescent="0.25">
      <c r="A232" s="24">
        <v>1108037</v>
      </c>
      <c r="B232" s="11" t="s">
        <v>30</v>
      </c>
      <c r="C232" s="12" t="s">
        <v>464</v>
      </c>
      <c r="D232" s="11" t="s">
        <v>49</v>
      </c>
      <c r="E232" s="10" t="s">
        <v>1619</v>
      </c>
      <c r="F232" s="10" t="s">
        <v>34</v>
      </c>
      <c r="G232" s="55">
        <f t="shared" si="7"/>
        <v>6.5</v>
      </c>
      <c r="H232" s="10">
        <v>10</v>
      </c>
      <c r="I232" s="13">
        <v>55</v>
      </c>
      <c r="J232" s="56"/>
      <c r="K232" s="57"/>
      <c r="M232" s="15">
        <v>6.47</v>
      </c>
      <c r="N232" s="15"/>
      <c r="O232" s="15"/>
      <c r="P232" s="15"/>
      <c r="Q232" s="15"/>
      <c r="R232" s="15"/>
      <c r="S232" s="15"/>
      <c r="T232" s="71"/>
      <c r="U232" s="76">
        <v>6.47</v>
      </c>
      <c r="V232" s="76">
        <v>0.03</v>
      </c>
      <c r="W232" s="76">
        <v>6.47</v>
      </c>
      <c r="X232" s="76">
        <v>0.03</v>
      </c>
      <c r="Y232" s="77" t="s">
        <v>37</v>
      </c>
      <c r="Z232" s="87">
        <v>55</v>
      </c>
      <c r="AA232" s="79" t="s">
        <v>64</v>
      </c>
      <c r="AB232" s="79" t="s">
        <v>35</v>
      </c>
      <c r="AC232" s="79" t="s">
        <v>37</v>
      </c>
      <c r="AD232" s="79" t="s">
        <v>38</v>
      </c>
      <c r="AE232" s="79" t="s">
        <v>439</v>
      </c>
      <c r="AF232" s="79" t="s">
        <v>440</v>
      </c>
      <c r="AG232" s="79" t="s">
        <v>441</v>
      </c>
      <c r="AH232" s="79"/>
      <c r="AI232" s="53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</row>
    <row r="233" spans="1:110" ht="13.8" x14ac:dyDescent="0.25">
      <c r="A233" s="24">
        <v>1108038</v>
      </c>
      <c r="B233" s="11" t="s">
        <v>30</v>
      </c>
      <c r="C233" s="12" t="s">
        <v>465</v>
      </c>
      <c r="D233" s="11" t="s">
        <v>466</v>
      </c>
      <c r="E233" s="10" t="s">
        <v>47</v>
      </c>
      <c r="F233" s="10" t="s">
        <v>34</v>
      </c>
      <c r="G233" s="55">
        <f t="shared" si="7"/>
        <v>2.94</v>
      </c>
      <c r="H233" s="10">
        <v>14</v>
      </c>
      <c r="I233" s="13"/>
      <c r="J233" s="56"/>
      <c r="K233" s="57"/>
      <c r="M233" s="15"/>
      <c r="N233" s="15"/>
      <c r="O233" s="15"/>
      <c r="P233" s="15"/>
      <c r="Q233" s="15"/>
      <c r="R233" s="15"/>
      <c r="S233" s="15"/>
      <c r="T233" s="71"/>
      <c r="U233" s="77">
        <v>2.94</v>
      </c>
      <c r="V233" s="77">
        <v>0</v>
      </c>
      <c r="W233" s="77">
        <v>2.94</v>
      </c>
      <c r="X233" s="77">
        <v>0</v>
      </c>
      <c r="Y233" s="77" t="s">
        <v>37</v>
      </c>
      <c r="Z233" s="87">
        <v>1600</v>
      </c>
      <c r="AA233" s="79" t="s">
        <v>36</v>
      </c>
      <c r="AB233" s="79" t="s">
        <v>35</v>
      </c>
      <c r="AC233" s="79"/>
      <c r="AD233" s="79"/>
      <c r="AE233" s="79" t="s">
        <v>1547</v>
      </c>
      <c r="AF233" s="79" t="s">
        <v>1548</v>
      </c>
      <c r="AG233" s="79" t="s">
        <v>1549</v>
      </c>
      <c r="AH233" s="79"/>
      <c r="AI233" s="53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</row>
    <row r="234" spans="1:110" ht="13.8" x14ac:dyDescent="0.25">
      <c r="A234" s="24">
        <v>1108039</v>
      </c>
      <c r="B234" s="11" t="s">
        <v>30</v>
      </c>
      <c r="C234" s="12" t="s">
        <v>467</v>
      </c>
      <c r="D234" s="11" t="s">
        <v>49</v>
      </c>
      <c r="E234" s="10" t="s">
        <v>1619</v>
      </c>
      <c r="F234" s="10" t="s">
        <v>34</v>
      </c>
      <c r="G234" s="55">
        <f t="shared" si="7"/>
        <v>5.5570000000000004</v>
      </c>
      <c r="H234" s="10"/>
      <c r="I234" s="13"/>
      <c r="J234" s="56"/>
      <c r="K234" s="57"/>
      <c r="M234" s="15"/>
      <c r="N234" s="15"/>
      <c r="O234" s="15"/>
      <c r="P234" s="15">
        <v>5.53</v>
      </c>
      <c r="Q234" s="15"/>
      <c r="R234" s="15"/>
      <c r="S234" s="15"/>
      <c r="T234" s="71"/>
      <c r="U234" s="76">
        <v>5.53</v>
      </c>
      <c r="V234" s="76">
        <v>2.7E-2</v>
      </c>
      <c r="W234" s="76">
        <v>5.53</v>
      </c>
      <c r="X234" s="76">
        <v>2.7E-2</v>
      </c>
      <c r="Y234" s="77" t="s">
        <v>37</v>
      </c>
      <c r="Z234" s="87">
        <v>55</v>
      </c>
      <c r="AA234" s="79" t="s">
        <v>468</v>
      </c>
      <c r="AB234" s="79" t="s">
        <v>35</v>
      </c>
      <c r="AC234" s="79" t="s">
        <v>37</v>
      </c>
      <c r="AD234" s="79" t="s">
        <v>38</v>
      </c>
      <c r="AE234" s="79" t="s">
        <v>439</v>
      </c>
      <c r="AF234" s="79" t="s">
        <v>440</v>
      </c>
      <c r="AG234" s="79" t="s">
        <v>441</v>
      </c>
      <c r="AH234" s="79"/>
      <c r="AI234" s="53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</row>
    <row r="235" spans="1:110" ht="13.8" x14ac:dyDescent="0.25">
      <c r="A235" s="24">
        <v>1108040</v>
      </c>
      <c r="B235" s="11" t="s">
        <v>30</v>
      </c>
      <c r="C235" s="12" t="s">
        <v>469</v>
      </c>
      <c r="D235" s="11" t="s">
        <v>49</v>
      </c>
      <c r="E235" s="10" t="s">
        <v>47</v>
      </c>
      <c r="F235" s="10" t="s">
        <v>34</v>
      </c>
      <c r="G235" s="121">
        <f t="shared" si="7"/>
        <v>13.13</v>
      </c>
      <c r="H235" s="10">
        <v>14</v>
      </c>
      <c r="I235" s="13">
        <v>55</v>
      </c>
      <c r="J235" s="56">
        <v>44435</v>
      </c>
      <c r="K235" s="57">
        <v>12.99</v>
      </c>
      <c r="M235" s="15">
        <v>13.13</v>
      </c>
      <c r="N235" s="15"/>
      <c r="O235" s="15"/>
      <c r="P235" s="15"/>
      <c r="Q235" s="15"/>
      <c r="R235" s="15"/>
      <c r="S235" s="15"/>
      <c r="T235" s="71"/>
      <c r="U235" s="77">
        <v>13.13</v>
      </c>
      <c r="V235" s="77">
        <v>0</v>
      </c>
      <c r="W235" s="77">
        <v>13.13</v>
      </c>
      <c r="X235" s="77">
        <v>0</v>
      </c>
      <c r="Y235" s="77" t="s">
        <v>37</v>
      </c>
      <c r="Z235" s="87">
        <v>55</v>
      </c>
      <c r="AA235" s="79" t="s">
        <v>36</v>
      </c>
      <c r="AB235" s="79" t="s">
        <v>35</v>
      </c>
      <c r="AC235" s="79" t="s">
        <v>37</v>
      </c>
      <c r="AD235" s="79" t="s">
        <v>38</v>
      </c>
      <c r="AE235" s="79" t="s">
        <v>1547</v>
      </c>
      <c r="AF235" s="79" t="s">
        <v>1548</v>
      </c>
      <c r="AG235" s="79" t="s">
        <v>1549</v>
      </c>
      <c r="AH235" s="79"/>
      <c r="AI235" s="53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</row>
    <row r="236" spans="1:110" ht="13.8" x14ac:dyDescent="0.25">
      <c r="A236" s="24">
        <v>1108041</v>
      </c>
      <c r="B236" s="11" t="s">
        <v>30</v>
      </c>
      <c r="C236" s="12" t="s">
        <v>470</v>
      </c>
      <c r="D236" s="11" t="s">
        <v>471</v>
      </c>
      <c r="E236" s="10" t="s">
        <v>102</v>
      </c>
      <c r="F236" s="10" t="s">
        <v>34</v>
      </c>
      <c r="G236" s="55">
        <f t="shared" si="7"/>
        <v>1.28</v>
      </c>
      <c r="H236" s="10"/>
      <c r="I236" s="13"/>
      <c r="J236" s="56"/>
      <c r="K236" s="57"/>
      <c r="M236" s="15"/>
      <c r="N236" s="15"/>
      <c r="O236" s="15"/>
      <c r="P236" s="15"/>
      <c r="Q236" s="15"/>
      <c r="R236" s="15"/>
      <c r="S236" s="15"/>
      <c r="T236" s="71"/>
      <c r="U236" s="77">
        <v>1.28</v>
      </c>
      <c r="V236" s="77">
        <v>0</v>
      </c>
      <c r="W236" s="77">
        <v>1.28</v>
      </c>
      <c r="X236" s="77">
        <v>0</v>
      </c>
      <c r="Y236" s="77" t="s">
        <v>35</v>
      </c>
      <c r="Z236" s="87"/>
      <c r="AA236" s="79" t="s">
        <v>102</v>
      </c>
      <c r="AB236" s="79" t="s">
        <v>35</v>
      </c>
      <c r="AC236" s="79" t="s">
        <v>35</v>
      </c>
      <c r="AD236" s="79"/>
      <c r="AE236" s="79" t="s">
        <v>313</v>
      </c>
      <c r="AF236" s="79" t="s">
        <v>472</v>
      </c>
      <c r="AG236" s="79" t="s">
        <v>473</v>
      </c>
      <c r="AH236" s="79"/>
      <c r="AI236" s="53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</row>
    <row r="237" spans="1:110" ht="11.25" customHeight="1" x14ac:dyDescent="0.25">
      <c r="A237" s="24">
        <v>1108042</v>
      </c>
      <c r="B237" s="11" t="s">
        <v>30</v>
      </c>
      <c r="C237" s="12" t="s">
        <v>474</v>
      </c>
      <c r="D237" s="11" t="s">
        <v>475</v>
      </c>
      <c r="E237" s="10" t="s">
        <v>1640</v>
      </c>
      <c r="F237" s="10" t="s">
        <v>34</v>
      </c>
      <c r="G237" s="55">
        <f t="shared" si="7"/>
        <v>1.82</v>
      </c>
      <c r="H237" s="10">
        <v>16</v>
      </c>
      <c r="I237" s="13">
        <v>2200</v>
      </c>
      <c r="J237" s="56">
        <v>44585</v>
      </c>
      <c r="K237" s="57">
        <v>1.5422</v>
      </c>
      <c r="M237" s="15"/>
      <c r="N237" s="15"/>
      <c r="O237" s="15"/>
      <c r="P237" s="15"/>
      <c r="Q237" s="15"/>
      <c r="R237" s="15"/>
      <c r="S237" s="15"/>
      <c r="T237" s="71"/>
      <c r="U237" s="104">
        <v>1.82</v>
      </c>
      <c r="V237" s="77">
        <v>0</v>
      </c>
      <c r="W237" s="104">
        <v>1.82</v>
      </c>
      <c r="X237" s="77">
        <v>0</v>
      </c>
      <c r="Y237" s="77"/>
      <c r="Z237" s="87"/>
      <c r="AA237" s="79" t="s">
        <v>102</v>
      </c>
      <c r="AB237" s="79" t="s">
        <v>35</v>
      </c>
      <c r="AC237" s="79" t="s">
        <v>35</v>
      </c>
      <c r="AD237" s="79"/>
      <c r="AE237" s="79" t="s">
        <v>313</v>
      </c>
      <c r="AF237" s="79" t="s">
        <v>1510</v>
      </c>
      <c r="AG237" s="79" t="s">
        <v>473</v>
      </c>
      <c r="AH237" s="79"/>
      <c r="AI237" s="53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</row>
    <row r="238" spans="1:110" ht="12.75" customHeight="1" x14ac:dyDescent="0.25">
      <c r="A238" s="24">
        <v>1108043</v>
      </c>
      <c r="B238" s="11" t="s">
        <v>30</v>
      </c>
      <c r="C238" s="12" t="s">
        <v>476</v>
      </c>
      <c r="D238" s="11" t="s">
        <v>416</v>
      </c>
      <c r="E238" s="10" t="s">
        <v>477</v>
      </c>
      <c r="F238" s="10" t="s">
        <v>34</v>
      </c>
      <c r="G238" s="55">
        <f t="shared" si="7"/>
        <v>7.2450000000000001</v>
      </c>
      <c r="H238" s="10">
        <v>5</v>
      </c>
      <c r="I238" s="13">
        <v>1100</v>
      </c>
      <c r="J238" s="56">
        <v>44273</v>
      </c>
      <c r="K238" s="57">
        <v>6.7649999999999997</v>
      </c>
      <c r="M238" s="15"/>
      <c r="N238" s="15"/>
      <c r="O238" s="15"/>
      <c r="P238" s="15"/>
      <c r="Q238" s="15"/>
      <c r="R238" s="15"/>
      <c r="S238" s="15"/>
      <c r="T238" s="71"/>
      <c r="U238" s="77">
        <v>7.2</v>
      </c>
      <c r="V238" s="77">
        <v>4.4999999999999998E-2</v>
      </c>
      <c r="W238" s="77">
        <v>7.2</v>
      </c>
      <c r="X238" s="77">
        <v>4.4999999999999998E-2</v>
      </c>
      <c r="Y238" s="77" t="s">
        <v>35</v>
      </c>
      <c r="Z238" s="87">
        <v>1100</v>
      </c>
      <c r="AA238" s="79" t="s">
        <v>468</v>
      </c>
      <c r="AB238" s="79" t="s">
        <v>35</v>
      </c>
      <c r="AC238" s="79" t="s">
        <v>37</v>
      </c>
      <c r="AD238" s="79" t="s">
        <v>38</v>
      </c>
      <c r="AE238" s="79" t="s">
        <v>103</v>
      </c>
      <c r="AF238" s="79" t="s">
        <v>104</v>
      </c>
      <c r="AG238" s="79" t="s">
        <v>105</v>
      </c>
      <c r="AH238" s="79"/>
      <c r="AI238" s="53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</row>
    <row r="239" spans="1:110" ht="13.8" x14ac:dyDescent="0.25">
      <c r="A239" s="122">
        <v>1108044</v>
      </c>
      <c r="B239" s="11" t="s">
        <v>30</v>
      </c>
      <c r="C239" s="12" t="s">
        <v>1494</v>
      </c>
      <c r="D239" s="11" t="s">
        <v>1495</v>
      </c>
      <c r="E239" s="10" t="s">
        <v>164</v>
      </c>
      <c r="F239" s="10" t="s">
        <v>34</v>
      </c>
      <c r="G239" s="55">
        <f t="shared" si="7"/>
        <v>3.0098740740740739</v>
      </c>
      <c r="H239" s="10">
        <v>12</v>
      </c>
      <c r="I239" s="13">
        <v>1500</v>
      </c>
      <c r="J239" s="56">
        <v>44616</v>
      </c>
      <c r="K239" s="57">
        <v>2.0800999999999998</v>
      </c>
      <c r="M239" s="15"/>
      <c r="N239" s="15"/>
      <c r="O239" s="15"/>
      <c r="P239" s="15"/>
      <c r="Q239" s="15"/>
      <c r="R239" s="15"/>
      <c r="S239" s="15"/>
      <c r="T239" s="71"/>
      <c r="U239" s="104">
        <v>2.5087999999999999</v>
      </c>
      <c r="V239" s="77">
        <f>0.456074074074074+0.045</f>
        <v>0.50107407407407401</v>
      </c>
      <c r="W239" s="104">
        <v>2.5087999999999999</v>
      </c>
      <c r="X239" s="77">
        <f>0.456074074074074+0.045</f>
        <v>0.50107407407407401</v>
      </c>
      <c r="Y239" s="77" t="s">
        <v>35</v>
      </c>
      <c r="Z239" s="87">
        <v>1500</v>
      </c>
      <c r="AA239" s="79" t="s">
        <v>36</v>
      </c>
      <c r="AB239" s="79" t="s">
        <v>35</v>
      </c>
      <c r="AC239" s="79" t="s">
        <v>37</v>
      </c>
      <c r="AD239" s="79" t="s">
        <v>38</v>
      </c>
      <c r="AE239" s="79" t="s">
        <v>165</v>
      </c>
      <c r="AF239" s="79" t="s">
        <v>166</v>
      </c>
      <c r="AG239" s="79" t="s">
        <v>167</v>
      </c>
      <c r="AH239" s="79"/>
      <c r="AI239" s="53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</row>
    <row r="240" spans="1:110" ht="13.8" x14ac:dyDescent="0.25">
      <c r="A240" s="24">
        <v>1108045</v>
      </c>
      <c r="B240" s="11" t="s">
        <v>30</v>
      </c>
      <c r="C240" s="12" t="s">
        <v>1509</v>
      </c>
      <c r="D240" s="10" t="s">
        <v>46</v>
      </c>
      <c r="E240" s="10" t="s">
        <v>1599</v>
      </c>
      <c r="F240" s="10" t="s">
        <v>34</v>
      </c>
      <c r="G240" s="55">
        <f t="shared" si="7"/>
        <v>1.5422158920811799</v>
      </c>
      <c r="H240" s="10">
        <v>10</v>
      </c>
      <c r="I240" s="13" t="s">
        <v>370</v>
      </c>
      <c r="J240" s="56"/>
      <c r="K240" s="57"/>
      <c r="M240" s="15"/>
      <c r="N240" s="15"/>
      <c r="O240" s="15"/>
      <c r="P240" s="15"/>
      <c r="Q240" s="15"/>
      <c r="R240" s="15"/>
      <c r="S240" s="15"/>
      <c r="T240" s="71"/>
      <c r="U240" s="104">
        <v>1.5422158920811799</v>
      </c>
      <c r="V240" s="77">
        <v>0</v>
      </c>
      <c r="W240" s="104">
        <v>1.542215892081175</v>
      </c>
      <c r="X240" s="77">
        <v>0</v>
      </c>
      <c r="Y240" s="77"/>
      <c r="Z240" s="87"/>
      <c r="AA240" s="79" t="s">
        <v>102</v>
      </c>
      <c r="AB240" s="79" t="s">
        <v>35</v>
      </c>
      <c r="AC240" s="79" t="s">
        <v>35</v>
      </c>
      <c r="AD240" s="79"/>
      <c r="AE240" s="79" t="s">
        <v>313</v>
      </c>
      <c r="AF240" s="79" t="s">
        <v>1510</v>
      </c>
      <c r="AG240" s="79" t="s">
        <v>473</v>
      </c>
      <c r="AH240" s="79"/>
      <c r="AI240" s="53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</row>
    <row r="241" spans="1:110" ht="13.8" x14ac:dyDescent="0.25">
      <c r="A241" s="24">
        <v>1108046</v>
      </c>
      <c r="B241" s="11" t="s">
        <v>30</v>
      </c>
      <c r="C241" s="12" t="s">
        <v>1581</v>
      </c>
      <c r="D241" s="10" t="s">
        <v>49</v>
      </c>
      <c r="E241" s="10" t="s">
        <v>329</v>
      </c>
      <c r="F241" s="10" t="s">
        <v>34</v>
      </c>
      <c r="G241" s="55">
        <f t="shared" si="7"/>
        <v>4.4999999999999998E-2</v>
      </c>
      <c r="H241" s="10">
        <v>3</v>
      </c>
      <c r="I241" s="13" t="s">
        <v>370</v>
      </c>
      <c r="J241" s="56"/>
      <c r="K241" s="57"/>
      <c r="M241" s="15"/>
      <c r="N241" s="15"/>
      <c r="O241" s="15"/>
      <c r="P241" s="15"/>
      <c r="Q241" s="15"/>
      <c r="R241" s="15"/>
      <c r="S241" s="15"/>
      <c r="T241" s="71"/>
      <c r="U241" s="104">
        <v>0</v>
      </c>
      <c r="V241" s="104">
        <v>4.4999999999999998E-2</v>
      </c>
      <c r="W241" s="104">
        <v>0</v>
      </c>
      <c r="X241" s="104">
        <v>4.4999999999999998E-2</v>
      </c>
      <c r="Y241" s="77" t="s">
        <v>35</v>
      </c>
      <c r="Z241" s="87"/>
      <c r="AA241" s="79" t="s">
        <v>329</v>
      </c>
      <c r="AB241" s="79" t="s">
        <v>35</v>
      </c>
      <c r="AC241" s="79" t="s">
        <v>35</v>
      </c>
      <c r="AD241" s="79"/>
      <c r="AE241" s="79" t="s">
        <v>330</v>
      </c>
      <c r="AF241" s="79"/>
      <c r="AG241" s="79" t="s">
        <v>331</v>
      </c>
      <c r="AH241" s="79" t="s">
        <v>1606</v>
      </c>
      <c r="AI241" s="53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</row>
    <row r="242" spans="1:110" ht="30.6" x14ac:dyDescent="0.25">
      <c r="A242" s="24">
        <v>1108047</v>
      </c>
      <c r="B242" s="11" t="s">
        <v>30</v>
      </c>
      <c r="C242" s="12" t="s">
        <v>1592</v>
      </c>
      <c r="D242" s="10" t="s">
        <v>450</v>
      </c>
      <c r="E242" s="10" t="s">
        <v>1585</v>
      </c>
      <c r="F242" s="10" t="s">
        <v>34</v>
      </c>
      <c r="G242" s="55">
        <f t="shared" si="7"/>
        <v>0</v>
      </c>
      <c r="H242" s="10">
        <v>2</v>
      </c>
      <c r="I242" s="13"/>
      <c r="J242" s="56"/>
      <c r="K242" s="57"/>
      <c r="M242" s="15"/>
      <c r="N242" s="15"/>
      <c r="O242" s="15"/>
      <c r="P242" s="15"/>
      <c r="Q242" s="15"/>
      <c r="R242" s="15"/>
      <c r="S242" s="15"/>
      <c r="T242" s="71"/>
      <c r="U242" s="104">
        <v>0</v>
      </c>
      <c r="V242" s="104">
        <v>0</v>
      </c>
      <c r="W242" s="104">
        <v>0</v>
      </c>
      <c r="X242" s="104">
        <v>0</v>
      </c>
      <c r="Y242" s="77" t="s">
        <v>186</v>
      </c>
      <c r="Z242" s="87"/>
      <c r="AA242" s="100" t="s">
        <v>1588</v>
      </c>
      <c r="AB242" s="79" t="s">
        <v>35</v>
      </c>
      <c r="AC242" s="79" t="s">
        <v>37</v>
      </c>
      <c r="AD242" s="79" t="s">
        <v>38</v>
      </c>
      <c r="AE242" s="79" t="s">
        <v>1589</v>
      </c>
      <c r="AF242" s="83" t="s">
        <v>1590</v>
      </c>
      <c r="AG242" s="79" t="s">
        <v>1591</v>
      </c>
      <c r="AH242" s="79"/>
      <c r="AI242" s="53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</row>
    <row r="243" spans="1:110" ht="13.8" x14ac:dyDescent="0.25">
      <c r="A243" s="24">
        <v>1108048</v>
      </c>
      <c r="B243" s="11" t="s">
        <v>30</v>
      </c>
      <c r="C243" s="12" t="s">
        <v>1600</v>
      </c>
      <c r="D243" s="10" t="s">
        <v>49</v>
      </c>
      <c r="E243" s="24" t="s">
        <v>329</v>
      </c>
      <c r="F243" s="10" t="s">
        <v>34</v>
      </c>
      <c r="G243" s="55">
        <v>0</v>
      </c>
      <c r="H243" s="10"/>
      <c r="I243" s="13"/>
      <c r="J243" s="56"/>
      <c r="K243" s="57"/>
      <c r="M243" s="15"/>
      <c r="N243" s="15"/>
      <c r="O243" s="15"/>
      <c r="P243" s="15"/>
      <c r="Q243" s="15"/>
      <c r="R243" s="15"/>
      <c r="S243" s="15"/>
      <c r="T243" s="71"/>
      <c r="U243" s="104"/>
      <c r="V243" s="104"/>
      <c r="W243" s="104"/>
      <c r="X243" s="104"/>
      <c r="Y243" s="77"/>
      <c r="Z243" s="87"/>
      <c r="AA243" s="100"/>
      <c r="AB243" s="79"/>
      <c r="AC243" s="79"/>
      <c r="AD243" s="79"/>
      <c r="AE243" s="79"/>
      <c r="AF243" s="83"/>
      <c r="AG243" s="79"/>
      <c r="AH243" s="79"/>
      <c r="AI243" s="53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</row>
    <row r="244" spans="1:110" ht="30.6" x14ac:dyDescent="0.25">
      <c r="A244" s="24">
        <v>1108049</v>
      </c>
      <c r="B244" s="11" t="s">
        <v>30</v>
      </c>
      <c r="C244" s="16" t="s">
        <v>1609</v>
      </c>
      <c r="D244" s="10" t="s">
        <v>450</v>
      </c>
      <c r="E244" s="10" t="s">
        <v>1585</v>
      </c>
      <c r="F244" s="10" t="s">
        <v>34</v>
      </c>
      <c r="G244" s="55">
        <v>0</v>
      </c>
      <c r="H244" s="10"/>
      <c r="I244" s="13"/>
      <c r="J244" s="56"/>
      <c r="K244" s="57"/>
      <c r="M244" s="15"/>
      <c r="N244" s="15"/>
      <c r="O244" s="15"/>
      <c r="P244" s="15"/>
      <c r="Q244" s="15"/>
      <c r="R244" s="15"/>
      <c r="S244" s="15"/>
      <c r="T244" s="71"/>
      <c r="U244" s="104">
        <v>0</v>
      </c>
      <c r="V244" s="104">
        <v>0</v>
      </c>
      <c r="W244" s="104">
        <v>0</v>
      </c>
      <c r="X244" s="104">
        <v>0</v>
      </c>
      <c r="Y244" s="77" t="s">
        <v>186</v>
      </c>
      <c r="Z244" s="87"/>
      <c r="AA244" s="100" t="s">
        <v>1588</v>
      </c>
      <c r="AB244" s="79" t="s">
        <v>35</v>
      </c>
      <c r="AC244" s="79" t="s">
        <v>37</v>
      </c>
      <c r="AD244" s="79" t="s">
        <v>38</v>
      </c>
      <c r="AE244" s="79" t="s">
        <v>1589</v>
      </c>
      <c r="AF244" s="83" t="s">
        <v>1590</v>
      </c>
      <c r="AG244" s="79" t="s">
        <v>1591</v>
      </c>
      <c r="AH244" s="79">
        <v>19138</v>
      </c>
      <c r="AI244" s="53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</row>
    <row r="245" spans="1:110" ht="13.8" x14ac:dyDescent="0.25">
      <c r="A245" s="24">
        <v>1108050</v>
      </c>
      <c r="B245" s="11" t="s">
        <v>30</v>
      </c>
      <c r="C245" s="16" t="s">
        <v>1638</v>
      </c>
      <c r="D245" s="10" t="s">
        <v>46</v>
      </c>
      <c r="E245" s="10" t="s">
        <v>164</v>
      </c>
      <c r="F245" s="10" t="s">
        <v>34</v>
      </c>
      <c r="G245" s="55">
        <f t="shared" ref="G245:G267" si="8">IF(U245="Obsolete",U245,U245+V245)</f>
        <v>2.4329000000000001</v>
      </c>
      <c r="H245" s="10">
        <v>12</v>
      </c>
      <c r="I245" s="13">
        <v>1500</v>
      </c>
      <c r="J245" s="56"/>
      <c r="K245" s="57"/>
      <c r="M245" s="15"/>
      <c r="N245" s="15"/>
      <c r="O245" s="15"/>
      <c r="P245" s="15"/>
      <c r="Q245" s="15"/>
      <c r="R245" s="15"/>
      <c r="S245" s="15"/>
      <c r="T245" s="71"/>
      <c r="U245" s="104">
        <v>1.8529</v>
      </c>
      <c r="V245" s="77">
        <v>0.57999999999999996</v>
      </c>
      <c r="W245" s="104">
        <v>1.8529</v>
      </c>
      <c r="X245" s="77">
        <v>0.57999999999999996</v>
      </c>
      <c r="Y245" s="77" t="s">
        <v>35</v>
      </c>
      <c r="Z245" s="87">
        <v>1500</v>
      </c>
      <c r="AA245" s="79" t="s">
        <v>36</v>
      </c>
      <c r="AB245" s="79" t="s">
        <v>35</v>
      </c>
      <c r="AC245" s="79" t="s">
        <v>37</v>
      </c>
      <c r="AD245" s="79" t="s">
        <v>38</v>
      </c>
      <c r="AE245" s="79" t="s">
        <v>1639</v>
      </c>
      <c r="AF245" s="83"/>
      <c r="AG245" s="79" t="s">
        <v>1576</v>
      </c>
      <c r="AH245" s="79"/>
      <c r="AI245" s="53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</row>
    <row r="246" spans="1:110" ht="13.8" x14ac:dyDescent="0.25">
      <c r="A246" s="24">
        <v>1109001</v>
      </c>
      <c r="B246" s="11" t="s">
        <v>30</v>
      </c>
      <c r="C246" s="12" t="s">
        <v>478</v>
      </c>
      <c r="D246" s="11" t="s">
        <v>49</v>
      </c>
      <c r="E246" s="10" t="s">
        <v>33</v>
      </c>
      <c r="F246" s="10" t="s">
        <v>34</v>
      </c>
      <c r="G246" s="55">
        <f t="shared" si="8"/>
        <v>15.336115395083006</v>
      </c>
      <c r="H246" s="10">
        <v>6</v>
      </c>
      <c r="I246" s="13">
        <v>110</v>
      </c>
      <c r="J246" s="56"/>
      <c r="K246" s="57"/>
      <c r="M246" s="14">
        <v>15.336115395083006</v>
      </c>
      <c r="N246" s="14">
        <v>14.882518370679485</v>
      </c>
      <c r="O246" s="14">
        <v>13.52172729746893</v>
      </c>
      <c r="P246" s="14"/>
      <c r="Q246" s="14"/>
      <c r="R246" s="14"/>
      <c r="S246" s="14"/>
      <c r="T246" s="70"/>
      <c r="U246" s="76">
        <v>15.336115395083006</v>
      </c>
      <c r="V246" s="76">
        <v>0</v>
      </c>
      <c r="W246" s="76">
        <v>17</v>
      </c>
      <c r="X246" s="76">
        <v>0</v>
      </c>
      <c r="Y246" s="77" t="s">
        <v>35</v>
      </c>
      <c r="Z246" s="78"/>
      <c r="AA246" s="79" t="s">
        <v>36</v>
      </c>
      <c r="AB246" s="79" t="s">
        <v>35</v>
      </c>
      <c r="AC246" s="79" t="s">
        <v>37</v>
      </c>
      <c r="AD246" s="79" t="s">
        <v>38</v>
      </c>
      <c r="AE246" s="79" t="s">
        <v>39</v>
      </c>
      <c r="AF246" s="79" t="s">
        <v>40</v>
      </c>
      <c r="AG246" s="79" t="s">
        <v>41</v>
      </c>
      <c r="AH246" s="79"/>
      <c r="AI246" s="53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</row>
    <row r="247" spans="1:110" ht="13.8" x14ac:dyDescent="0.25">
      <c r="A247" s="24">
        <v>1109002</v>
      </c>
      <c r="B247" s="11" t="s">
        <v>30</v>
      </c>
      <c r="C247" s="12" t="s">
        <v>479</v>
      </c>
      <c r="D247" s="11" t="s">
        <v>181</v>
      </c>
      <c r="E247" s="10" t="s">
        <v>384</v>
      </c>
      <c r="F247" s="10" t="s">
        <v>34</v>
      </c>
      <c r="G247" s="55" t="str">
        <f t="shared" si="8"/>
        <v>Obsolete</v>
      </c>
      <c r="H247" s="10">
        <v>6</v>
      </c>
      <c r="I247" s="13" t="s">
        <v>480</v>
      </c>
      <c r="J247" s="56"/>
      <c r="K247" s="57"/>
      <c r="M247" s="14"/>
      <c r="N247" s="14"/>
      <c r="O247" s="14"/>
      <c r="P247" s="14"/>
      <c r="Q247" s="14"/>
      <c r="R247" s="14"/>
      <c r="S247" s="14"/>
      <c r="T247" s="70"/>
      <c r="U247" s="76" t="s">
        <v>54</v>
      </c>
      <c r="V247" s="76"/>
      <c r="W247" s="76" t="s">
        <v>54</v>
      </c>
      <c r="X247" s="76"/>
      <c r="Y247" s="97"/>
      <c r="Z247" s="78">
        <v>55</v>
      </c>
      <c r="AA247" s="79" t="s">
        <v>36</v>
      </c>
      <c r="AB247" s="79" t="s">
        <v>37</v>
      </c>
      <c r="AC247" s="79" t="s">
        <v>37</v>
      </c>
      <c r="AD247" s="91" t="s">
        <v>57</v>
      </c>
      <c r="AE247" s="91" t="s">
        <v>57</v>
      </c>
      <c r="AF247" s="91" t="s">
        <v>57</v>
      </c>
      <c r="AG247" s="79" t="s">
        <v>57</v>
      </c>
      <c r="AH247" s="79"/>
      <c r="AI247" s="53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</row>
    <row r="248" spans="1:110" ht="13.8" x14ac:dyDescent="0.25">
      <c r="A248" s="24">
        <v>1109003</v>
      </c>
      <c r="B248" s="11" t="s">
        <v>30</v>
      </c>
      <c r="C248" s="12" t="s">
        <v>481</v>
      </c>
      <c r="D248" s="11" t="s">
        <v>127</v>
      </c>
      <c r="E248" s="10" t="s">
        <v>307</v>
      </c>
      <c r="F248" s="10" t="s">
        <v>34</v>
      </c>
      <c r="G248" s="55">
        <f t="shared" si="8"/>
        <v>12.54</v>
      </c>
      <c r="H248" s="10">
        <v>8</v>
      </c>
      <c r="I248" s="13">
        <v>110</v>
      </c>
      <c r="J248" s="56"/>
      <c r="K248" s="57"/>
      <c r="M248" s="14">
        <v>12.09</v>
      </c>
      <c r="N248" s="14"/>
      <c r="O248" s="14"/>
      <c r="P248" s="14"/>
      <c r="Q248" s="14"/>
      <c r="R248" s="14"/>
      <c r="S248" s="14"/>
      <c r="T248" s="70"/>
      <c r="U248" s="76">
        <v>12.09</v>
      </c>
      <c r="V248" s="76">
        <v>0.45</v>
      </c>
      <c r="W248" s="76">
        <v>8.59</v>
      </c>
      <c r="X248" s="76">
        <v>0.45</v>
      </c>
      <c r="Y248" s="77" t="s">
        <v>35</v>
      </c>
      <c r="Z248" s="78">
        <v>55</v>
      </c>
      <c r="AA248" s="79" t="s">
        <v>36</v>
      </c>
      <c r="AB248" s="79" t="s">
        <v>35</v>
      </c>
      <c r="AC248" s="79" t="s">
        <v>37</v>
      </c>
      <c r="AD248" s="79" t="s">
        <v>38</v>
      </c>
      <c r="AE248" s="79" t="s">
        <v>308</v>
      </c>
      <c r="AF248" s="79" t="s">
        <v>309</v>
      </c>
      <c r="AG248" s="79" t="s">
        <v>310</v>
      </c>
      <c r="AH248" s="79"/>
      <c r="AI248" s="53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</row>
    <row r="249" spans="1:110" ht="13.8" x14ac:dyDescent="0.25">
      <c r="A249" s="24">
        <v>1109004</v>
      </c>
      <c r="B249" s="11" t="s">
        <v>30</v>
      </c>
      <c r="C249" s="12" t="s">
        <v>482</v>
      </c>
      <c r="D249" s="11"/>
      <c r="E249" s="10" t="s">
        <v>483</v>
      </c>
      <c r="F249" s="10" t="s">
        <v>34</v>
      </c>
      <c r="G249" s="55" t="str">
        <f t="shared" si="8"/>
        <v>Obsolete</v>
      </c>
      <c r="H249" s="10">
        <v>4</v>
      </c>
      <c r="I249" s="13">
        <v>100</v>
      </c>
      <c r="J249" s="56"/>
      <c r="K249" s="57"/>
      <c r="M249" s="14">
        <v>9.7100000000000009</v>
      </c>
      <c r="N249" s="14">
        <v>6.71</v>
      </c>
      <c r="O249" s="14"/>
      <c r="P249" s="14"/>
      <c r="Q249" s="14"/>
      <c r="R249" s="14"/>
      <c r="S249" s="14"/>
      <c r="T249" s="70"/>
      <c r="U249" s="76" t="s">
        <v>54</v>
      </c>
      <c r="V249" s="76"/>
      <c r="W249" s="76" t="s">
        <v>54</v>
      </c>
      <c r="X249" s="76"/>
      <c r="Y249" s="97"/>
      <c r="Z249" s="78">
        <v>55</v>
      </c>
      <c r="AA249" s="79" t="s">
        <v>189</v>
      </c>
      <c r="AB249" s="79" t="s">
        <v>37</v>
      </c>
      <c r="AC249" s="79" t="s">
        <v>37</v>
      </c>
      <c r="AD249" s="79"/>
      <c r="AE249" s="79" t="s">
        <v>484</v>
      </c>
      <c r="AF249" s="79" t="s">
        <v>485</v>
      </c>
      <c r="AG249" s="79" t="s">
        <v>486</v>
      </c>
      <c r="AH249" s="79"/>
      <c r="AI249" s="53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</row>
    <row r="250" spans="1:110" ht="13.8" x14ac:dyDescent="0.25">
      <c r="A250" s="24">
        <v>1109010</v>
      </c>
      <c r="B250" s="11" t="s">
        <v>30</v>
      </c>
      <c r="C250" s="12" t="s">
        <v>487</v>
      </c>
      <c r="D250" s="11" t="s">
        <v>66</v>
      </c>
      <c r="E250" s="10" t="s">
        <v>33</v>
      </c>
      <c r="F250" s="10" t="s">
        <v>34</v>
      </c>
      <c r="G250" s="55" t="str">
        <f t="shared" si="8"/>
        <v>Obsolete</v>
      </c>
      <c r="H250" s="10"/>
      <c r="I250" s="13"/>
      <c r="J250" s="56"/>
      <c r="K250" s="57"/>
      <c r="M250" s="14"/>
      <c r="N250" s="14"/>
      <c r="O250" s="14"/>
      <c r="P250" s="14"/>
      <c r="Q250" s="14"/>
      <c r="R250" s="14"/>
      <c r="S250" s="14"/>
      <c r="T250" s="70"/>
      <c r="U250" s="76" t="s">
        <v>54</v>
      </c>
      <c r="V250" s="76"/>
      <c r="W250" s="76" t="s">
        <v>54</v>
      </c>
      <c r="X250" s="76"/>
      <c r="Y250" s="77"/>
      <c r="Z250" s="78"/>
      <c r="AA250" s="79" t="s">
        <v>189</v>
      </c>
      <c r="AB250" s="79" t="s">
        <v>37</v>
      </c>
      <c r="AC250" s="79" t="s">
        <v>37</v>
      </c>
      <c r="AD250" s="79"/>
      <c r="AE250" s="79" t="s">
        <v>39</v>
      </c>
      <c r="AF250" s="79" t="s">
        <v>40</v>
      </c>
      <c r="AG250" s="79" t="s">
        <v>41</v>
      </c>
      <c r="AH250" s="79"/>
      <c r="AI250" s="53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</row>
    <row r="251" spans="1:110" ht="13.8" x14ac:dyDescent="0.25">
      <c r="A251" s="24">
        <v>1109011</v>
      </c>
      <c r="B251" s="11" t="s">
        <v>30</v>
      </c>
      <c r="C251" s="12" t="s">
        <v>488</v>
      </c>
      <c r="D251" s="11" t="s">
        <v>66</v>
      </c>
      <c r="E251" s="10" t="s">
        <v>336</v>
      </c>
      <c r="F251" s="10" t="s">
        <v>34</v>
      </c>
      <c r="G251" s="55" t="str">
        <f t="shared" si="8"/>
        <v>Obsolete</v>
      </c>
      <c r="H251" s="10"/>
      <c r="I251" s="13"/>
      <c r="J251" s="56"/>
      <c r="K251" s="57"/>
      <c r="M251" s="14"/>
      <c r="N251" s="14"/>
      <c r="O251" s="14"/>
      <c r="P251" s="14"/>
      <c r="Q251" s="14"/>
      <c r="R251" s="14"/>
      <c r="S251" s="14"/>
      <c r="T251" s="70"/>
      <c r="U251" s="76" t="s">
        <v>54</v>
      </c>
      <c r="V251" s="76"/>
      <c r="W251" s="76" t="s">
        <v>54</v>
      </c>
      <c r="X251" s="76"/>
      <c r="Y251" s="97"/>
      <c r="Z251" s="78"/>
      <c r="AA251" s="79" t="s">
        <v>189</v>
      </c>
      <c r="AB251" s="79" t="s">
        <v>37</v>
      </c>
      <c r="AC251" s="79" t="s">
        <v>37</v>
      </c>
      <c r="AD251" s="79"/>
      <c r="AE251" s="79" t="s">
        <v>338</v>
      </c>
      <c r="AF251" s="79" t="s">
        <v>339</v>
      </c>
      <c r="AG251" s="79" t="s">
        <v>340</v>
      </c>
      <c r="AH251" s="79"/>
      <c r="AI251" s="53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</row>
    <row r="252" spans="1:110" ht="13.8" x14ac:dyDescent="0.25">
      <c r="A252" s="24">
        <v>1109012</v>
      </c>
      <c r="B252" s="11" t="s">
        <v>30</v>
      </c>
      <c r="C252" s="12" t="s">
        <v>489</v>
      </c>
      <c r="D252" s="11" t="s">
        <v>66</v>
      </c>
      <c r="E252" s="10" t="s">
        <v>33</v>
      </c>
      <c r="F252" s="10" t="s">
        <v>34</v>
      </c>
      <c r="G252" s="55" t="str">
        <f t="shared" si="8"/>
        <v>Obsolete</v>
      </c>
      <c r="H252" s="10"/>
      <c r="I252" s="13"/>
      <c r="J252" s="56"/>
      <c r="K252" s="57"/>
      <c r="M252" s="14"/>
      <c r="N252" s="14"/>
      <c r="O252" s="14"/>
      <c r="P252" s="14"/>
      <c r="Q252" s="14"/>
      <c r="R252" s="14"/>
      <c r="S252" s="14"/>
      <c r="T252" s="70"/>
      <c r="U252" s="76" t="s">
        <v>54</v>
      </c>
      <c r="V252" s="76"/>
      <c r="W252" s="76" t="s">
        <v>54</v>
      </c>
      <c r="X252" s="76"/>
      <c r="Y252" s="77"/>
      <c r="Z252" s="78"/>
      <c r="AA252" s="79" t="s">
        <v>189</v>
      </c>
      <c r="AB252" s="79" t="s">
        <v>37</v>
      </c>
      <c r="AC252" s="79" t="s">
        <v>37</v>
      </c>
      <c r="AD252" s="79"/>
      <c r="AE252" s="79" t="s">
        <v>39</v>
      </c>
      <c r="AF252" s="79" t="s">
        <v>40</v>
      </c>
      <c r="AG252" s="79" t="s">
        <v>41</v>
      </c>
      <c r="AH252" s="79"/>
      <c r="AI252" s="53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</row>
    <row r="253" spans="1:110" ht="13.8" x14ac:dyDescent="0.25">
      <c r="A253" s="24">
        <v>1109013</v>
      </c>
      <c r="B253" s="11" t="s">
        <v>30</v>
      </c>
      <c r="C253" s="12" t="s">
        <v>490</v>
      </c>
      <c r="D253" s="11" t="s">
        <v>66</v>
      </c>
      <c r="E253" s="10" t="s">
        <v>33</v>
      </c>
      <c r="F253" s="10" t="s">
        <v>34</v>
      </c>
      <c r="G253" s="55" t="str">
        <f t="shared" si="8"/>
        <v>Obsolete</v>
      </c>
      <c r="H253" s="10"/>
      <c r="I253" s="13"/>
      <c r="J253" s="56"/>
      <c r="K253" s="57"/>
      <c r="M253" s="14"/>
      <c r="N253" s="14"/>
      <c r="O253" s="14"/>
      <c r="P253" s="14"/>
      <c r="Q253" s="14"/>
      <c r="R253" s="14"/>
      <c r="S253" s="14"/>
      <c r="T253" s="70"/>
      <c r="U253" s="76" t="s">
        <v>54</v>
      </c>
      <c r="V253" s="76"/>
      <c r="W253" s="76" t="s">
        <v>54</v>
      </c>
      <c r="X253" s="76"/>
      <c r="Y253" s="77"/>
      <c r="Z253" s="78"/>
      <c r="AA253" s="79" t="s">
        <v>189</v>
      </c>
      <c r="AB253" s="79" t="s">
        <v>37</v>
      </c>
      <c r="AC253" s="79" t="s">
        <v>37</v>
      </c>
      <c r="AD253" s="79"/>
      <c r="AE253" s="79" t="s">
        <v>39</v>
      </c>
      <c r="AF253" s="79" t="s">
        <v>40</v>
      </c>
      <c r="AG253" s="79" t="s">
        <v>41</v>
      </c>
      <c r="AH253" s="79"/>
      <c r="AI253" s="53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</row>
    <row r="254" spans="1:110" ht="13.8" x14ac:dyDescent="0.25">
      <c r="A254" s="24">
        <v>1109014</v>
      </c>
      <c r="B254" s="11" t="s">
        <v>30</v>
      </c>
      <c r="C254" s="12" t="s">
        <v>491</v>
      </c>
      <c r="D254" s="11" t="s">
        <v>46</v>
      </c>
      <c r="E254" s="10" t="s">
        <v>492</v>
      </c>
      <c r="F254" s="10" t="s">
        <v>34</v>
      </c>
      <c r="G254" s="55">
        <f t="shared" si="8"/>
        <v>4.45</v>
      </c>
      <c r="H254" s="10">
        <v>14</v>
      </c>
      <c r="I254" s="13">
        <v>1600</v>
      </c>
      <c r="J254" s="56">
        <v>43055</v>
      </c>
      <c r="K254" s="57">
        <v>4.45</v>
      </c>
      <c r="M254" s="14"/>
      <c r="N254" s="14"/>
      <c r="O254" s="14">
        <v>4.45</v>
      </c>
      <c r="P254" s="14"/>
      <c r="Q254" s="14"/>
      <c r="R254" s="14"/>
      <c r="S254" s="14"/>
      <c r="T254" s="70"/>
      <c r="U254" s="76">
        <v>4.45</v>
      </c>
      <c r="V254" s="76">
        <v>0</v>
      </c>
      <c r="W254" s="76">
        <v>4.45</v>
      </c>
      <c r="X254" s="76">
        <v>0</v>
      </c>
      <c r="Y254" s="77" t="s">
        <v>35</v>
      </c>
      <c r="Z254" s="78">
        <v>1600</v>
      </c>
      <c r="AA254" s="79" t="s">
        <v>36</v>
      </c>
      <c r="AB254" s="79" t="s">
        <v>35</v>
      </c>
      <c r="AC254" s="79" t="s">
        <v>37</v>
      </c>
      <c r="AD254" s="79" t="s">
        <v>38</v>
      </c>
      <c r="AE254" s="79" t="s">
        <v>1547</v>
      </c>
      <c r="AF254" s="79" t="s">
        <v>1548</v>
      </c>
      <c r="AG254" s="79" t="s">
        <v>1549</v>
      </c>
      <c r="AH254" s="79"/>
      <c r="AI254" s="53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</row>
    <row r="255" spans="1:110" ht="13.8" x14ac:dyDescent="0.25">
      <c r="A255" s="24">
        <v>1109015</v>
      </c>
      <c r="B255" s="11" t="s">
        <v>30</v>
      </c>
      <c r="C255" s="16" t="s">
        <v>493</v>
      </c>
      <c r="D255" s="11" t="s">
        <v>143</v>
      </c>
      <c r="E255" s="10" t="s">
        <v>33</v>
      </c>
      <c r="F255" s="10" t="s">
        <v>34</v>
      </c>
      <c r="G255" s="55">
        <f t="shared" si="8"/>
        <v>2.11</v>
      </c>
      <c r="H255" s="10">
        <v>6</v>
      </c>
      <c r="I255" s="13">
        <v>19000</v>
      </c>
      <c r="J255" s="56"/>
      <c r="K255" s="57"/>
      <c r="M255" s="14"/>
      <c r="N255" s="14">
        <v>3.2</v>
      </c>
      <c r="O255" s="14"/>
      <c r="P255" s="14"/>
      <c r="Q255" s="14"/>
      <c r="R255" s="14">
        <v>2.58</v>
      </c>
      <c r="S255" s="14"/>
      <c r="T255" s="70"/>
      <c r="U255" s="76">
        <v>2.11</v>
      </c>
      <c r="V255" s="76">
        <v>0</v>
      </c>
      <c r="W255" s="76">
        <v>2.11</v>
      </c>
      <c r="X255" s="76">
        <v>0</v>
      </c>
      <c r="Y255" s="77" t="s">
        <v>35</v>
      </c>
      <c r="Z255" s="78">
        <v>1500</v>
      </c>
      <c r="AA255" s="79" t="s">
        <v>36</v>
      </c>
      <c r="AB255" s="79" t="s">
        <v>35</v>
      </c>
      <c r="AC255" s="79" t="s">
        <v>37</v>
      </c>
      <c r="AD255" s="79" t="s">
        <v>38</v>
      </c>
      <c r="AE255" s="79" t="s">
        <v>39</v>
      </c>
      <c r="AF255" s="79" t="s">
        <v>40</v>
      </c>
      <c r="AG255" s="79" t="s">
        <v>41</v>
      </c>
      <c r="AH255" s="79"/>
      <c r="AI255" s="53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</row>
    <row r="256" spans="1:110" ht="13.8" x14ac:dyDescent="0.25">
      <c r="A256" s="24">
        <v>1109016</v>
      </c>
      <c r="B256" s="11" t="s">
        <v>30</v>
      </c>
      <c r="C256" s="16" t="s">
        <v>494</v>
      </c>
      <c r="D256" s="11" t="s">
        <v>138</v>
      </c>
      <c r="E256" s="10" t="s">
        <v>1616</v>
      </c>
      <c r="F256" s="10" t="s">
        <v>34</v>
      </c>
      <c r="G256" s="55">
        <f t="shared" si="8"/>
        <v>3.5213999999999999</v>
      </c>
      <c r="H256" s="10">
        <v>4</v>
      </c>
      <c r="I256" s="13">
        <v>2750</v>
      </c>
      <c r="J256" s="56">
        <v>44441</v>
      </c>
      <c r="K256" s="57">
        <v>2.8113999999999999</v>
      </c>
      <c r="M256" s="14"/>
      <c r="N256" s="14"/>
      <c r="O256" s="14"/>
      <c r="P256" s="14">
        <v>3.3</v>
      </c>
      <c r="Q256" s="14"/>
      <c r="R256" s="14"/>
      <c r="S256" s="14"/>
      <c r="T256" s="70"/>
      <c r="U256" s="76">
        <v>3.3</v>
      </c>
      <c r="V256" s="76">
        <v>0.22140000000000001</v>
      </c>
      <c r="W256" s="76">
        <v>3.3</v>
      </c>
      <c r="X256" s="76">
        <v>0.22140000000000001</v>
      </c>
      <c r="Y256" s="77" t="s">
        <v>35</v>
      </c>
      <c r="Z256" s="87">
        <v>55</v>
      </c>
      <c r="AA256" s="79" t="s">
        <v>36</v>
      </c>
      <c r="AB256" s="79" t="s">
        <v>35</v>
      </c>
      <c r="AC256" s="79" t="s">
        <v>37</v>
      </c>
      <c r="AD256" s="79" t="s">
        <v>38</v>
      </c>
      <c r="AE256" s="79" t="s">
        <v>182</v>
      </c>
      <c r="AF256" s="79" t="s">
        <v>183</v>
      </c>
      <c r="AG256" s="79" t="s">
        <v>184</v>
      </c>
      <c r="AH256" s="79"/>
      <c r="AI256" s="53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</row>
    <row r="257" spans="1:110" ht="13.8" x14ac:dyDescent="0.25">
      <c r="A257" s="24">
        <v>1109017</v>
      </c>
      <c r="B257" s="11" t="s">
        <v>30</v>
      </c>
      <c r="C257" s="16" t="s">
        <v>495</v>
      </c>
      <c r="D257" s="11" t="s">
        <v>32</v>
      </c>
      <c r="E257" s="10" t="s">
        <v>33</v>
      </c>
      <c r="F257" s="10" t="s">
        <v>34</v>
      </c>
      <c r="G257" s="55" t="str">
        <f t="shared" si="8"/>
        <v>Obsolete</v>
      </c>
      <c r="H257" s="10"/>
      <c r="I257" s="13"/>
      <c r="J257" s="56"/>
      <c r="K257" s="57"/>
      <c r="M257" s="14"/>
      <c r="N257" s="14"/>
      <c r="O257" s="14"/>
      <c r="P257" s="14"/>
      <c r="Q257" s="14"/>
      <c r="R257" s="14"/>
      <c r="S257" s="14"/>
      <c r="T257" s="70"/>
      <c r="U257" s="76" t="s">
        <v>54</v>
      </c>
      <c r="V257" s="76"/>
      <c r="W257" s="76" t="s">
        <v>54</v>
      </c>
      <c r="X257" s="76"/>
      <c r="Y257" s="77"/>
      <c r="Z257" s="78"/>
      <c r="AA257" s="79" t="s">
        <v>496</v>
      </c>
      <c r="AB257" s="79" t="s">
        <v>37</v>
      </c>
      <c r="AC257" s="79" t="s">
        <v>37</v>
      </c>
      <c r="AD257" s="79"/>
      <c r="AE257" s="79" t="s">
        <v>39</v>
      </c>
      <c r="AF257" s="79" t="s">
        <v>40</v>
      </c>
      <c r="AG257" s="79" t="s">
        <v>41</v>
      </c>
      <c r="AH257" s="79"/>
      <c r="AI257" s="53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</row>
    <row r="258" spans="1:110" ht="13.8" x14ac:dyDescent="0.25">
      <c r="A258" s="24">
        <v>1109018</v>
      </c>
      <c r="B258" s="11" t="s">
        <v>30</v>
      </c>
      <c r="C258" s="16" t="s">
        <v>497</v>
      </c>
      <c r="D258" s="11" t="s">
        <v>66</v>
      </c>
      <c r="E258" s="10" t="s">
        <v>33</v>
      </c>
      <c r="F258" s="10" t="s">
        <v>34</v>
      </c>
      <c r="G258" s="55" t="str">
        <f t="shared" si="8"/>
        <v>Obsolete</v>
      </c>
      <c r="H258" s="10">
        <v>8</v>
      </c>
      <c r="I258" s="13"/>
      <c r="J258" s="56"/>
      <c r="K258" s="57"/>
      <c r="M258" s="14"/>
      <c r="N258" s="14"/>
      <c r="O258" s="14"/>
      <c r="P258" s="14"/>
      <c r="Q258" s="14"/>
      <c r="R258" s="14"/>
      <c r="S258" s="14"/>
      <c r="T258" s="70"/>
      <c r="U258" s="76" t="s">
        <v>54</v>
      </c>
      <c r="V258" s="76"/>
      <c r="W258" s="76" t="s">
        <v>54</v>
      </c>
      <c r="X258" s="76"/>
      <c r="Y258" s="77"/>
      <c r="Z258" s="78"/>
      <c r="AA258" s="79" t="s">
        <v>496</v>
      </c>
      <c r="AB258" s="79" t="s">
        <v>37</v>
      </c>
      <c r="AC258" s="79" t="s">
        <v>37</v>
      </c>
      <c r="AD258" s="79"/>
      <c r="AE258" s="79" t="s">
        <v>39</v>
      </c>
      <c r="AF258" s="79" t="s">
        <v>40</v>
      </c>
      <c r="AG258" s="79" t="s">
        <v>41</v>
      </c>
      <c r="AH258" s="79"/>
      <c r="AI258" s="53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</row>
    <row r="259" spans="1:110" ht="13.8" x14ac:dyDescent="0.25">
      <c r="A259" s="24">
        <v>1109019</v>
      </c>
      <c r="B259" s="11" t="s">
        <v>30</v>
      </c>
      <c r="C259" s="16" t="s">
        <v>498</v>
      </c>
      <c r="D259" s="11"/>
      <c r="E259" s="10" t="s">
        <v>1619</v>
      </c>
      <c r="F259" s="10" t="s">
        <v>34</v>
      </c>
      <c r="G259" s="55">
        <f t="shared" si="8"/>
        <v>25.83</v>
      </c>
      <c r="H259" s="10">
        <v>8</v>
      </c>
      <c r="I259" s="13"/>
      <c r="J259" s="56"/>
      <c r="K259" s="57"/>
      <c r="M259" s="14">
        <v>45.63</v>
      </c>
      <c r="N259" s="14">
        <v>30.13</v>
      </c>
      <c r="O259" s="14">
        <v>25.83</v>
      </c>
      <c r="P259" s="14">
        <v>21.73</v>
      </c>
      <c r="Q259" s="14">
        <v>20.63</v>
      </c>
      <c r="R259" s="14">
        <v>20.53</v>
      </c>
      <c r="S259" s="14">
        <v>20.48</v>
      </c>
      <c r="T259" s="70"/>
      <c r="U259" s="76">
        <v>25.83</v>
      </c>
      <c r="V259" s="76"/>
      <c r="W259" s="76">
        <v>25.83</v>
      </c>
      <c r="X259" s="76"/>
      <c r="Y259" s="77" t="s">
        <v>35</v>
      </c>
      <c r="Z259" s="87">
        <v>50</v>
      </c>
      <c r="AA259" s="79" t="s">
        <v>36</v>
      </c>
      <c r="AB259" s="79" t="s">
        <v>35</v>
      </c>
      <c r="AC259" s="79" t="s">
        <v>37</v>
      </c>
      <c r="AD259" s="79" t="s">
        <v>38</v>
      </c>
      <c r="AE259" s="79" t="s">
        <v>499</v>
      </c>
      <c r="AF259" s="79" t="s">
        <v>500</v>
      </c>
      <c r="AG259" s="79" t="s">
        <v>501</v>
      </c>
      <c r="AH259" s="79"/>
      <c r="AI259" s="35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</row>
    <row r="260" spans="1:110" ht="13.8" x14ac:dyDescent="0.25">
      <c r="A260" s="24">
        <v>1109020</v>
      </c>
      <c r="B260" s="11" t="s">
        <v>30</v>
      </c>
      <c r="C260" s="16" t="s">
        <v>502</v>
      </c>
      <c r="D260" s="11"/>
      <c r="E260" s="10" t="s">
        <v>1619</v>
      </c>
      <c r="F260" s="10" t="s">
        <v>34</v>
      </c>
      <c r="G260" s="55">
        <f t="shared" si="8"/>
        <v>24.04</v>
      </c>
      <c r="H260" s="10">
        <v>8</v>
      </c>
      <c r="I260" s="13"/>
      <c r="J260" s="56"/>
      <c r="K260" s="57"/>
      <c r="M260" s="14">
        <v>39.54</v>
      </c>
      <c r="N260" s="14">
        <v>15.64</v>
      </c>
      <c r="O260" s="14">
        <v>14.54</v>
      </c>
      <c r="P260" s="14">
        <v>14.44</v>
      </c>
      <c r="Q260" s="14"/>
      <c r="R260" s="14"/>
      <c r="S260" s="14">
        <v>14.39</v>
      </c>
      <c r="T260" s="70">
        <v>14.37</v>
      </c>
      <c r="U260" s="76">
        <v>24.04</v>
      </c>
      <c r="V260" s="76"/>
      <c r="W260" s="76">
        <v>24.04</v>
      </c>
      <c r="X260" s="76"/>
      <c r="Y260" s="77" t="s">
        <v>35</v>
      </c>
      <c r="Z260" s="87">
        <v>50</v>
      </c>
      <c r="AA260" s="79" t="s">
        <v>36</v>
      </c>
      <c r="AB260" s="79" t="s">
        <v>35</v>
      </c>
      <c r="AC260" s="79" t="s">
        <v>37</v>
      </c>
      <c r="AD260" s="79" t="s">
        <v>38</v>
      </c>
      <c r="AE260" s="79" t="s">
        <v>499</v>
      </c>
      <c r="AF260" s="79" t="s">
        <v>503</v>
      </c>
      <c r="AG260" s="79" t="s">
        <v>501</v>
      </c>
      <c r="AH260" s="79"/>
      <c r="AI260" s="53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</row>
    <row r="261" spans="1:110" ht="13.8" x14ac:dyDescent="0.25">
      <c r="A261" s="24">
        <v>1109021</v>
      </c>
      <c r="B261" s="11" t="s">
        <v>30</v>
      </c>
      <c r="C261" s="16" t="s">
        <v>504</v>
      </c>
      <c r="D261" s="11" t="s">
        <v>66</v>
      </c>
      <c r="E261" s="10" t="s">
        <v>1619</v>
      </c>
      <c r="F261" s="10" t="s">
        <v>34</v>
      </c>
      <c r="G261" s="55">
        <f t="shared" si="8"/>
        <v>27.89</v>
      </c>
      <c r="H261" s="10">
        <v>8</v>
      </c>
      <c r="I261" s="13"/>
      <c r="J261" s="56"/>
      <c r="K261" s="57"/>
      <c r="M261" s="14">
        <v>27.89</v>
      </c>
      <c r="N261" s="14">
        <v>20.39</v>
      </c>
      <c r="O261" s="14">
        <v>15.79</v>
      </c>
      <c r="P261" s="14">
        <v>12.99</v>
      </c>
      <c r="Q261" s="14">
        <v>11.89</v>
      </c>
      <c r="R261" s="14">
        <v>11.79</v>
      </c>
      <c r="S261" s="14">
        <v>11.74</v>
      </c>
      <c r="T261" s="70"/>
      <c r="U261" s="76">
        <v>27.89</v>
      </c>
      <c r="V261" s="76"/>
      <c r="W261" s="76">
        <v>27.89</v>
      </c>
      <c r="X261" s="76"/>
      <c r="Y261" s="77" t="s">
        <v>35</v>
      </c>
      <c r="Z261" s="87">
        <v>50</v>
      </c>
      <c r="AA261" s="79" t="s">
        <v>36</v>
      </c>
      <c r="AB261" s="79" t="s">
        <v>35</v>
      </c>
      <c r="AC261" s="79" t="s">
        <v>37</v>
      </c>
      <c r="AD261" s="79" t="s">
        <v>38</v>
      </c>
      <c r="AE261" s="79" t="s">
        <v>499</v>
      </c>
      <c r="AF261" s="79" t="s">
        <v>503</v>
      </c>
      <c r="AG261" s="79" t="s">
        <v>501</v>
      </c>
      <c r="AH261" s="79"/>
      <c r="AI261" s="35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</row>
    <row r="262" spans="1:110" ht="13.8" x14ac:dyDescent="0.25">
      <c r="A262" s="24">
        <v>1109022</v>
      </c>
      <c r="B262" s="11" t="s">
        <v>30</v>
      </c>
      <c r="C262" s="16" t="s">
        <v>505</v>
      </c>
      <c r="D262" s="11" t="s">
        <v>66</v>
      </c>
      <c r="E262" s="10" t="s">
        <v>33</v>
      </c>
      <c r="F262" s="10" t="s">
        <v>34</v>
      </c>
      <c r="G262" s="55" t="str">
        <f t="shared" si="8"/>
        <v>Obsolete</v>
      </c>
      <c r="H262" s="10">
        <v>8</v>
      </c>
      <c r="I262" s="13"/>
      <c r="J262" s="56"/>
      <c r="K262" s="57"/>
      <c r="M262" s="14"/>
      <c r="N262" s="14"/>
      <c r="O262" s="14"/>
      <c r="P262" s="14"/>
      <c r="Q262" s="14"/>
      <c r="R262" s="14"/>
      <c r="S262" s="14"/>
      <c r="T262" s="70"/>
      <c r="U262" s="76" t="s">
        <v>54</v>
      </c>
      <c r="V262" s="76"/>
      <c r="W262" s="76" t="s">
        <v>54</v>
      </c>
      <c r="X262" s="76"/>
      <c r="Y262" s="77"/>
      <c r="Z262" s="78"/>
      <c r="AA262" s="79" t="s">
        <v>189</v>
      </c>
      <c r="AB262" s="79" t="s">
        <v>37</v>
      </c>
      <c r="AC262" s="79" t="s">
        <v>37</v>
      </c>
      <c r="AD262" s="79"/>
      <c r="AE262" s="79" t="s">
        <v>39</v>
      </c>
      <c r="AF262" s="79" t="s">
        <v>40</v>
      </c>
      <c r="AG262" s="79" t="s">
        <v>41</v>
      </c>
      <c r="AH262" s="79"/>
      <c r="AI262" s="53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</row>
    <row r="263" spans="1:110" ht="13.8" x14ac:dyDescent="0.25">
      <c r="A263" s="24">
        <v>1109023</v>
      </c>
      <c r="B263" s="11" t="s">
        <v>30</v>
      </c>
      <c r="C263" s="16" t="s">
        <v>506</v>
      </c>
      <c r="D263" s="11" t="s">
        <v>66</v>
      </c>
      <c r="E263" s="10" t="s">
        <v>507</v>
      </c>
      <c r="F263" s="10" t="s">
        <v>34</v>
      </c>
      <c r="G263" s="55" t="str">
        <f t="shared" si="8"/>
        <v>Obsolete</v>
      </c>
      <c r="H263" s="10"/>
      <c r="I263" s="13"/>
      <c r="J263" s="56"/>
      <c r="K263" s="57"/>
      <c r="M263" s="14"/>
      <c r="N263" s="14"/>
      <c r="O263" s="14"/>
      <c r="P263" s="14"/>
      <c r="Q263" s="14"/>
      <c r="R263" s="14"/>
      <c r="S263" s="14"/>
      <c r="T263" s="70"/>
      <c r="U263" s="76" t="s">
        <v>54</v>
      </c>
      <c r="V263" s="76"/>
      <c r="W263" s="76" t="s">
        <v>54</v>
      </c>
      <c r="X263" s="76"/>
      <c r="Y263" s="84"/>
      <c r="Z263" s="78"/>
      <c r="AA263" s="79" t="s">
        <v>189</v>
      </c>
      <c r="AB263" s="79" t="s">
        <v>37</v>
      </c>
      <c r="AC263" s="79" t="s">
        <v>37</v>
      </c>
      <c r="AD263" s="79"/>
      <c r="AE263" s="91" t="s">
        <v>57</v>
      </c>
      <c r="AF263" s="91" t="s">
        <v>57</v>
      </c>
      <c r="AG263" s="79" t="s">
        <v>57</v>
      </c>
      <c r="AH263" s="79"/>
      <c r="AI263" s="53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</row>
    <row r="264" spans="1:110" ht="13.8" x14ac:dyDescent="0.25">
      <c r="A264" s="24">
        <v>1109024</v>
      </c>
      <c r="B264" s="11" t="s">
        <v>30</v>
      </c>
      <c r="C264" s="16" t="s">
        <v>508</v>
      </c>
      <c r="D264" s="11" t="s">
        <v>509</v>
      </c>
      <c r="E264" s="10" t="s">
        <v>510</v>
      </c>
      <c r="F264" s="10" t="s">
        <v>34</v>
      </c>
      <c r="G264" s="55" t="str">
        <f t="shared" si="8"/>
        <v>Obsolete</v>
      </c>
      <c r="H264" s="10">
        <v>8</v>
      </c>
      <c r="I264" s="13">
        <v>55</v>
      </c>
      <c r="J264" s="56"/>
      <c r="K264" s="57"/>
      <c r="M264" s="14"/>
      <c r="N264" s="14">
        <v>4.25</v>
      </c>
      <c r="O264" s="14"/>
      <c r="P264" s="14"/>
      <c r="Q264" s="14"/>
      <c r="R264" s="14"/>
      <c r="S264" s="14"/>
      <c r="T264" s="70"/>
      <c r="U264" s="76" t="s">
        <v>54</v>
      </c>
      <c r="V264" s="76"/>
      <c r="W264" s="76" t="s">
        <v>54</v>
      </c>
      <c r="X264" s="76"/>
      <c r="Y264" s="84"/>
      <c r="Z264" s="78"/>
      <c r="AA264" s="79" t="s">
        <v>206</v>
      </c>
      <c r="AB264" s="79" t="s">
        <v>37</v>
      </c>
      <c r="AC264" s="79" t="s">
        <v>37</v>
      </c>
      <c r="AD264" s="79"/>
      <c r="AE264" s="79"/>
      <c r="AF264" s="79"/>
      <c r="AG264" s="79"/>
      <c r="AH264" s="79"/>
      <c r="AI264" s="53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</row>
    <row r="265" spans="1:110" ht="13.8" x14ac:dyDescent="0.25">
      <c r="A265" s="24">
        <v>1109025</v>
      </c>
      <c r="B265" s="11" t="s">
        <v>30</v>
      </c>
      <c r="C265" s="16" t="s">
        <v>511</v>
      </c>
      <c r="D265" s="11"/>
      <c r="E265" s="10" t="s">
        <v>101</v>
      </c>
      <c r="F265" s="10" t="s">
        <v>34</v>
      </c>
      <c r="G265" s="55" t="str">
        <f t="shared" si="8"/>
        <v>Obsolete</v>
      </c>
      <c r="H265" s="10">
        <v>4</v>
      </c>
      <c r="I265" s="13">
        <v>1100</v>
      </c>
      <c r="J265" s="56"/>
      <c r="K265" s="57"/>
      <c r="M265" s="14"/>
      <c r="N265" s="14"/>
      <c r="O265" s="14">
        <v>3.5</v>
      </c>
      <c r="P265" s="14"/>
      <c r="Q265" s="14"/>
      <c r="R265" s="14"/>
      <c r="S265" s="14"/>
      <c r="T265" s="70"/>
      <c r="U265" s="76" t="s">
        <v>54</v>
      </c>
      <c r="V265" s="76"/>
      <c r="W265" s="76" t="s">
        <v>54</v>
      </c>
      <c r="X265" s="76"/>
      <c r="Y265" s="84"/>
      <c r="Z265" s="78">
        <v>55</v>
      </c>
      <c r="AA265" s="79" t="s">
        <v>189</v>
      </c>
      <c r="AB265" s="79" t="s">
        <v>37</v>
      </c>
      <c r="AC265" s="79" t="s">
        <v>37</v>
      </c>
      <c r="AD265" s="79"/>
      <c r="AE265" s="79" t="s">
        <v>103</v>
      </c>
      <c r="AF265" s="79" t="s">
        <v>104</v>
      </c>
      <c r="AG265" s="79" t="s">
        <v>105</v>
      </c>
      <c r="AH265" s="79"/>
      <c r="AI265" s="53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</row>
    <row r="266" spans="1:110" ht="13.8" x14ac:dyDescent="0.25">
      <c r="A266" s="24">
        <v>1109026</v>
      </c>
      <c r="B266" s="11" t="s">
        <v>30</v>
      </c>
      <c r="C266" s="16" t="s">
        <v>512</v>
      </c>
      <c r="D266" s="11" t="s">
        <v>32</v>
      </c>
      <c r="E266" s="10" t="s">
        <v>33</v>
      </c>
      <c r="F266" s="10" t="s">
        <v>34</v>
      </c>
      <c r="G266" s="55">
        <f t="shared" si="8"/>
        <v>3</v>
      </c>
      <c r="H266" s="10">
        <v>6</v>
      </c>
      <c r="I266" s="13">
        <v>1100</v>
      </c>
      <c r="J266" s="56"/>
      <c r="K266" s="57"/>
      <c r="M266" s="14"/>
      <c r="N266" s="14"/>
      <c r="O266" s="14">
        <v>3</v>
      </c>
      <c r="P266" s="14"/>
      <c r="Q266" s="14"/>
      <c r="R266" s="14">
        <v>2.82</v>
      </c>
      <c r="S266" s="14"/>
      <c r="T266" s="70"/>
      <c r="U266" s="76">
        <v>3</v>
      </c>
      <c r="V266" s="76">
        <v>0</v>
      </c>
      <c r="W266" s="76">
        <v>3</v>
      </c>
      <c r="X266" s="76">
        <v>0</v>
      </c>
      <c r="Y266" s="77" t="s">
        <v>35</v>
      </c>
      <c r="Z266" s="78"/>
      <c r="AA266" s="79" t="s">
        <v>36</v>
      </c>
      <c r="AB266" s="79" t="s">
        <v>35</v>
      </c>
      <c r="AC266" s="79" t="s">
        <v>37</v>
      </c>
      <c r="AD266" s="79" t="s">
        <v>38</v>
      </c>
      <c r="AE266" s="79" t="s">
        <v>39</v>
      </c>
      <c r="AF266" s="79" t="s">
        <v>40</v>
      </c>
      <c r="AG266" s="79" t="s">
        <v>41</v>
      </c>
      <c r="AH266" s="79"/>
      <c r="AI266" s="53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</row>
    <row r="267" spans="1:110" ht="13.8" x14ac:dyDescent="0.25">
      <c r="A267" s="24">
        <v>1109027</v>
      </c>
      <c r="B267" s="11" t="s">
        <v>30</v>
      </c>
      <c r="C267" s="16" t="s">
        <v>513</v>
      </c>
      <c r="D267" s="11" t="s">
        <v>32</v>
      </c>
      <c r="E267" s="10" t="s">
        <v>33</v>
      </c>
      <c r="F267" s="10" t="s">
        <v>34</v>
      </c>
      <c r="G267" s="55">
        <f t="shared" si="8"/>
        <v>3.48</v>
      </c>
      <c r="H267" s="10">
        <v>6</v>
      </c>
      <c r="I267" s="13">
        <v>1100</v>
      </c>
      <c r="J267" s="56"/>
      <c r="K267" s="57"/>
      <c r="M267" s="14"/>
      <c r="N267" s="14"/>
      <c r="O267" s="14">
        <v>3.48</v>
      </c>
      <c r="P267" s="14"/>
      <c r="Q267" s="14"/>
      <c r="R267" s="14">
        <v>2.61</v>
      </c>
      <c r="S267" s="14"/>
      <c r="T267" s="70"/>
      <c r="U267" s="76">
        <v>3.48</v>
      </c>
      <c r="V267" s="76">
        <v>0</v>
      </c>
      <c r="W267" s="76">
        <v>3.48</v>
      </c>
      <c r="X267" s="76">
        <v>0</v>
      </c>
      <c r="Y267" s="77" t="s">
        <v>35</v>
      </c>
      <c r="Z267" s="78"/>
      <c r="AA267" s="79" t="s">
        <v>36</v>
      </c>
      <c r="AB267" s="79" t="s">
        <v>35</v>
      </c>
      <c r="AC267" s="79" t="s">
        <v>37</v>
      </c>
      <c r="AD267" s="79" t="s">
        <v>38</v>
      </c>
      <c r="AE267" s="79" t="s">
        <v>39</v>
      </c>
      <c r="AF267" s="79" t="s">
        <v>40</v>
      </c>
      <c r="AG267" s="79" t="s">
        <v>41</v>
      </c>
      <c r="AH267" s="79"/>
      <c r="AI267" s="53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</row>
    <row r="268" spans="1:110" ht="13.8" x14ac:dyDescent="0.25">
      <c r="A268" s="24">
        <v>1109030</v>
      </c>
      <c r="B268" s="11" t="s">
        <v>30</v>
      </c>
      <c r="C268" s="16" t="s">
        <v>514</v>
      </c>
      <c r="D268" s="11" t="s">
        <v>515</v>
      </c>
      <c r="E268" s="10" t="s">
        <v>516</v>
      </c>
      <c r="F268" s="10" t="s">
        <v>34</v>
      </c>
      <c r="G268" s="59" t="s">
        <v>54</v>
      </c>
      <c r="H268" s="10">
        <v>5</v>
      </c>
      <c r="I268" s="13">
        <v>39683</v>
      </c>
      <c r="J268" s="56"/>
      <c r="K268" s="57"/>
      <c r="M268" s="14"/>
      <c r="N268" s="14"/>
      <c r="O268" s="14"/>
      <c r="P268" s="14"/>
      <c r="Q268" s="14"/>
      <c r="R268" s="14"/>
      <c r="S268" s="14"/>
      <c r="T268" s="70"/>
      <c r="U268" s="76">
        <v>2.3570000000000002</v>
      </c>
      <c r="V268" s="76" t="s">
        <v>54</v>
      </c>
      <c r="W268" s="76">
        <v>2.3570000000000002</v>
      </c>
      <c r="X268" s="76" t="s">
        <v>54</v>
      </c>
      <c r="Y268" s="77" t="s">
        <v>35</v>
      </c>
      <c r="Z268" s="78">
        <v>55</v>
      </c>
      <c r="AA268" s="79" t="s">
        <v>517</v>
      </c>
      <c r="AB268" s="79" t="s">
        <v>35</v>
      </c>
      <c r="AC268" s="79" t="s">
        <v>35</v>
      </c>
      <c r="AD268" s="79"/>
      <c r="AE268" s="79" t="s">
        <v>518</v>
      </c>
      <c r="AF268" s="79" t="s">
        <v>519</v>
      </c>
      <c r="AG268" s="79" t="s">
        <v>520</v>
      </c>
      <c r="AH268" s="79"/>
      <c r="AI268" s="53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</row>
    <row r="269" spans="1:110" ht="13.8" x14ac:dyDescent="0.25">
      <c r="A269" s="24">
        <v>1109031</v>
      </c>
      <c r="B269" s="11" t="s">
        <v>30</v>
      </c>
      <c r="C269" s="16" t="s">
        <v>521</v>
      </c>
      <c r="D269" s="11" t="s">
        <v>515</v>
      </c>
      <c r="E269" s="10" t="s">
        <v>516</v>
      </c>
      <c r="F269" s="10" t="s">
        <v>34</v>
      </c>
      <c r="G269" s="59" t="s">
        <v>54</v>
      </c>
      <c r="H269" s="10">
        <v>5</v>
      </c>
      <c r="I269" s="13">
        <v>39683</v>
      </c>
      <c r="J269" s="56"/>
      <c r="K269" s="57"/>
      <c r="M269" s="14"/>
      <c r="N269" s="14"/>
      <c r="O269" s="14"/>
      <c r="P269" s="14"/>
      <c r="Q269" s="14"/>
      <c r="R269" s="14"/>
      <c r="S269" s="14"/>
      <c r="T269" s="70"/>
      <c r="U269" s="76">
        <v>2.3570000000000002</v>
      </c>
      <c r="V269" s="76" t="s">
        <v>54</v>
      </c>
      <c r="W269" s="76">
        <v>2.3570000000000002</v>
      </c>
      <c r="X269" s="76" t="s">
        <v>54</v>
      </c>
      <c r="Y269" s="77" t="s">
        <v>35</v>
      </c>
      <c r="Z269" s="78">
        <v>55</v>
      </c>
      <c r="AA269" s="79" t="s">
        <v>517</v>
      </c>
      <c r="AB269" s="79" t="s">
        <v>35</v>
      </c>
      <c r="AC269" s="79" t="s">
        <v>35</v>
      </c>
      <c r="AD269" s="79"/>
      <c r="AE269" s="79" t="s">
        <v>518</v>
      </c>
      <c r="AF269" s="79" t="s">
        <v>519</v>
      </c>
      <c r="AG269" s="79" t="s">
        <v>520</v>
      </c>
      <c r="AH269" s="79"/>
      <c r="AI269" s="53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</row>
    <row r="270" spans="1:110" ht="13.8" x14ac:dyDescent="0.25">
      <c r="A270" s="24">
        <v>1109040</v>
      </c>
      <c r="B270" s="11" t="s">
        <v>30</v>
      </c>
      <c r="C270" s="16" t="s">
        <v>522</v>
      </c>
      <c r="D270" s="11" t="s">
        <v>523</v>
      </c>
      <c r="E270" s="10" t="s">
        <v>524</v>
      </c>
      <c r="F270" s="10" t="s">
        <v>34</v>
      </c>
      <c r="G270" s="55" t="str">
        <f t="shared" ref="G270:G313" si="9">IF(U270="Obsolete",U270,U270+V270)</f>
        <v>Obsolete</v>
      </c>
      <c r="H270" s="10">
        <v>6</v>
      </c>
      <c r="I270" s="13">
        <v>1500</v>
      </c>
      <c r="J270" s="56"/>
      <c r="K270" s="57"/>
      <c r="M270" s="14"/>
      <c r="N270" s="14"/>
      <c r="O270" s="14">
        <v>2.0499999999999998</v>
      </c>
      <c r="P270" s="14"/>
      <c r="Q270" s="14"/>
      <c r="R270" s="14"/>
      <c r="S270" s="14"/>
      <c r="T270" s="70"/>
      <c r="U270" s="76" t="s">
        <v>54</v>
      </c>
      <c r="V270" s="76"/>
      <c r="W270" s="76" t="s">
        <v>54</v>
      </c>
      <c r="X270" s="76"/>
      <c r="Y270" s="77" t="s">
        <v>35</v>
      </c>
      <c r="Z270" s="78">
        <v>1500</v>
      </c>
      <c r="AA270" s="79" t="s">
        <v>517</v>
      </c>
      <c r="AB270" s="79" t="s">
        <v>37</v>
      </c>
      <c r="AC270" s="79" t="s">
        <v>35</v>
      </c>
      <c r="AD270" s="79"/>
      <c r="AE270" s="79" t="s">
        <v>525</v>
      </c>
      <c r="AF270" s="79" t="s">
        <v>526</v>
      </c>
      <c r="AG270" s="79" t="s">
        <v>527</v>
      </c>
      <c r="AH270" s="79"/>
      <c r="AI270" s="53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</row>
    <row r="271" spans="1:110" ht="13.8" x14ac:dyDescent="0.25">
      <c r="A271" s="24">
        <v>1109041</v>
      </c>
      <c r="B271" s="11" t="s">
        <v>30</v>
      </c>
      <c r="C271" s="16" t="s">
        <v>528</v>
      </c>
      <c r="D271" s="11" t="s">
        <v>523</v>
      </c>
      <c r="E271" s="10" t="s">
        <v>517</v>
      </c>
      <c r="F271" s="10" t="s">
        <v>34</v>
      </c>
      <c r="G271" s="55" t="str">
        <f t="shared" si="9"/>
        <v>Obsolete</v>
      </c>
      <c r="H271" s="10"/>
      <c r="I271" s="13"/>
      <c r="J271" s="56"/>
      <c r="K271" s="57"/>
      <c r="M271" s="14"/>
      <c r="N271" s="14"/>
      <c r="O271" s="14"/>
      <c r="P271" s="14"/>
      <c r="Q271" s="14"/>
      <c r="R271" s="14">
        <v>2.8284200000000004</v>
      </c>
      <c r="S271" s="14"/>
      <c r="T271" s="70"/>
      <c r="U271" s="76" t="s">
        <v>54</v>
      </c>
      <c r="V271" s="76">
        <v>0</v>
      </c>
      <c r="W271" s="76" t="s">
        <v>54</v>
      </c>
      <c r="X271" s="76">
        <v>0</v>
      </c>
      <c r="Y271" s="77" t="s">
        <v>35</v>
      </c>
      <c r="Z271" s="78">
        <v>55</v>
      </c>
      <c r="AA271" s="79" t="s">
        <v>517</v>
      </c>
      <c r="AB271" s="79" t="s">
        <v>35</v>
      </c>
      <c r="AC271" s="79" t="s">
        <v>35</v>
      </c>
      <c r="AD271" s="79"/>
      <c r="AE271" s="79" t="s">
        <v>529</v>
      </c>
      <c r="AF271" s="79" t="s">
        <v>530</v>
      </c>
      <c r="AG271" s="79" t="s">
        <v>531</v>
      </c>
      <c r="AH271" s="79"/>
      <c r="AI271" s="53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</row>
    <row r="272" spans="1:110" ht="13.8" x14ac:dyDescent="0.25">
      <c r="A272" s="24">
        <v>1109042</v>
      </c>
      <c r="B272" s="11" t="s">
        <v>30</v>
      </c>
      <c r="C272" s="16" t="s">
        <v>532</v>
      </c>
      <c r="D272" s="11" t="s">
        <v>523</v>
      </c>
      <c r="E272" s="10" t="s">
        <v>517</v>
      </c>
      <c r="F272" s="10" t="s">
        <v>34</v>
      </c>
      <c r="G272" s="55" t="str">
        <f t="shared" si="9"/>
        <v>Obsolete</v>
      </c>
      <c r="H272" s="10"/>
      <c r="I272" s="13"/>
      <c r="J272" s="56"/>
      <c r="K272" s="57"/>
      <c r="M272" s="14"/>
      <c r="N272" s="14"/>
      <c r="O272" s="14"/>
      <c r="P272" s="14"/>
      <c r="Q272" s="14"/>
      <c r="R272" s="14">
        <v>2.8284200000000004</v>
      </c>
      <c r="S272" s="14"/>
      <c r="T272" s="70"/>
      <c r="U272" s="76" t="s">
        <v>54</v>
      </c>
      <c r="V272" s="76">
        <v>0</v>
      </c>
      <c r="W272" s="76" t="s">
        <v>54</v>
      </c>
      <c r="X272" s="76">
        <v>0</v>
      </c>
      <c r="Y272" s="77" t="s">
        <v>35</v>
      </c>
      <c r="Z272" s="78">
        <v>55</v>
      </c>
      <c r="AA272" s="79" t="s">
        <v>517</v>
      </c>
      <c r="AB272" s="79" t="s">
        <v>35</v>
      </c>
      <c r="AC272" s="79" t="s">
        <v>35</v>
      </c>
      <c r="AD272" s="79"/>
      <c r="AE272" s="79" t="s">
        <v>529</v>
      </c>
      <c r="AF272" s="79" t="s">
        <v>530</v>
      </c>
      <c r="AG272" s="79" t="s">
        <v>531</v>
      </c>
      <c r="AH272" s="79"/>
      <c r="AI272" s="53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</row>
    <row r="273" spans="1:110" ht="13.8" x14ac:dyDescent="0.25">
      <c r="A273" s="24">
        <v>1109043</v>
      </c>
      <c r="B273" s="11" t="s">
        <v>30</v>
      </c>
      <c r="C273" s="16" t="s">
        <v>533</v>
      </c>
      <c r="D273" s="11"/>
      <c r="E273" s="10" t="s">
        <v>189</v>
      </c>
      <c r="F273" s="10" t="s">
        <v>34</v>
      </c>
      <c r="G273" s="55">
        <f t="shared" si="9"/>
        <v>0</v>
      </c>
      <c r="H273" s="10"/>
      <c r="I273" s="13"/>
      <c r="J273" s="56"/>
      <c r="K273" s="57"/>
      <c r="M273" s="14"/>
      <c r="N273" s="14"/>
      <c r="O273" s="14"/>
      <c r="P273" s="14"/>
      <c r="Q273" s="14"/>
      <c r="R273" s="14"/>
      <c r="S273" s="14"/>
      <c r="T273" s="70"/>
      <c r="U273" s="76"/>
      <c r="V273" s="76"/>
      <c r="W273" s="76"/>
      <c r="X273" s="76"/>
      <c r="Y273" s="77"/>
      <c r="Z273" s="78"/>
      <c r="AA273" s="79" t="s">
        <v>189</v>
      </c>
      <c r="AB273" s="79"/>
      <c r="AC273" s="79"/>
      <c r="AD273" s="91" t="s">
        <v>57</v>
      </c>
      <c r="AE273" s="79"/>
      <c r="AF273" s="79"/>
      <c r="AG273" s="79"/>
      <c r="AH273" s="79"/>
      <c r="AI273" s="53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</row>
    <row r="274" spans="1:110" ht="13.8" x14ac:dyDescent="0.25">
      <c r="A274" s="24">
        <v>1109044</v>
      </c>
      <c r="B274" s="11" t="s">
        <v>30</v>
      </c>
      <c r="C274" s="16" t="s">
        <v>534</v>
      </c>
      <c r="D274" s="11" t="s">
        <v>535</v>
      </c>
      <c r="E274" s="10" t="s">
        <v>33</v>
      </c>
      <c r="F274" s="10" t="s">
        <v>34</v>
      </c>
      <c r="G274" s="55">
        <f t="shared" si="9"/>
        <v>0</v>
      </c>
      <c r="H274" s="10"/>
      <c r="I274" s="13"/>
      <c r="J274" s="56"/>
      <c r="K274" s="57"/>
      <c r="M274" s="14"/>
      <c r="N274" s="14"/>
      <c r="O274" s="14"/>
      <c r="P274" s="14"/>
      <c r="Q274" s="14"/>
      <c r="R274" s="14"/>
      <c r="S274" s="14"/>
      <c r="T274" s="70"/>
      <c r="U274" s="76"/>
      <c r="V274" s="76"/>
      <c r="W274" s="76"/>
      <c r="X274" s="76"/>
      <c r="Y274" s="77"/>
      <c r="Z274" s="78"/>
      <c r="AA274" s="79"/>
      <c r="AB274" s="79"/>
      <c r="AC274" s="79"/>
      <c r="AD274" s="79"/>
      <c r="AE274" s="79"/>
      <c r="AF274" s="79"/>
      <c r="AG274" s="79"/>
      <c r="AH274" s="79"/>
      <c r="AI274" s="53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</row>
    <row r="275" spans="1:110" ht="13.8" x14ac:dyDescent="0.25">
      <c r="A275" s="24">
        <v>1109045</v>
      </c>
      <c r="B275" s="11" t="s">
        <v>30</v>
      </c>
      <c r="C275" s="16" t="s">
        <v>536</v>
      </c>
      <c r="D275" s="11" t="s">
        <v>535</v>
      </c>
      <c r="E275" s="10" t="s">
        <v>33</v>
      </c>
      <c r="F275" s="10" t="s">
        <v>34</v>
      </c>
      <c r="G275" s="55">
        <f t="shared" si="9"/>
        <v>0</v>
      </c>
      <c r="H275" s="10"/>
      <c r="I275" s="13"/>
      <c r="J275" s="56"/>
      <c r="K275" s="57"/>
      <c r="M275" s="14"/>
      <c r="N275" s="14"/>
      <c r="O275" s="14"/>
      <c r="P275" s="14"/>
      <c r="Q275" s="14"/>
      <c r="R275" s="14"/>
      <c r="S275" s="14"/>
      <c r="T275" s="70"/>
      <c r="U275" s="76"/>
      <c r="V275" s="76"/>
      <c r="W275" s="76"/>
      <c r="X275" s="76"/>
      <c r="Y275" s="77"/>
      <c r="Z275" s="78"/>
      <c r="AA275" s="79"/>
      <c r="AB275" s="79"/>
      <c r="AC275" s="79"/>
      <c r="AD275" s="79"/>
      <c r="AE275" s="79"/>
      <c r="AF275" s="79"/>
      <c r="AG275" s="79"/>
      <c r="AH275" s="79"/>
      <c r="AI275" s="53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</row>
    <row r="276" spans="1:110" ht="13.8" x14ac:dyDescent="0.25">
      <c r="A276" s="24">
        <v>1109046</v>
      </c>
      <c r="B276" s="11" t="s">
        <v>30</v>
      </c>
      <c r="C276" s="16" t="s">
        <v>537</v>
      </c>
      <c r="D276" s="11" t="s">
        <v>86</v>
      </c>
      <c r="E276" s="10" t="s">
        <v>33</v>
      </c>
      <c r="F276" s="10" t="s">
        <v>34</v>
      </c>
      <c r="G276" s="55">
        <f t="shared" si="9"/>
        <v>3.23</v>
      </c>
      <c r="H276" s="10"/>
      <c r="I276" s="13"/>
      <c r="J276" s="56"/>
      <c r="K276" s="57"/>
      <c r="M276" s="14"/>
      <c r="N276" s="14"/>
      <c r="O276" s="14"/>
      <c r="P276" s="14"/>
      <c r="Q276" s="14"/>
      <c r="R276" s="14"/>
      <c r="S276" s="14"/>
      <c r="T276" s="70"/>
      <c r="U276" s="76">
        <v>3.23</v>
      </c>
      <c r="V276" s="76">
        <v>0</v>
      </c>
      <c r="W276" s="76">
        <v>3.23</v>
      </c>
      <c r="X276" s="76">
        <v>0</v>
      </c>
      <c r="Y276" s="77" t="s">
        <v>35</v>
      </c>
      <c r="Z276" s="78">
        <v>55</v>
      </c>
      <c r="AA276" s="79" t="s">
        <v>121</v>
      </c>
      <c r="AB276" s="79" t="s">
        <v>35</v>
      </c>
      <c r="AC276" s="79" t="s">
        <v>37</v>
      </c>
      <c r="AD276" s="79" t="s">
        <v>38</v>
      </c>
      <c r="AE276" s="79"/>
      <c r="AF276" s="79"/>
      <c r="AG276" s="79"/>
      <c r="AH276" s="79"/>
      <c r="AI276" s="53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</row>
    <row r="277" spans="1:110" ht="13.8" x14ac:dyDescent="0.25">
      <c r="A277" s="122">
        <v>1109047</v>
      </c>
      <c r="B277" s="11" t="s">
        <v>30</v>
      </c>
      <c r="C277" s="16" t="s">
        <v>1631</v>
      </c>
      <c r="D277" s="11" t="s">
        <v>1632</v>
      </c>
      <c r="E277" s="10" t="s">
        <v>1625</v>
      </c>
      <c r="F277" s="10" t="s">
        <v>34</v>
      </c>
      <c r="G277" s="55">
        <v>0</v>
      </c>
      <c r="H277" s="10"/>
      <c r="I277" s="13"/>
      <c r="J277" s="56"/>
      <c r="K277" s="57"/>
      <c r="M277" s="14"/>
      <c r="N277" s="14"/>
      <c r="O277" s="14"/>
      <c r="P277" s="14"/>
      <c r="Q277" s="14"/>
      <c r="R277" s="14"/>
      <c r="S277" s="14"/>
      <c r="T277" s="70"/>
      <c r="U277" s="76"/>
      <c r="V277" s="76"/>
      <c r="W277" s="76"/>
      <c r="X277" s="76"/>
      <c r="Y277" s="77"/>
      <c r="Z277" s="78"/>
      <c r="AA277" s="79"/>
      <c r="AB277" s="79"/>
      <c r="AC277" s="79"/>
      <c r="AD277" s="79"/>
      <c r="AE277" s="79"/>
      <c r="AF277" s="79"/>
      <c r="AG277" s="79"/>
      <c r="AH277" s="79"/>
      <c r="AI277" s="53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</row>
    <row r="278" spans="1:110" ht="13.8" x14ac:dyDescent="0.25">
      <c r="A278" s="24">
        <v>1109100</v>
      </c>
      <c r="B278" s="11" t="s">
        <v>30</v>
      </c>
      <c r="C278" s="16" t="s">
        <v>538</v>
      </c>
      <c r="D278" s="11"/>
      <c r="E278" s="10" t="s">
        <v>539</v>
      </c>
      <c r="F278" s="10" t="s">
        <v>34</v>
      </c>
      <c r="G278" s="55" t="str">
        <f t="shared" si="9"/>
        <v>Obsolete</v>
      </c>
      <c r="H278" s="10"/>
      <c r="I278" s="13"/>
      <c r="J278" s="56"/>
      <c r="K278" s="57"/>
      <c r="M278" s="14"/>
      <c r="N278" s="14"/>
      <c r="O278" s="14">
        <v>2.4</v>
      </c>
      <c r="P278" s="14"/>
      <c r="Q278" s="14"/>
      <c r="R278" s="14"/>
      <c r="S278" s="14"/>
      <c r="T278" s="70"/>
      <c r="U278" s="76" t="s">
        <v>54</v>
      </c>
      <c r="V278" s="76"/>
      <c r="W278" s="76" t="s">
        <v>54</v>
      </c>
      <c r="X278" s="76"/>
      <c r="Y278" s="84"/>
      <c r="Z278" s="78"/>
      <c r="AA278" s="79" t="s">
        <v>36</v>
      </c>
      <c r="AB278" s="79" t="s">
        <v>37</v>
      </c>
      <c r="AC278" s="79" t="s">
        <v>37</v>
      </c>
      <c r="AD278" s="79"/>
      <c r="AE278" s="79" t="s">
        <v>540</v>
      </c>
      <c r="AF278" s="79" t="s">
        <v>541</v>
      </c>
      <c r="AG278" s="79" t="s">
        <v>542</v>
      </c>
      <c r="AH278" s="79"/>
      <c r="AI278" s="53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</row>
    <row r="279" spans="1:110" ht="13.8" x14ac:dyDescent="0.25">
      <c r="A279" s="24">
        <v>1109101</v>
      </c>
      <c r="B279" s="11" t="s">
        <v>30</v>
      </c>
      <c r="C279" s="16" t="s">
        <v>543</v>
      </c>
      <c r="D279" s="11"/>
      <c r="E279" s="10" t="s">
        <v>539</v>
      </c>
      <c r="F279" s="10" t="s">
        <v>34</v>
      </c>
      <c r="G279" s="55" t="str">
        <f t="shared" si="9"/>
        <v>Obsolete</v>
      </c>
      <c r="H279" s="10"/>
      <c r="I279" s="13"/>
      <c r="J279" s="56"/>
      <c r="K279" s="57"/>
      <c r="M279" s="14"/>
      <c r="N279" s="14"/>
      <c r="O279" s="14">
        <v>2.1</v>
      </c>
      <c r="P279" s="14"/>
      <c r="Q279" s="14"/>
      <c r="R279" s="14"/>
      <c r="S279" s="14"/>
      <c r="T279" s="70"/>
      <c r="U279" s="76" t="s">
        <v>54</v>
      </c>
      <c r="V279" s="76"/>
      <c r="W279" s="76" t="s">
        <v>54</v>
      </c>
      <c r="X279" s="76"/>
      <c r="Y279" s="84"/>
      <c r="Z279" s="78"/>
      <c r="AA279" s="79" t="s">
        <v>36</v>
      </c>
      <c r="AB279" s="79" t="s">
        <v>37</v>
      </c>
      <c r="AC279" s="79" t="s">
        <v>37</v>
      </c>
      <c r="AD279" s="79"/>
      <c r="AE279" s="79" t="s">
        <v>540</v>
      </c>
      <c r="AF279" s="79" t="s">
        <v>541</v>
      </c>
      <c r="AG279" s="79" t="s">
        <v>542</v>
      </c>
      <c r="AH279" s="79"/>
      <c r="AI279" s="53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</row>
    <row r="280" spans="1:110" ht="13.8" x14ac:dyDescent="0.25">
      <c r="A280" s="24">
        <v>1109102</v>
      </c>
      <c r="B280" s="11" t="s">
        <v>30</v>
      </c>
      <c r="C280" s="16" t="s">
        <v>544</v>
      </c>
      <c r="D280" s="11" t="s">
        <v>545</v>
      </c>
      <c r="E280" s="10" t="s">
        <v>539</v>
      </c>
      <c r="F280" s="10" t="s">
        <v>34</v>
      </c>
      <c r="G280" s="55">
        <f t="shared" si="9"/>
        <v>2.1</v>
      </c>
      <c r="H280" s="10">
        <v>5</v>
      </c>
      <c r="I280" s="13">
        <v>2500</v>
      </c>
      <c r="J280" s="56"/>
      <c r="K280" s="57"/>
      <c r="M280" s="14"/>
      <c r="N280" s="14"/>
      <c r="O280" s="14"/>
      <c r="P280" s="14">
        <v>2.1</v>
      </c>
      <c r="Q280" s="14"/>
      <c r="R280" s="14"/>
      <c r="S280" s="14"/>
      <c r="T280" s="70"/>
      <c r="U280" s="76">
        <v>2.1</v>
      </c>
      <c r="V280" s="76">
        <v>0</v>
      </c>
      <c r="W280" s="76">
        <v>2.1</v>
      </c>
      <c r="X280" s="76">
        <v>0</v>
      </c>
      <c r="Y280" s="77" t="s">
        <v>35</v>
      </c>
      <c r="Z280" s="78"/>
      <c r="AA280" s="79" t="s">
        <v>36</v>
      </c>
      <c r="AB280" s="79" t="s">
        <v>35</v>
      </c>
      <c r="AC280" s="79" t="s">
        <v>37</v>
      </c>
      <c r="AD280" s="79" t="s">
        <v>38</v>
      </c>
      <c r="AE280" s="79" t="s">
        <v>546</v>
      </c>
      <c r="AF280" s="79" t="s">
        <v>547</v>
      </c>
      <c r="AG280" s="79" t="s">
        <v>548</v>
      </c>
      <c r="AH280" s="79"/>
      <c r="AI280" s="53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</row>
    <row r="281" spans="1:110" ht="13.8" x14ac:dyDescent="0.25">
      <c r="A281" s="24">
        <v>1109110</v>
      </c>
      <c r="B281" s="11" t="s">
        <v>30</v>
      </c>
      <c r="C281" s="16" t="s">
        <v>549</v>
      </c>
      <c r="D281" s="11" t="s">
        <v>550</v>
      </c>
      <c r="E281" s="10" t="s">
        <v>551</v>
      </c>
      <c r="F281" s="10" t="s">
        <v>34</v>
      </c>
      <c r="G281" s="55" t="str">
        <f t="shared" si="9"/>
        <v>Obsolete</v>
      </c>
      <c r="H281" s="10">
        <v>6</v>
      </c>
      <c r="I281" s="13">
        <v>10500</v>
      </c>
      <c r="J281" s="56"/>
      <c r="K281" s="57"/>
      <c r="M281" s="14"/>
      <c r="N281" s="14"/>
      <c r="O281" s="14"/>
      <c r="P281" s="14"/>
      <c r="Q281" s="14"/>
      <c r="R281" s="14"/>
      <c r="S281" s="14"/>
      <c r="T281" s="70">
        <v>1.69</v>
      </c>
      <c r="U281" s="76" t="s">
        <v>54</v>
      </c>
      <c r="V281" s="76"/>
      <c r="W281" s="76" t="s">
        <v>54</v>
      </c>
      <c r="X281" s="76"/>
      <c r="Y281" s="84"/>
      <c r="Z281" s="78">
        <v>1500</v>
      </c>
      <c r="AA281" s="79" t="s">
        <v>517</v>
      </c>
      <c r="AB281" s="79" t="s">
        <v>37</v>
      </c>
      <c r="AC281" s="79" t="s">
        <v>35</v>
      </c>
      <c r="AD281" s="79"/>
      <c r="AE281" s="79" t="s">
        <v>552</v>
      </c>
      <c r="AF281" s="79" t="s">
        <v>553</v>
      </c>
      <c r="AG281" s="79" t="s">
        <v>554</v>
      </c>
      <c r="AH281" s="79"/>
      <c r="AI281" s="53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</row>
    <row r="282" spans="1:110" ht="13.8" x14ac:dyDescent="0.25">
      <c r="A282" s="24">
        <v>1109111</v>
      </c>
      <c r="B282" s="11" t="s">
        <v>30</v>
      </c>
      <c r="C282" s="25" t="s">
        <v>555</v>
      </c>
      <c r="D282" s="26"/>
      <c r="E282" s="10" t="s">
        <v>556</v>
      </c>
      <c r="F282" s="10" t="s">
        <v>557</v>
      </c>
      <c r="G282" s="55" t="e">
        <f t="shared" si="9"/>
        <v>#VALUE!</v>
      </c>
      <c r="H282" s="10">
        <v>0</v>
      </c>
      <c r="I282" s="13">
        <v>0</v>
      </c>
      <c r="J282" s="56"/>
      <c r="K282" s="57"/>
      <c r="M282" s="14"/>
      <c r="N282" s="14"/>
      <c r="O282" s="14"/>
      <c r="P282" s="14"/>
      <c r="Q282" s="14"/>
      <c r="R282" s="14"/>
      <c r="S282" s="14"/>
      <c r="T282" s="70"/>
      <c r="U282" s="76" t="s">
        <v>38</v>
      </c>
      <c r="V282" s="76">
        <v>0</v>
      </c>
      <c r="W282" s="76" t="s">
        <v>38</v>
      </c>
      <c r="X282" s="76">
        <v>0</v>
      </c>
      <c r="Y282" s="97"/>
      <c r="Z282" s="87"/>
      <c r="AA282" s="79"/>
      <c r="AB282" s="79"/>
      <c r="AC282" s="79"/>
      <c r="AD282" s="79"/>
      <c r="AE282" s="79"/>
      <c r="AF282" s="79"/>
      <c r="AG282" s="79"/>
      <c r="AH282" s="79"/>
      <c r="AI282" s="53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</row>
    <row r="283" spans="1:110" ht="13.8" x14ac:dyDescent="0.25">
      <c r="A283" s="24">
        <v>1109112</v>
      </c>
      <c r="B283" s="11" t="s">
        <v>30</v>
      </c>
      <c r="C283" s="25" t="s">
        <v>558</v>
      </c>
      <c r="D283" s="26" t="s">
        <v>32</v>
      </c>
      <c r="E283" s="10" t="s">
        <v>102</v>
      </c>
      <c r="F283" s="10" t="s">
        <v>34</v>
      </c>
      <c r="G283" s="55">
        <f t="shared" si="9"/>
        <v>0</v>
      </c>
      <c r="H283" s="10">
        <v>6</v>
      </c>
      <c r="I283" s="13"/>
      <c r="J283" s="56"/>
      <c r="K283" s="57"/>
      <c r="M283" s="14"/>
      <c r="N283" s="14"/>
      <c r="O283" s="14"/>
      <c r="P283" s="14"/>
      <c r="Q283" s="14"/>
      <c r="R283" s="14"/>
      <c r="S283" s="14"/>
      <c r="T283" s="70"/>
      <c r="U283" s="76">
        <v>0</v>
      </c>
      <c r="V283" s="76">
        <v>0</v>
      </c>
      <c r="W283" s="76">
        <v>0</v>
      </c>
      <c r="X283" s="76">
        <v>0</v>
      </c>
      <c r="Y283" s="97"/>
      <c r="Z283" s="87"/>
      <c r="AA283" s="79" t="s">
        <v>102</v>
      </c>
      <c r="AB283" s="79" t="s">
        <v>35</v>
      </c>
      <c r="AC283" s="79" t="s">
        <v>35</v>
      </c>
      <c r="AD283" s="79"/>
      <c r="AE283" s="79"/>
      <c r="AF283" s="79"/>
      <c r="AG283" s="79"/>
      <c r="AH283" s="79"/>
      <c r="AI283" s="53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</row>
    <row r="284" spans="1:110" ht="13.8" x14ac:dyDescent="0.25">
      <c r="A284" s="24">
        <v>1109113</v>
      </c>
      <c r="B284" s="11" t="s">
        <v>30</v>
      </c>
      <c r="C284" s="16" t="s">
        <v>559</v>
      </c>
      <c r="D284" s="10" t="s">
        <v>138</v>
      </c>
      <c r="E284" s="10" t="s">
        <v>1616</v>
      </c>
      <c r="F284" s="10" t="s">
        <v>34</v>
      </c>
      <c r="G284" s="55">
        <f t="shared" si="9"/>
        <v>3.5811999999999999</v>
      </c>
      <c r="H284" s="10">
        <v>4</v>
      </c>
      <c r="I284" s="13">
        <v>4400</v>
      </c>
      <c r="J284" s="56">
        <v>44441</v>
      </c>
      <c r="K284" s="57">
        <v>3.2111999999999998</v>
      </c>
      <c r="M284" s="14"/>
      <c r="N284" s="14"/>
      <c r="O284" s="14"/>
      <c r="P284" s="14"/>
      <c r="Q284" s="14"/>
      <c r="R284" s="14"/>
      <c r="S284" s="14">
        <v>3.41</v>
      </c>
      <c r="T284" s="70"/>
      <c r="U284" s="76">
        <v>3.41</v>
      </c>
      <c r="V284" s="76">
        <v>0.17119999999999999</v>
      </c>
      <c r="W284" s="76">
        <v>3.41</v>
      </c>
      <c r="X284" s="76">
        <f>0.045+0.1062</f>
        <v>0.1512</v>
      </c>
      <c r="Y284" s="84" t="s">
        <v>35</v>
      </c>
      <c r="Z284" s="78">
        <v>55</v>
      </c>
      <c r="AA284" s="79" t="s">
        <v>36</v>
      </c>
      <c r="AB284" s="79" t="s">
        <v>35</v>
      </c>
      <c r="AC284" s="79" t="s">
        <v>37</v>
      </c>
      <c r="AD284" s="79" t="s">
        <v>38</v>
      </c>
      <c r="AE284" s="79" t="s">
        <v>182</v>
      </c>
      <c r="AF284" s="79" t="s">
        <v>183</v>
      </c>
      <c r="AG284" s="79" t="s">
        <v>184</v>
      </c>
      <c r="AH284" s="79"/>
      <c r="AI284" s="53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</row>
    <row r="285" spans="1:110" ht="13.8" x14ac:dyDescent="0.25">
      <c r="A285" s="24">
        <v>1109114</v>
      </c>
      <c r="B285" s="11" t="s">
        <v>30</v>
      </c>
      <c r="C285" s="16" t="s">
        <v>560</v>
      </c>
      <c r="D285" s="10"/>
      <c r="E285" s="10" t="s">
        <v>561</v>
      </c>
      <c r="F285" s="10" t="s">
        <v>34</v>
      </c>
      <c r="G285" s="55">
        <f t="shared" si="9"/>
        <v>0</v>
      </c>
      <c r="H285" s="10"/>
      <c r="I285" s="13"/>
      <c r="J285" s="56"/>
      <c r="K285" s="57"/>
      <c r="M285" s="14"/>
      <c r="N285" s="14"/>
      <c r="O285" s="14"/>
      <c r="P285" s="14"/>
      <c r="Q285" s="14"/>
      <c r="R285" s="14"/>
      <c r="S285" s="14"/>
      <c r="T285" s="70"/>
      <c r="U285" s="76">
        <v>0</v>
      </c>
      <c r="V285" s="76"/>
      <c r="W285" s="76">
        <v>0</v>
      </c>
      <c r="X285" s="76"/>
      <c r="Y285" s="84"/>
      <c r="Z285" s="78"/>
      <c r="AA285" s="79" t="s">
        <v>36</v>
      </c>
      <c r="AB285" s="79" t="s">
        <v>35</v>
      </c>
      <c r="AC285" s="79" t="s">
        <v>37</v>
      </c>
      <c r="AD285" s="79" t="s">
        <v>38</v>
      </c>
      <c r="AE285" s="79" t="s">
        <v>313</v>
      </c>
      <c r="AF285" s="79" t="s">
        <v>452</v>
      </c>
      <c r="AG285" s="79" t="s">
        <v>453</v>
      </c>
      <c r="AH285" s="79"/>
      <c r="AI285" s="53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</row>
    <row r="286" spans="1:110" ht="13.8" x14ac:dyDescent="0.25">
      <c r="A286" s="24">
        <v>1109115</v>
      </c>
      <c r="B286" s="11" t="s">
        <v>30</v>
      </c>
      <c r="C286" s="16" t="s">
        <v>562</v>
      </c>
      <c r="D286" s="10"/>
      <c r="E286" s="10" t="s">
        <v>563</v>
      </c>
      <c r="F286" s="10" t="s">
        <v>34</v>
      </c>
      <c r="G286" s="55">
        <f t="shared" si="9"/>
        <v>2.4900000000000002</v>
      </c>
      <c r="H286" s="10">
        <v>10</v>
      </c>
      <c r="I286" s="13">
        <v>2202</v>
      </c>
      <c r="J286" s="56"/>
      <c r="K286" s="57"/>
      <c r="M286" s="14"/>
      <c r="N286" s="14"/>
      <c r="O286" s="14"/>
      <c r="P286" s="14">
        <v>2.25</v>
      </c>
      <c r="Q286" s="14"/>
      <c r="R286" s="14"/>
      <c r="S286" s="14"/>
      <c r="T286" s="70"/>
      <c r="U286" s="76">
        <v>2.25</v>
      </c>
      <c r="V286" s="76">
        <v>0.24</v>
      </c>
      <c r="W286" s="76">
        <v>2.25</v>
      </c>
      <c r="X286" s="76">
        <v>0.24</v>
      </c>
      <c r="Y286" s="84"/>
      <c r="Z286" s="78"/>
      <c r="AA286" s="79" t="s">
        <v>36</v>
      </c>
      <c r="AB286" s="79" t="s">
        <v>35</v>
      </c>
      <c r="AC286" s="79" t="s">
        <v>37</v>
      </c>
      <c r="AD286" s="79" t="s">
        <v>38</v>
      </c>
      <c r="AE286" s="79" t="s">
        <v>564</v>
      </c>
      <c r="AF286" s="79" t="s">
        <v>565</v>
      </c>
      <c r="AG286" s="79" t="s">
        <v>566</v>
      </c>
      <c r="AH286" s="79"/>
      <c r="AI286" s="53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</row>
    <row r="287" spans="1:110" ht="13.8" x14ac:dyDescent="0.25">
      <c r="A287" s="24">
        <v>1109116</v>
      </c>
      <c r="B287" s="11" t="s">
        <v>30</v>
      </c>
      <c r="C287" s="16" t="s">
        <v>1623</v>
      </c>
      <c r="D287" s="10" t="s">
        <v>1624</v>
      </c>
      <c r="E287" s="10" t="s">
        <v>1625</v>
      </c>
      <c r="F287" s="10" t="s">
        <v>34</v>
      </c>
      <c r="G287" s="55">
        <v>0</v>
      </c>
      <c r="H287" s="10"/>
      <c r="I287" s="13"/>
      <c r="J287" s="56"/>
      <c r="K287" s="57"/>
      <c r="M287" s="14"/>
      <c r="N287" s="14"/>
      <c r="O287" s="14"/>
      <c r="P287" s="14"/>
      <c r="Q287" s="14"/>
      <c r="R287" s="14"/>
      <c r="S287" s="14"/>
      <c r="T287" s="70"/>
      <c r="U287" s="76"/>
      <c r="V287" s="76"/>
      <c r="W287" s="76"/>
      <c r="X287" s="76"/>
      <c r="Y287" s="84"/>
      <c r="Z287" s="78"/>
      <c r="AA287" s="79"/>
      <c r="AB287" s="79"/>
      <c r="AC287" s="79"/>
      <c r="AD287" s="79"/>
      <c r="AE287" s="79"/>
      <c r="AF287" s="79"/>
      <c r="AG287" s="79"/>
      <c r="AH287" s="79"/>
      <c r="AI287" s="53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</row>
    <row r="288" spans="1:110" ht="13.8" x14ac:dyDescent="0.25">
      <c r="A288" s="24">
        <v>1109117</v>
      </c>
      <c r="B288" s="11" t="s">
        <v>30</v>
      </c>
      <c r="C288" s="16" t="s">
        <v>1628</v>
      </c>
      <c r="D288" s="10" t="s">
        <v>146</v>
      </c>
      <c r="E288" s="10" t="s">
        <v>1625</v>
      </c>
      <c r="F288" s="10" t="s">
        <v>34</v>
      </c>
      <c r="G288" s="55">
        <v>0</v>
      </c>
      <c r="H288" s="10"/>
      <c r="I288" s="13"/>
      <c r="J288" s="56"/>
      <c r="K288" s="57"/>
      <c r="M288" s="14"/>
      <c r="N288" s="14"/>
      <c r="O288" s="14"/>
      <c r="P288" s="14"/>
      <c r="Q288" s="14"/>
      <c r="R288" s="14"/>
      <c r="S288" s="14"/>
      <c r="T288" s="70"/>
      <c r="U288" s="76"/>
      <c r="V288" s="76"/>
      <c r="W288" s="76"/>
      <c r="X288" s="76"/>
      <c r="Y288" s="84"/>
      <c r="Z288" s="78"/>
      <c r="AA288" s="79"/>
      <c r="AB288" s="79"/>
      <c r="AC288" s="79"/>
      <c r="AD288" s="79"/>
      <c r="AE288" s="79"/>
      <c r="AF288" s="79"/>
      <c r="AG288" s="79"/>
      <c r="AH288" s="79"/>
      <c r="AI288" s="53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</row>
    <row r="289" spans="1:110" ht="13.8" x14ac:dyDescent="0.25">
      <c r="A289" s="24">
        <v>1201001</v>
      </c>
      <c r="B289" s="11" t="s">
        <v>567</v>
      </c>
      <c r="C289" s="12" t="s">
        <v>568</v>
      </c>
      <c r="D289" s="11"/>
      <c r="E289" s="10" t="s">
        <v>569</v>
      </c>
      <c r="F289" s="10" t="s">
        <v>34</v>
      </c>
      <c r="G289" s="55" t="str">
        <f t="shared" si="9"/>
        <v>Obsolete</v>
      </c>
      <c r="H289" s="10">
        <v>3</v>
      </c>
      <c r="I289" s="13"/>
      <c r="J289" s="56"/>
      <c r="K289" s="57"/>
      <c r="M289" s="14"/>
      <c r="N289" s="14"/>
      <c r="O289" s="14"/>
      <c r="P289" s="14"/>
      <c r="Q289" s="14"/>
      <c r="R289" s="14"/>
      <c r="S289" s="14"/>
      <c r="T289" s="70"/>
      <c r="U289" s="76" t="s">
        <v>54</v>
      </c>
      <c r="V289" s="76"/>
      <c r="W289" s="76" t="s">
        <v>54</v>
      </c>
      <c r="X289" s="76"/>
      <c r="Y289" s="97"/>
      <c r="Z289" s="78"/>
      <c r="AA289" s="79" t="s">
        <v>55</v>
      </c>
      <c r="AB289" s="79" t="s">
        <v>37</v>
      </c>
      <c r="AC289" s="79" t="s">
        <v>37</v>
      </c>
      <c r="AD289" s="79"/>
      <c r="AE289" s="79"/>
      <c r="AF289" s="79"/>
      <c r="AG289" s="79"/>
      <c r="AH289" s="79"/>
      <c r="AI289" s="53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</row>
    <row r="290" spans="1:110" ht="13.8" x14ac:dyDescent="0.25">
      <c r="A290" s="24">
        <v>1201002</v>
      </c>
      <c r="B290" s="11" t="s">
        <v>567</v>
      </c>
      <c r="C290" s="25" t="s">
        <v>570</v>
      </c>
      <c r="D290" s="26"/>
      <c r="E290" s="10" t="s">
        <v>569</v>
      </c>
      <c r="F290" s="10" t="s">
        <v>34</v>
      </c>
      <c r="G290" s="55" t="str">
        <f t="shared" si="9"/>
        <v>Obsolete</v>
      </c>
      <c r="H290" s="10"/>
      <c r="I290" s="13"/>
      <c r="J290" s="56"/>
      <c r="K290" s="57"/>
      <c r="M290" s="14"/>
      <c r="N290" s="14"/>
      <c r="O290" s="14"/>
      <c r="P290" s="14"/>
      <c r="Q290" s="14"/>
      <c r="R290" s="14"/>
      <c r="S290" s="14"/>
      <c r="T290" s="70"/>
      <c r="U290" s="76" t="s">
        <v>54</v>
      </c>
      <c r="V290" s="76"/>
      <c r="W290" s="76" t="s">
        <v>54</v>
      </c>
      <c r="X290" s="76"/>
      <c r="Y290" s="97"/>
      <c r="Z290" s="87"/>
      <c r="AA290" s="79"/>
      <c r="AB290" s="79" t="s">
        <v>37</v>
      </c>
      <c r="AC290" s="79" t="s">
        <v>37</v>
      </c>
      <c r="AD290" s="79"/>
      <c r="AE290" s="79"/>
      <c r="AF290" s="79"/>
      <c r="AG290" s="79"/>
      <c r="AH290" s="79"/>
      <c r="AI290" s="53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</row>
    <row r="291" spans="1:110" ht="13.8" x14ac:dyDescent="0.25">
      <c r="A291" s="24">
        <v>1201003</v>
      </c>
      <c r="B291" s="11" t="s">
        <v>567</v>
      </c>
      <c r="C291" s="25" t="s">
        <v>571</v>
      </c>
      <c r="D291" s="26"/>
      <c r="E291" s="10" t="s">
        <v>569</v>
      </c>
      <c r="F291" s="10" t="s">
        <v>34</v>
      </c>
      <c r="G291" s="55" t="str">
        <f t="shared" si="9"/>
        <v>Obsolete</v>
      </c>
      <c r="H291" s="10"/>
      <c r="I291" s="13"/>
      <c r="J291" s="56"/>
      <c r="K291" s="57"/>
      <c r="M291" s="14"/>
      <c r="N291" s="14"/>
      <c r="O291" s="14"/>
      <c r="P291" s="14"/>
      <c r="Q291" s="14"/>
      <c r="R291" s="14"/>
      <c r="S291" s="14"/>
      <c r="T291" s="70"/>
      <c r="U291" s="76" t="s">
        <v>54</v>
      </c>
      <c r="V291" s="76"/>
      <c r="W291" s="76" t="s">
        <v>54</v>
      </c>
      <c r="X291" s="76"/>
      <c r="Y291" s="97"/>
      <c r="Z291" s="87"/>
      <c r="AA291" s="79"/>
      <c r="AB291" s="79" t="s">
        <v>37</v>
      </c>
      <c r="AC291" s="79" t="s">
        <v>37</v>
      </c>
      <c r="AD291" s="79"/>
      <c r="AE291" s="79"/>
      <c r="AF291" s="79"/>
      <c r="AG291" s="79"/>
      <c r="AH291" s="79"/>
      <c r="AI291" s="53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</row>
    <row r="292" spans="1:110" ht="13.8" x14ac:dyDescent="0.25">
      <c r="A292" s="24">
        <v>1201004</v>
      </c>
      <c r="B292" s="11" t="s">
        <v>567</v>
      </c>
      <c r="C292" s="12" t="s">
        <v>572</v>
      </c>
      <c r="D292" s="11"/>
      <c r="E292" s="10" t="s">
        <v>569</v>
      </c>
      <c r="F292" s="10" t="s">
        <v>34</v>
      </c>
      <c r="G292" s="55" t="str">
        <f t="shared" si="9"/>
        <v>Obsolete</v>
      </c>
      <c r="H292" s="10"/>
      <c r="I292" s="13"/>
      <c r="J292" s="56"/>
      <c r="K292" s="57"/>
      <c r="M292" s="14"/>
      <c r="N292" s="14"/>
      <c r="O292" s="14"/>
      <c r="P292" s="14"/>
      <c r="Q292" s="14"/>
      <c r="R292" s="14"/>
      <c r="S292" s="14"/>
      <c r="T292" s="70"/>
      <c r="U292" s="76" t="s">
        <v>54</v>
      </c>
      <c r="V292" s="76"/>
      <c r="W292" s="76" t="s">
        <v>54</v>
      </c>
      <c r="X292" s="76"/>
      <c r="Y292" s="97"/>
      <c r="Z292" s="78"/>
      <c r="AA292" s="79" t="s">
        <v>55</v>
      </c>
      <c r="AB292" s="79" t="s">
        <v>37</v>
      </c>
      <c r="AC292" s="79" t="s">
        <v>37</v>
      </c>
      <c r="AD292" s="79"/>
      <c r="AE292" s="79"/>
      <c r="AF292" s="79"/>
      <c r="AG292" s="79"/>
      <c r="AH292" s="79"/>
      <c r="AI292" s="53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</row>
    <row r="293" spans="1:110" ht="13.8" x14ac:dyDescent="0.25">
      <c r="A293" s="24">
        <v>1201005</v>
      </c>
      <c r="B293" s="11" t="s">
        <v>567</v>
      </c>
      <c r="C293" s="25" t="s">
        <v>573</v>
      </c>
      <c r="D293" s="26"/>
      <c r="E293" s="10" t="s">
        <v>569</v>
      </c>
      <c r="F293" s="10" t="s">
        <v>34</v>
      </c>
      <c r="G293" s="55" t="str">
        <f t="shared" si="9"/>
        <v>Obsolete</v>
      </c>
      <c r="H293" s="10"/>
      <c r="I293" s="13"/>
      <c r="J293" s="56"/>
      <c r="K293" s="57"/>
      <c r="M293" s="14"/>
      <c r="N293" s="14"/>
      <c r="O293" s="14"/>
      <c r="P293" s="14"/>
      <c r="Q293" s="14"/>
      <c r="R293" s="14"/>
      <c r="S293" s="14"/>
      <c r="T293" s="70"/>
      <c r="U293" s="76" t="s">
        <v>54</v>
      </c>
      <c r="V293" s="76"/>
      <c r="W293" s="76" t="s">
        <v>54</v>
      </c>
      <c r="X293" s="76"/>
      <c r="Y293" s="97"/>
      <c r="Z293" s="87"/>
      <c r="AA293" s="79"/>
      <c r="AB293" s="79" t="s">
        <v>37</v>
      </c>
      <c r="AC293" s="79" t="s">
        <v>37</v>
      </c>
      <c r="AD293" s="79"/>
      <c r="AE293" s="79"/>
      <c r="AF293" s="79"/>
      <c r="AG293" s="79"/>
      <c r="AH293" s="79"/>
      <c r="AI293" s="53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</row>
    <row r="294" spans="1:110" ht="13.8" x14ac:dyDescent="0.25">
      <c r="A294" s="24">
        <v>1201006</v>
      </c>
      <c r="B294" s="11" t="s">
        <v>567</v>
      </c>
      <c r="C294" s="12" t="s">
        <v>574</v>
      </c>
      <c r="D294" s="11"/>
      <c r="E294" s="10" t="s">
        <v>569</v>
      </c>
      <c r="F294" s="10" t="s">
        <v>34</v>
      </c>
      <c r="G294" s="55" t="str">
        <f t="shared" si="9"/>
        <v>Obsolete</v>
      </c>
      <c r="H294" s="10"/>
      <c r="I294" s="13"/>
      <c r="J294" s="56"/>
      <c r="K294" s="57"/>
      <c r="M294" s="14"/>
      <c r="N294" s="14"/>
      <c r="O294" s="14"/>
      <c r="P294" s="14"/>
      <c r="Q294" s="14"/>
      <c r="R294" s="14"/>
      <c r="S294" s="14"/>
      <c r="T294" s="70"/>
      <c r="U294" s="76" t="s">
        <v>54</v>
      </c>
      <c r="V294" s="76"/>
      <c r="W294" s="76" t="s">
        <v>54</v>
      </c>
      <c r="X294" s="76"/>
      <c r="Y294" s="97"/>
      <c r="Z294" s="78"/>
      <c r="AA294" s="79" t="s">
        <v>55</v>
      </c>
      <c r="AB294" s="79" t="s">
        <v>37</v>
      </c>
      <c r="AC294" s="79" t="s">
        <v>37</v>
      </c>
      <c r="AD294" s="79"/>
      <c r="AE294" s="79"/>
      <c r="AF294" s="79"/>
      <c r="AG294" s="79"/>
      <c r="AH294" s="79"/>
      <c r="AI294" s="53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</row>
    <row r="295" spans="1:110" ht="13.8" x14ac:dyDescent="0.25">
      <c r="A295" s="24">
        <v>1201007</v>
      </c>
      <c r="B295" s="11" t="s">
        <v>567</v>
      </c>
      <c r="C295" s="25" t="s">
        <v>575</v>
      </c>
      <c r="D295" s="26"/>
      <c r="E295" s="10" t="s">
        <v>569</v>
      </c>
      <c r="F295" s="10" t="s">
        <v>34</v>
      </c>
      <c r="G295" s="55" t="str">
        <f t="shared" si="9"/>
        <v>Obsolete</v>
      </c>
      <c r="H295" s="10"/>
      <c r="I295" s="13"/>
      <c r="J295" s="56"/>
      <c r="K295" s="57"/>
      <c r="M295" s="14"/>
      <c r="N295" s="14"/>
      <c r="O295" s="14"/>
      <c r="P295" s="14"/>
      <c r="Q295" s="14"/>
      <c r="R295" s="14"/>
      <c r="S295" s="14"/>
      <c r="T295" s="70"/>
      <c r="U295" s="76" t="s">
        <v>54</v>
      </c>
      <c r="V295" s="76"/>
      <c r="W295" s="76" t="s">
        <v>54</v>
      </c>
      <c r="X295" s="76"/>
      <c r="Y295" s="97"/>
      <c r="Z295" s="87"/>
      <c r="AA295" s="79"/>
      <c r="AB295" s="79" t="s">
        <v>37</v>
      </c>
      <c r="AC295" s="79" t="s">
        <v>37</v>
      </c>
      <c r="AD295" s="79"/>
      <c r="AE295" s="79"/>
      <c r="AF295" s="79"/>
      <c r="AG295" s="79"/>
      <c r="AH295" s="79"/>
      <c r="AI295" s="53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</row>
    <row r="296" spans="1:110" ht="13.8" x14ac:dyDescent="0.25">
      <c r="A296" s="24">
        <v>1201008</v>
      </c>
      <c r="B296" s="11" t="s">
        <v>567</v>
      </c>
      <c r="C296" s="25" t="s">
        <v>576</v>
      </c>
      <c r="D296" s="26"/>
      <c r="E296" s="10" t="s">
        <v>577</v>
      </c>
      <c r="F296" s="10" t="s">
        <v>34</v>
      </c>
      <c r="G296" s="55" t="str">
        <f t="shared" si="9"/>
        <v>Obsolete</v>
      </c>
      <c r="H296" s="10"/>
      <c r="I296" s="13" t="s">
        <v>578</v>
      </c>
      <c r="J296" s="56"/>
      <c r="K296" s="57"/>
      <c r="M296" s="14">
        <v>104.75</v>
      </c>
      <c r="N296" s="14"/>
      <c r="O296" s="14"/>
      <c r="P296" s="14"/>
      <c r="Q296" s="14"/>
      <c r="R296" s="14"/>
      <c r="S296" s="14"/>
      <c r="T296" s="70"/>
      <c r="U296" s="76" t="s">
        <v>54</v>
      </c>
      <c r="V296" s="76"/>
      <c r="W296" s="76" t="s">
        <v>54</v>
      </c>
      <c r="X296" s="76"/>
      <c r="Y296" s="97"/>
      <c r="Z296" s="87"/>
      <c r="AA296" s="79" t="s">
        <v>64</v>
      </c>
      <c r="AB296" s="79" t="s">
        <v>37</v>
      </c>
      <c r="AC296" s="79" t="s">
        <v>37</v>
      </c>
      <c r="AD296" s="79"/>
      <c r="AE296" s="79" t="s">
        <v>579</v>
      </c>
      <c r="AF296" s="79" t="s">
        <v>580</v>
      </c>
      <c r="AG296" s="105" t="s">
        <v>581</v>
      </c>
      <c r="AH296" s="79"/>
      <c r="AI296" s="53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</row>
    <row r="297" spans="1:110" ht="20.399999999999999" x14ac:dyDescent="0.25">
      <c r="A297" s="24">
        <v>1201009</v>
      </c>
      <c r="B297" s="11" t="s">
        <v>567</v>
      </c>
      <c r="C297" s="25" t="s">
        <v>582</v>
      </c>
      <c r="D297" s="26" t="s">
        <v>583</v>
      </c>
      <c r="E297" s="10" t="s">
        <v>584</v>
      </c>
      <c r="F297" s="10" t="s">
        <v>34</v>
      </c>
      <c r="G297" s="55" t="str">
        <f t="shared" si="9"/>
        <v>Obsolete</v>
      </c>
      <c r="H297" s="10">
        <v>4</v>
      </c>
      <c r="I297" s="13">
        <v>39</v>
      </c>
      <c r="J297" s="56"/>
      <c r="K297" s="57"/>
      <c r="M297" s="14">
        <v>37.090000000000003</v>
      </c>
      <c r="N297" s="14"/>
      <c r="O297" s="14"/>
      <c r="P297" s="14"/>
      <c r="Q297" s="14"/>
      <c r="R297" s="14"/>
      <c r="S297" s="14"/>
      <c r="T297" s="70"/>
      <c r="U297" s="76" t="s">
        <v>54</v>
      </c>
      <c r="V297" s="76"/>
      <c r="W297" s="76" t="s">
        <v>54</v>
      </c>
      <c r="X297" s="76"/>
      <c r="Y297" s="97"/>
      <c r="Z297" s="78" t="s">
        <v>585</v>
      </c>
      <c r="AA297" s="79" t="s">
        <v>64</v>
      </c>
      <c r="AB297" s="79" t="s">
        <v>37</v>
      </c>
      <c r="AC297" s="79" t="s">
        <v>37</v>
      </c>
      <c r="AD297" s="79"/>
      <c r="AE297" s="79" t="s">
        <v>586</v>
      </c>
      <c r="AF297" s="106" t="s">
        <v>587</v>
      </c>
      <c r="AG297" s="106" t="s">
        <v>588</v>
      </c>
      <c r="AH297" s="79"/>
      <c r="AI297" s="53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</row>
    <row r="298" spans="1:110" ht="13.8" x14ac:dyDescent="0.25">
      <c r="A298" s="24">
        <v>1201010</v>
      </c>
      <c r="B298" s="11" t="s">
        <v>589</v>
      </c>
      <c r="C298" s="25" t="s">
        <v>590</v>
      </c>
      <c r="D298" s="26" t="s">
        <v>583</v>
      </c>
      <c r="E298" s="10" t="s">
        <v>584</v>
      </c>
      <c r="F298" s="10" t="s">
        <v>34</v>
      </c>
      <c r="G298" s="55" t="str">
        <f t="shared" si="9"/>
        <v>Obsolete</v>
      </c>
      <c r="H298" s="10">
        <v>4</v>
      </c>
      <c r="I298" s="13">
        <v>39</v>
      </c>
      <c r="J298" s="56"/>
      <c r="K298" s="57"/>
      <c r="M298" s="14">
        <v>20.47</v>
      </c>
      <c r="N298" s="14"/>
      <c r="O298" s="14"/>
      <c r="P298" s="14"/>
      <c r="Q298" s="14"/>
      <c r="R298" s="14"/>
      <c r="S298" s="14"/>
      <c r="T298" s="70"/>
      <c r="U298" s="76" t="s">
        <v>54</v>
      </c>
      <c r="V298" s="76"/>
      <c r="W298" s="76" t="s">
        <v>54</v>
      </c>
      <c r="X298" s="76"/>
      <c r="Y298" s="97"/>
      <c r="Z298" s="78" t="s">
        <v>585</v>
      </c>
      <c r="AA298" s="79" t="s">
        <v>64</v>
      </c>
      <c r="AB298" s="79" t="s">
        <v>37</v>
      </c>
      <c r="AC298" s="79" t="s">
        <v>37</v>
      </c>
      <c r="AD298" s="79"/>
      <c r="AE298" s="79" t="s">
        <v>586</v>
      </c>
      <c r="AF298" s="106" t="s">
        <v>587</v>
      </c>
      <c r="AG298" s="106" t="s">
        <v>588</v>
      </c>
      <c r="AH298" s="79"/>
      <c r="AI298" s="53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</row>
    <row r="299" spans="1:110" ht="20.399999999999999" x14ac:dyDescent="0.25">
      <c r="A299" s="24">
        <v>1201011</v>
      </c>
      <c r="B299" s="11" t="s">
        <v>567</v>
      </c>
      <c r="C299" s="25" t="s">
        <v>591</v>
      </c>
      <c r="D299" s="26" t="s">
        <v>583</v>
      </c>
      <c r="E299" s="10" t="s">
        <v>584</v>
      </c>
      <c r="F299" s="10" t="s">
        <v>34</v>
      </c>
      <c r="G299" s="55" t="str">
        <f t="shared" si="9"/>
        <v>Obsolete</v>
      </c>
      <c r="H299" s="10">
        <v>4</v>
      </c>
      <c r="I299" s="13">
        <v>39</v>
      </c>
      <c r="J299" s="56"/>
      <c r="K299" s="57"/>
      <c r="M299" s="14">
        <v>24.1</v>
      </c>
      <c r="N299" s="14"/>
      <c r="O299" s="14"/>
      <c r="P299" s="14"/>
      <c r="Q299" s="14"/>
      <c r="R299" s="14"/>
      <c r="S299" s="14"/>
      <c r="T299" s="70"/>
      <c r="U299" s="76" t="s">
        <v>54</v>
      </c>
      <c r="V299" s="76"/>
      <c r="W299" s="76" t="s">
        <v>54</v>
      </c>
      <c r="X299" s="76"/>
      <c r="Y299" s="97"/>
      <c r="Z299" s="78" t="s">
        <v>585</v>
      </c>
      <c r="AA299" s="79" t="s">
        <v>64</v>
      </c>
      <c r="AB299" s="79" t="s">
        <v>37</v>
      </c>
      <c r="AC299" s="79" t="s">
        <v>37</v>
      </c>
      <c r="AD299" s="79"/>
      <c r="AE299" s="79" t="s">
        <v>586</v>
      </c>
      <c r="AF299" s="106" t="s">
        <v>587</v>
      </c>
      <c r="AG299" s="106" t="s">
        <v>588</v>
      </c>
      <c r="AH299" s="79"/>
      <c r="AI299" s="53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</row>
    <row r="300" spans="1:110" ht="13.8" x14ac:dyDescent="0.25">
      <c r="A300" s="24">
        <v>1201012</v>
      </c>
      <c r="B300" s="11" t="s">
        <v>589</v>
      </c>
      <c r="C300" s="25" t="s">
        <v>592</v>
      </c>
      <c r="D300" s="26" t="s">
        <v>583</v>
      </c>
      <c r="E300" s="10" t="s">
        <v>584</v>
      </c>
      <c r="F300" s="10" t="s">
        <v>34</v>
      </c>
      <c r="G300" s="55" t="str">
        <f t="shared" si="9"/>
        <v>Obsolete</v>
      </c>
      <c r="H300" s="10">
        <v>4</v>
      </c>
      <c r="I300" s="13">
        <v>39</v>
      </c>
      <c r="J300" s="56"/>
      <c r="K300" s="57"/>
      <c r="M300" s="14">
        <v>19.170000000000002</v>
      </c>
      <c r="N300" s="14"/>
      <c r="O300" s="14"/>
      <c r="P300" s="14"/>
      <c r="Q300" s="14"/>
      <c r="R300" s="14"/>
      <c r="S300" s="14"/>
      <c r="T300" s="70"/>
      <c r="U300" s="76" t="s">
        <v>54</v>
      </c>
      <c r="V300" s="76"/>
      <c r="W300" s="76" t="s">
        <v>54</v>
      </c>
      <c r="X300" s="76"/>
      <c r="Y300" s="97"/>
      <c r="Z300" s="78" t="s">
        <v>585</v>
      </c>
      <c r="AA300" s="79" t="s">
        <v>64</v>
      </c>
      <c r="AB300" s="79" t="s">
        <v>37</v>
      </c>
      <c r="AC300" s="79" t="s">
        <v>37</v>
      </c>
      <c r="AD300" s="79"/>
      <c r="AE300" s="79" t="s">
        <v>586</v>
      </c>
      <c r="AF300" s="106" t="s">
        <v>587</v>
      </c>
      <c r="AG300" s="106" t="s">
        <v>588</v>
      </c>
      <c r="AH300" s="79"/>
      <c r="AI300" s="53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</row>
    <row r="301" spans="1:110" ht="20.399999999999999" x14ac:dyDescent="0.25">
      <c r="A301" s="24">
        <v>1201013</v>
      </c>
      <c r="B301" s="26" t="s">
        <v>593</v>
      </c>
      <c r="C301" s="25" t="s">
        <v>594</v>
      </c>
      <c r="D301" s="26" t="s">
        <v>583</v>
      </c>
      <c r="E301" s="10" t="s">
        <v>584</v>
      </c>
      <c r="F301" s="10" t="s">
        <v>34</v>
      </c>
      <c r="G301" s="55" t="str">
        <f t="shared" si="9"/>
        <v>Obsolete</v>
      </c>
      <c r="H301" s="10">
        <v>4</v>
      </c>
      <c r="I301" s="13">
        <v>39</v>
      </c>
      <c r="J301" s="56"/>
      <c r="K301" s="57"/>
      <c r="M301" s="14">
        <v>27.4</v>
      </c>
      <c r="N301" s="14"/>
      <c r="O301" s="14"/>
      <c r="P301" s="14"/>
      <c r="Q301" s="14"/>
      <c r="R301" s="14"/>
      <c r="S301" s="14"/>
      <c r="T301" s="70"/>
      <c r="U301" s="76" t="s">
        <v>54</v>
      </c>
      <c r="V301" s="76"/>
      <c r="W301" s="76" t="s">
        <v>54</v>
      </c>
      <c r="X301" s="76"/>
      <c r="Y301" s="97"/>
      <c r="Z301" s="78" t="s">
        <v>585</v>
      </c>
      <c r="AA301" s="79" t="s">
        <v>64</v>
      </c>
      <c r="AB301" s="79" t="s">
        <v>37</v>
      </c>
      <c r="AC301" s="79" t="s">
        <v>37</v>
      </c>
      <c r="AD301" s="79"/>
      <c r="AE301" s="79" t="s">
        <v>586</v>
      </c>
      <c r="AF301" s="106" t="s">
        <v>587</v>
      </c>
      <c r="AG301" s="106" t="s">
        <v>588</v>
      </c>
      <c r="AH301" s="79"/>
      <c r="AI301" s="53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</row>
    <row r="302" spans="1:110" ht="20.399999999999999" x14ac:dyDescent="0.25">
      <c r="A302" s="24">
        <v>1201014</v>
      </c>
      <c r="B302" s="26" t="s">
        <v>589</v>
      </c>
      <c r="C302" s="25" t="s">
        <v>595</v>
      </c>
      <c r="D302" s="26" t="s">
        <v>583</v>
      </c>
      <c r="E302" s="10" t="s">
        <v>584</v>
      </c>
      <c r="F302" s="10" t="s">
        <v>34</v>
      </c>
      <c r="G302" s="55" t="str">
        <f t="shared" si="9"/>
        <v>Obsolete</v>
      </c>
      <c r="H302" s="10">
        <v>4</v>
      </c>
      <c r="I302" s="13">
        <v>39</v>
      </c>
      <c r="J302" s="56"/>
      <c r="K302" s="57"/>
      <c r="M302" s="14">
        <v>19.329999999999998</v>
      </c>
      <c r="N302" s="14"/>
      <c r="O302" s="14"/>
      <c r="P302" s="14"/>
      <c r="Q302" s="14"/>
      <c r="R302" s="14"/>
      <c r="S302" s="14"/>
      <c r="T302" s="70"/>
      <c r="U302" s="76" t="s">
        <v>54</v>
      </c>
      <c r="V302" s="76"/>
      <c r="W302" s="76" t="s">
        <v>54</v>
      </c>
      <c r="X302" s="76"/>
      <c r="Y302" s="97"/>
      <c r="Z302" s="78" t="s">
        <v>585</v>
      </c>
      <c r="AA302" s="79" t="s">
        <v>64</v>
      </c>
      <c r="AB302" s="79" t="s">
        <v>37</v>
      </c>
      <c r="AC302" s="79" t="s">
        <v>37</v>
      </c>
      <c r="AD302" s="79"/>
      <c r="AE302" s="79" t="s">
        <v>586</v>
      </c>
      <c r="AF302" s="106" t="s">
        <v>587</v>
      </c>
      <c r="AG302" s="106" t="s">
        <v>588</v>
      </c>
      <c r="AH302" s="79"/>
      <c r="AI302" s="53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</row>
    <row r="303" spans="1:110" ht="20.399999999999999" x14ac:dyDescent="0.25">
      <c r="A303" s="24">
        <v>1201015</v>
      </c>
      <c r="B303" s="26" t="s">
        <v>567</v>
      </c>
      <c r="C303" s="25" t="s">
        <v>596</v>
      </c>
      <c r="D303" s="26"/>
      <c r="E303" s="10" t="s">
        <v>597</v>
      </c>
      <c r="F303" s="10" t="s">
        <v>34</v>
      </c>
      <c r="G303" s="55" t="str">
        <f t="shared" si="9"/>
        <v>Obsolete</v>
      </c>
      <c r="H303" s="10"/>
      <c r="I303" s="13"/>
      <c r="J303" s="56"/>
      <c r="K303" s="57"/>
      <c r="M303" s="14"/>
      <c r="N303" s="14"/>
      <c r="O303" s="14"/>
      <c r="P303" s="14"/>
      <c r="Q303" s="14"/>
      <c r="R303" s="14"/>
      <c r="S303" s="14"/>
      <c r="T303" s="70"/>
      <c r="U303" s="76" t="s">
        <v>54</v>
      </c>
      <c r="V303" s="76"/>
      <c r="W303" s="76" t="s">
        <v>54</v>
      </c>
      <c r="X303" s="76"/>
      <c r="Y303" s="97"/>
      <c r="Z303" s="87"/>
      <c r="AA303" s="79" t="s">
        <v>64</v>
      </c>
      <c r="AB303" s="79" t="s">
        <v>37</v>
      </c>
      <c r="AC303" s="79" t="s">
        <v>37</v>
      </c>
      <c r="AD303" s="79"/>
      <c r="AE303" s="79"/>
      <c r="AF303" s="79"/>
      <c r="AG303" s="79"/>
      <c r="AH303" s="79"/>
      <c r="AI303" s="53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</row>
    <row r="304" spans="1:110" ht="20.399999999999999" x14ac:dyDescent="0.25">
      <c r="A304" s="24">
        <v>1201016</v>
      </c>
      <c r="B304" s="26" t="s">
        <v>567</v>
      </c>
      <c r="C304" s="25" t="s">
        <v>598</v>
      </c>
      <c r="D304" s="26"/>
      <c r="E304" s="10" t="s">
        <v>597</v>
      </c>
      <c r="F304" s="10" t="s">
        <v>34</v>
      </c>
      <c r="G304" s="55" t="str">
        <f t="shared" si="9"/>
        <v>Obsolete</v>
      </c>
      <c r="H304" s="10"/>
      <c r="I304" s="13"/>
      <c r="J304" s="56"/>
      <c r="K304" s="57"/>
      <c r="M304" s="14">
        <v>20.329999999999998</v>
      </c>
      <c r="N304" s="14"/>
      <c r="O304" s="14"/>
      <c r="P304" s="14"/>
      <c r="Q304" s="14"/>
      <c r="R304" s="14"/>
      <c r="S304" s="14"/>
      <c r="T304" s="70"/>
      <c r="U304" s="76" t="s">
        <v>54</v>
      </c>
      <c r="V304" s="76"/>
      <c r="W304" s="76" t="s">
        <v>54</v>
      </c>
      <c r="X304" s="76"/>
      <c r="Y304" s="97"/>
      <c r="Z304" s="87"/>
      <c r="AA304" s="79" t="s">
        <v>64</v>
      </c>
      <c r="AB304" s="79" t="s">
        <v>37</v>
      </c>
      <c r="AC304" s="79" t="s">
        <v>37</v>
      </c>
      <c r="AD304" s="79"/>
      <c r="AE304" s="79"/>
      <c r="AF304" s="79"/>
      <c r="AG304" s="79"/>
      <c r="AH304" s="79"/>
      <c r="AI304" s="53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</row>
    <row r="305" spans="1:110" ht="13.8" x14ac:dyDescent="0.25">
      <c r="A305" s="24">
        <v>1201017</v>
      </c>
      <c r="B305" s="26"/>
      <c r="C305" s="25" t="s">
        <v>599</v>
      </c>
      <c r="D305" s="26"/>
      <c r="E305" s="10" t="s">
        <v>597</v>
      </c>
      <c r="F305" s="10" t="s">
        <v>34</v>
      </c>
      <c r="G305" s="55" t="str">
        <f t="shared" si="9"/>
        <v>Obsolete</v>
      </c>
      <c r="H305" s="10"/>
      <c r="I305" s="13"/>
      <c r="J305" s="56"/>
      <c r="K305" s="57"/>
      <c r="M305" s="14">
        <v>19.559999999999999</v>
      </c>
      <c r="N305" s="14"/>
      <c r="O305" s="14"/>
      <c r="P305" s="14"/>
      <c r="Q305" s="14"/>
      <c r="R305" s="14"/>
      <c r="S305" s="14"/>
      <c r="T305" s="70"/>
      <c r="U305" s="76" t="s">
        <v>54</v>
      </c>
      <c r="V305" s="76"/>
      <c r="W305" s="76" t="s">
        <v>54</v>
      </c>
      <c r="X305" s="76"/>
      <c r="Y305" s="97"/>
      <c r="Z305" s="87"/>
      <c r="AA305" s="79" t="s">
        <v>64</v>
      </c>
      <c r="AB305" s="79" t="s">
        <v>37</v>
      </c>
      <c r="AC305" s="79" t="s">
        <v>37</v>
      </c>
      <c r="AD305" s="79"/>
      <c r="AE305" s="79"/>
      <c r="AF305" s="79"/>
      <c r="AG305" s="79"/>
      <c r="AH305" s="79"/>
      <c r="AI305" s="53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</row>
    <row r="306" spans="1:110" ht="13.8" x14ac:dyDescent="0.25">
      <c r="A306" s="24">
        <v>1201018</v>
      </c>
      <c r="B306" s="26" t="s">
        <v>600</v>
      </c>
      <c r="C306" s="25" t="s">
        <v>601</v>
      </c>
      <c r="D306" s="26"/>
      <c r="E306" s="10" t="s">
        <v>597</v>
      </c>
      <c r="F306" s="10" t="s">
        <v>34</v>
      </c>
      <c r="G306" s="55" t="str">
        <f t="shared" si="9"/>
        <v>Obsolete</v>
      </c>
      <c r="H306" s="10"/>
      <c r="I306" s="13"/>
      <c r="J306" s="56"/>
      <c r="K306" s="57"/>
      <c r="M306" s="14"/>
      <c r="N306" s="14"/>
      <c r="O306" s="14"/>
      <c r="P306" s="14"/>
      <c r="Q306" s="14"/>
      <c r="R306" s="14"/>
      <c r="S306" s="14"/>
      <c r="T306" s="70"/>
      <c r="U306" s="76" t="s">
        <v>54</v>
      </c>
      <c r="V306" s="76"/>
      <c r="W306" s="76" t="s">
        <v>54</v>
      </c>
      <c r="X306" s="76"/>
      <c r="Y306" s="97"/>
      <c r="Z306" s="87"/>
      <c r="AA306" s="79" t="s">
        <v>64</v>
      </c>
      <c r="AB306" s="79" t="s">
        <v>37</v>
      </c>
      <c r="AC306" s="79" t="s">
        <v>37</v>
      </c>
      <c r="AD306" s="79"/>
      <c r="AE306" s="79"/>
      <c r="AF306" s="79"/>
      <c r="AG306" s="79"/>
      <c r="AH306" s="79"/>
      <c r="AI306" s="53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</row>
    <row r="307" spans="1:110" ht="20.399999999999999" x14ac:dyDescent="0.25">
      <c r="A307" s="24">
        <v>1201019</v>
      </c>
      <c r="B307" s="26" t="s">
        <v>567</v>
      </c>
      <c r="C307" s="25" t="s">
        <v>602</v>
      </c>
      <c r="D307" s="26" t="s">
        <v>496</v>
      </c>
      <c r="E307" s="10" t="s">
        <v>584</v>
      </c>
      <c r="F307" s="10" t="s">
        <v>34</v>
      </c>
      <c r="G307" s="55" t="str">
        <f t="shared" si="9"/>
        <v>Obsolete</v>
      </c>
      <c r="H307" s="10"/>
      <c r="I307" s="13" t="s">
        <v>603</v>
      </c>
      <c r="J307" s="56"/>
      <c r="K307" s="57"/>
      <c r="M307" s="14">
        <v>20.329999999999998</v>
      </c>
      <c r="N307" s="14"/>
      <c r="O307" s="14"/>
      <c r="P307" s="14"/>
      <c r="Q307" s="14"/>
      <c r="R307" s="14"/>
      <c r="S307" s="14"/>
      <c r="T307" s="70"/>
      <c r="U307" s="76" t="s">
        <v>54</v>
      </c>
      <c r="V307" s="76"/>
      <c r="W307" s="76" t="s">
        <v>54</v>
      </c>
      <c r="X307" s="76"/>
      <c r="Y307" s="97"/>
      <c r="Z307" s="87"/>
      <c r="AA307" s="79" t="s">
        <v>496</v>
      </c>
      <c r="AB307" s="79" t="s">
        <v>37</v>
      </c>
      <c r="AC307" s="79" t="s">
        <v>37</v>
      </c>
      <c r="AD307" s="79"/>
      <c r="AE307" s="79" t="s">
        <v>586</v>
      </c>
      <c r="AF307" s="106" t="s">
        <v>587</v>
      </c>
      <c r="AG307" s="106" t="s">
        <v>588</v>
      </c>
      <c r="AH307" s="79"/>
      <c r="AI307" s="53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</row>
    <row r="308" spans="1:110" ht="30.6" x14ac:dyDescent="0.25">
      <c r="A308" s="24">
        <v>1201020</v>
      </c>
      <c r="B308" s="26" t="s">
        <v>567</v>
      </c>
      <c r="C308" s="25" t="s">
        <v>604</v>
      </c>
      <c r="D308" s="26"/>
      <c r="E308" s="10" t="s">
        <v>584</v>
      </c>
      <c r="F308" s="10" t="s">
        <v>34</v>
      </c>
      <c r="G308" s="55" t="str">
        <f t="shared" si="9"/>
        <v>Obsolete</v>
      </c>
      <c r="H308" s="10"/>
      <c r="I308" s="13" t="s">
        <v>603</v>
      </c>
      <c r="J308" s="56"/>
      <c r="K308" s="57"/>
      <c r="M308" s="14">
        <v>19.559999999999999</v>
      </c>
      <c r="N308" s="14"/>
      <c r="O308" s="14"/>
      <c r="P308" s="14"/>
      <c r="Q308" s="14"/>
      <c r="R308" s="14"/>
      <c r="S308" s="14"/>
      <c r="T308" s="70"/>
      <c r="U308" s="76" t="s">
        <v>54</v>
      </c>
      <c r="V308" s="76"/>
      <c r="W308" s="76" t="s">
        <v>54</v>
      </c>
      <c r="X308" s="76"/>
      <c r="Y308" s="97"/>
      <c r="Z308" s="87"/>
      <c r="AA308" s="79" t="s">
        <v>496</v>
      </c>
      <c r="AB308" s="79" t="s">
        <v>37</v>
      </c>
      <c r="AC308" s="79" t="s">
        <v>37</v>
      </c>
      <c r="AD308" s="79"/>
      <c r="AE308" s="79" t="s">
        <v>586</v>
      </c>
      <c r="AF308" s="106" t="s">
        <v>587</v>
      </c>
      <c r="AG308" s="106" t="s">
        <v>588</v>
      </c>
      <c r="AH308" s="79"/>
      <c r="AI308" s="53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</row>
    <row r="309" spans="1:110" ht="20.399999999999999" x14ac:dyDescent="0.25">
      <c r="A309" s="24">
        <v>1201021</v>
      </c>
      <c r="B309" s="26" t="s">
        <v>567</v>
      </c>
      <c r="C309" s="25" t="s">
        <v>605</v>
      </c>
      <c r="D309" s="26" t="s">
        <v>606</v>
      </c>
      <c r="E309" s="10" t="s">
        <v>584</v>
      </c>
      <c r="F309" s="10" t="s">
        <v>607</v>
      </c>
      <c r="G309" s="55">
        <f t="shared" si="9"/>
        <v>52.2</v>
      </c>
      <c r="H309" s="10">
        <v>4</v>
      </c>
      <c r="I309" s="13" t="s">
        <v>608</v>
      </c>
      <c r="J309" s="56"/>
      <c r="K309" s="57"/>
      <c r="M309" s="14">
        <v>29.53</v>
      </c>
      <c r="N309" s="14"/>
      <c r="O309" s="14"/>
      <c r="P309" s="14"/>
      <c r="Q309" s="14"/>
      <c r="R309" s="14"/>
      <c r="S309" s="14"/>
      <c r="T309" s="70"/>
      <c r="U309" s="76">
        <v>29.53</v>
      </c>
      <c r="V309" s="76">
        <v>22.67</v>
      </c>
      <c r="W309" s="76">
        <v>29.53</v>
      </c>
      <c r="X309" s="76">
        <v>22.67</v>
      </c>
      <c r="Y309" s="77" t="s">
        <v>37</v>
      </c>
      <c r="Z309" s="98" t="s">
        <v>608</v>
      </c>
      <c r="AA309" s="79" t="s">
        <v>58</v>
      </c>
      <c r="AB309" s="79" t="s">
        <v>35</v>
      </c>
      <c r="AC309" s="79" t="s">
        <v>35</v>
      </c>
      <c r="AD309" s="79"/>
      <c r="AE309" s="79" t="s">
        <v>609</v>
      </c>
      <c r="AF309" s="106" t="s">
        <v>610</v>
      </c>
      <c r="AG309" s="105" t="s">
        <v>611</v>
      </c>
      <c r="AH309" s="79"/>
      <c r="AI309" s="53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</row>
    <row r="310" spans="1:110" ht="20.399999999999999" x14ac:dyDescent="0.25">
      <c r="A310" s="24">
        <v>1201022</v>
      </c>
      <c r="B310" s="26" t="s">
        <v>567</v>
      </c>
      <c r="C310" s="25" t="s">
        <v>612</v>
      </c>
      <c r="D310" s="26" t="s">
        <v>606</v>
      </c>
      <c r="E310" s="10" t="s">
        <v>584</v>
      </c>
      <c r="F310" s="10" t="s">
        <v>607</v>
      </c>
      <c r="G310" s="55">
        <f t="shared" si="9"/>
        <v>71.98</v>
      </c>
      <c r="H310" s="10">
        <v>4</v>
      </c>
      <c r="I310" s="13" t="s">
        <v>608</v>
      </c>
      <c r="J310" s="56"/>
      <c r="K310" s="57"/>
      <c r="M310" s="14">
        <v>49.31</v>
      </c>
      <c r="N310" s="14"/>
      <c r="O310" s="14"/>
      <c r="P310" s="14"/>
      <c r="Q310" s="14"/>
      <c r="R310" s="14"/>
      <c r="S310" s="14"/>
      <c r="T310" s="70"/>
      <c r="U310" s="76">
        <v>49.31</v>
      </c>
      <c r="V310" s="76">
        <v>22.67</v>
      </c>
      <c r="W310" s="76">
        <v>49.31</v>
      </c>
      <c r="X310" s="76">
        <v>22.67</v>
      </c>
      <c r="Y310" s="77" t="s">
        <v>37</v>
      </c>
      <c r="Z310" s="98" t="s">
        <v>608</v>
      </c>
      <c r="AA310" s="79" t="s">
        <v>58</v>
      </c>
      <c r="AB310" s="79" t="s">
        <v>35</v>
      </c>
      <c r="AC310" s="79" t="s">
        <v>35</v>
      </c>
      <c r="AD310" s="79"/>
      <c r="AE310" s="79" t="s">
        <v>609</v>
      </c>
      <c r="AF310" s="106" t="s">
        <v>610</v>
      </c>
      <c r="AG310" s="105" t="s">
        <v>611</v>
      </c>
      <c r="AH310" s="79"/>
      <c r="AI310" s="53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</row>
    <row r="311" spans="1:110" ht="13.8" x14ac:dyDescent="0.25">
      <c r="A311" s="24">
        <v>1201023</v>
      </c>
      <c r="B311" s="26" t="s">
        <v>567</v>
      </c>
      <c r="C311" s="25" t="s">
        <v>613</v>
      </c>
      <c r="D311" s="26"/>
      <c r="E311" s="10" t="s">
        <v>614</v>
      </c>
      <c r="F311" s="10" t="s">
        <v>607</v>
      </c>
      <c r="G311" s="55">
        <f t="shared" si="9"/>
        <v>0</v>
      </c>
      <c r="H311" s="10">
        <v>4</v>
      </c>
      <c r="I311" s="13">
        <v>16.2</v>
      </c>
      <c r="J311" s="56"/>
      <c r="K311" s="57"/>
      <c r="M311" s="14"/>
      <c r="N311" s="14"/>
      <c r="O311" s="14"/>
      <c r="P311" s="14"/>
      <c r="Q311" s="14"/>
      <c r="R311" s="14"/>
      <c r="S311" s="14"/>
      <c r="T311" s="70"/>
      <c r="U311" s="76">
        <v>0</v>
      </c>
      <c r="V311" s="76">
        <v>0</v>
      </c>
      <c r="W311" s="76">
        <v>0</v>
      </c>
      <c r="X311" s="76">
        <v>0</v>
      </c>
      <c r="Y311" s="97" t="s">
        <v>35</v>
      </c>
      <c r="Z311" s="98" t="s">
        <v>615</v>
      </c>
      <c r="AA311" s="79" t="s">
        <v>272</v>
      </c>
      <c r="AB311" s="79" t="s">
        <v>35</v>
      </c>
      <c r="AC311" s="79" t="s">
        <v>35</v>
      </c>
      <c r="AD311" s="79"/>
      <c r="AE311" s="79"/>
      <c r="AF311" s="106"/>
      <c r="AG311" s="79"/>
      <c r="AH311" s="79"/>
      <c r="AI311" s="53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</row>
    <row r="312" spans="1:110" ht="20.399999999999999" x14ac:dyDescent="0.25">
      <c r="A312" s="24">
        <v>1201024</v>
      </c>
      <c r="B312" s="26" t="s">
        <v>567</v>
      </c>
      <c r="C312" s="25" t="s">
        <v>616</v>
      </c>
      <c r="D312" s="26"/>
      <c r="E312" s="10" t="s">
        <v>617</v>
      </c>
      <c r="F312" s="10" t="s">
        <v>618</v>
      </c>
      <c r="G312" s="55">
        <f t="shared" si="9"/>
        <v>47.367864693446087</v>
      </c>
      <c r="H312" s="10">
        <v>2</v>
      </c>
      <c r="I312" s="36">
        <v>0.94599999999999995</v>
      </c>
      <c r="J312" s="56"/>
      <c r="K312" s="57"/>
      <c r="M312" s="14"/>
      <c r="N312" s="14"/>
      <c r="O312" s="14"/>
      <c r="P312" s="14"/>
      <c r="Q312" s="14"/>
      <c r="R312" s="14"/>
      <c r="S312" s="14"/>
      <c r="T312" s="70"/>
      <c r="U312" s="76">
        <v>47.367864693446087</v>
      </c>
      <c r="V312" s="76">
        <v>0</v>
      </c>
      <c r="W312" s="76">
        <v>47.367864693446087</v>
      </c>
      <c r="X312" s="76">
        <v>0</v>
      </c>
      <c r="Y312" s="97"/>
      <c r="Z312" s="107">
        <v>0.94599999999999995</v>
      </c>
      <c r="AA312" s="79" t="s">
        <v>121</v>
      </c>
      <c r="AB312" s="79" t="s">
        <v>35</v>
      </c>
      <c r="AC312" s="79"/>
      <c r="AD312" s="79" t="s">
        <v>38</v>
      </c>
      <c r="AE312" s="79" t="s">
        <v>619</v>
      </c>
      <c r="AF312" s="106"/>
      <c r="AG312" s="108" t="s">
        <v>620</v>
      </c>
      <c r="AH312" s="79"/>
      <c r="AI312" s="53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</row>
    <row r="313" spans="1:110" ht="13.8" x14ac:dyDescent="0.25">
      <c r="A313" s="24">
        <v>1201100</v>
      </c>
      <c r="B313" s="26" t="s">
        <v>567</v>
      </c>
      <c r="C313" s="25" t="s">
        <v>621</v>
      </c>
      <c r="D313" s="26"/>
      <c r="E313" s="10" t="s">
        <v>622</v>
      </c>
      <c r="F313" s="10" t="s">
        <v>623</v>
      </c>
      <c r="G313" s="55">
        <f t="shared" si="9"/>
        <v>7.84</v>
      </c>
      <c r="H313" s="10"/>
      <c r="I313" s="13"/>
      <c r="J313" s="56"/>
      <c r="K313" s="57"/>
      <c r="M313" s="14"/>
      <c r="N313" s="14"/>
      <c r="O313" s="14"/>
      <c r="P313" s="14"/>
      <c r="Q313" s="14"/>
      <c r="R313" s="14"/>
      <c r="S313" s="14"/>
      <c r="T313" s="70"/>
      <c r="U313" s="76">
        <v>7.84</v>
      </c>
      <c r="V313" s="76"/>
      <c r="W313" s="76">
        <v>7.84</v>
      </c>
      <c r="X313" s="76"/>
      <c r="Y313" s="97"/>
      <c r="Z313" s="87"/>
      <c r="AA313" s="79"/>
      <c r="AB313" s="79" t="s">
        <v>37</v>
      </c>
      <c r="AC313" s="79" t="s">
        <v>37</v>
      </c>
      <c r="AD313" s="79"/>
      <c r="AE313" s="79"/>
      <c r="AF313" s="106"/>
      <c r="AG313" s="106"/>
      <c r="AH313" s="79"/>
      <c r="AI313" s="53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</row>
    <row r="314" spans="1:110" ht="20.399999999999999" x14ac:dyDescent="0.25">
      <c r="A314" s="24">
        <v>1201025</v>
      </c>
      <c r="B314" s="26" t="s">
        <v>567</v>
      </c>
      <c r="C314" s="25" t="s">
        <v>624</v>
      </c>
      <c r="D314" s="26"/>
      <c r="E314" s="10" t="s">
        <v>289</v>
      </c>
      <c r="F314" s="10"/>
      <c r="G314" s="55"/>
      <c r="H314" s="10"/>
      <c r="I314" s="13"/>
      <c r="J314" s="56"/>
      <c r="K314" s="57"/>
      <c r="M314" s="14"/>
      <c r="N314" s="14"/>
      <c r="O314" s="14"/>
      <c r="P314" s="14"/>
      <c r="Q314" s="14"/>
      <c r="R314" s="14"/>
      <c r="S314" s="14"/>
      <c r="T314" s="70"/>
      <c r="U314" s="76"/>
      <c r="V314" s="76"/>
      <c r="W314" s="76"/>
      <c r="X314" s="76"/>
      <c r="Y314" s="97"/>
      <c r="Z314" s="87"/>
      <c r="AA314" s="79"/>
      <c r="AB314" s="79"/>
      <c r="AC314" s="79"/>
      <c r="AD314" s="79"/>
      <c r="AE314" s="79"/>
      <c r="AF314" s="106"/>
      <c r="AG314" s="106"/>
      <c r="AH314" s="79"/>
      <c r="AI314" s="53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</row>
    <row r="315" spans="1:110" ht="13.8" x14ac:dyDescent="0.25">
      <c r="A315" s="24">
        <v>1201026</v>
      </c>
      <c r="B315" s="26" t="s">
        <v>567</v>
      </c>
      <c r="C315" s="25" t="s">
        <v>625</v>
      </c>
      <c r="D315" s="26"/>
      <c r="E315" s="10" t="s">
        <v>289</v>
      </c>
      <c r="F315" s="10"/>
      <c r="G315" s="55"/>
      <c r="H315" s="10"/>
      <c r="I315" s="13"/>
      <c r="J315" s="56"/>
      <c r="K315" s="57"/>
      <c r="M315" s="14"/>
      <c r="N315" s="14"/>
      <c r="O315" s="14"/>
      <c r="P315" s="14"/>
      <c r="Q315" s="14"/>
      <c r="R315" s="14"/>
      <c r="S315" s="14"/>
      <c r="T315" s="70"/>
      <c r="U315" s="76"/>
      <c r="V315" s="76"/>
      <c r="W315" s="76"/>
      <c r="X315" s="76"/>
      <c r="Y315" s="97"/>
      <c r="Z315" s="87"/>
      <c r="AA315" s="79"/>
      <c r="AB315" s="79"/>
      <c r="AC315" s="79"/>
      <c r="AD315" s="79"/>
      <c r="AE315" s="79"/>
      <c r="AF315" s="106"/>
      <c r="AG315" s="106"/>
      <c r="AH315" s="79"/>
      <c r="AI315" s="53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</row>
    <row r="316" spans="1:110" ht="20.399999999999999" x14ac:dyDescent="0.25">
      <c r="A316" s="24">
        <v>1202001</v>
      </c>
      <c r="B316" s="18" t="s">
        <v>567</v>
      </c>
      <c r="C316" s="31" t="s">
        <v>626</v>
      </c>
      <c r="D316" s="26" t="s">
        <v>627</v>
      </c>
      <c r="E316" s="10" t="s">
        <v>628</v>
      </c>
      <c r="F316" s="10" t="s">
        <v>607</v>
      </c>
      <c r="G316" s="55">
        <f t="shared" ref="G316:G359" si="10">IF(U316="Obsolete",U316,U316+V316)</f>
        <v>536.5</v>
      </c>
      <c r="H316" s="10" t="s">
        <v>629</v>
      </c>
      <c r="I316" s="13" t="s">
        <v>630</v>
      </c>
      <c r="J316" s="56"/>
      <c r="K316" s="57"/>
      <c r="M316" s="14"/>
      <c r="N316" s="14"/>
      <c r="O316" s="14"/>
      <c r="P316" s="14"/>
      <c r="Q316" s="14"/>
      <c r="R316" s="14"/>
      <c r="S316" s="14"/>
      <c r="T316" s="70"/>
      <c r="U316" s="76">
        <v>16.5</v>
      </c>
      <c r="V316" s="76">
        <v>520</v>
      </c>
      <c r="W316" s="76">
        <v>16.5</v>
      </c>
      <c r="X316" s="76">
        <v>520</v>
      </c>
      <c r="Y316" s="77" t="s">
        <v>37</v>
      </c>
      <c r="Z316" s="78" t="s">
        <v>631</v>
      </c>
      <c r="AA316" s="79" t="s">
        <v>277</v>
      </c>
      <c r="AB316" s="79" t="s">
        <v>35</v>
      </c>
      <c r="AC316" s="79" t="s">
        <v>35</v>
      </c>
      <c r="AD316" s="79"/>
      <c r="AE316" s="79" t="s">
        <v>632</v>
      </c>
      <c r="AF316" s="106" t="s">
        <v>633</v>
      </c>
      <c r="AG316" s="79" t="s">
        <v>634</v>
      </c>
      <c r="AH316" s="79"/>
      <c r="AI316" s="53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</row>
    <row r="317" spans="1:110" ht="20.399999999999999" x14ac:dyDescent="0.25">
      <c r="A317" s="24">
        <v>1202002</v>
      </c>
      <c r="B317" s="18" t="s">
        <v>567</v>
      </c>
      <c r="C317" s="31" t="s">
        <v>635</v>
      </c>
      <c r="D317" s="26" t="s">
        <v>627</v>
      </c>
      <c r="E317" s="10" t="s">
        <v>628</v>
      </c>
      <c r="F317" s="10" t="s">
        <v>607</v>
      </c>
      <c r="G317" s="55">
        <f t="shared" si="10"/>
        <v>545</v>
      </c>
      <c r="H317" s="10" t="s">
        <v>629</v>
      </c>
      <c r="I317" s="13" t="s">
        <v>630</v>
      </c>
      <c r="J317" s="56"/>
      <c r="K317" s="57"/>
      <c r="M317" s="14"/>
      <c r="N317" s="14"/>
      <c r="O317" s="14"/>
      <c r="P317" s="14"/>
      <c r="Q317" s="14"/>
      <c r="R317" s="14"/>
      <c r="S317" s="14"/>
      <c r="T317" s="70"/>
      <c r="U317" s="76">
        <v>25</v>
      </c>
      <c r="V317" s="76">
        <v>520</v>
      </c>
      <c r="W317" s="76">
        <v>25</v>
      </c>
      <c r="X317" s="76">
        <v>520</v>
      </c>
      <c r="Y317" s="77" t="s">
        <v>37</v>
      </c>
      <c r="Z317" s="78" t="s">
        <v>631</v>
      </c>
      <c r="AA317" s="79" t="s">
        <v>277</v>
      </c>
      <c r="AB317" s="79" t="s">
        <v>35</v>
      </c>
      <c r="AC317" s="79" t="s">
        <v>35</v>
      </c>
      <c r="AD317" s="79"/>
      <c r="AE317" s="79" t="s">
        <v>632</v>
      </c>
      <c r="AF317" s="106" t="s">
        <v>633</v>
      </c>
      <c r="AG317" s="79" t="s">
        <v>634</v>
      </c>
      <c r="AH317" s="79"/>
      <c r="AI317" s="53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</row>
    <row r="318" spans="1:110" ht="20.399999999999999" x14ac:dyDescent="0.25">
      <c r="A318" s="24">
        <v>1202003</v>
      </c>
      <c r="B318" s="18" t="s">
        <v>567</v>
      </c>
      <c r="C318" s="31" t="s">
        <v>636</v>
      </c>
      <c r="D318" s="26" t="s">
        <v>627</v>
      </c>
      <c r="E318" s="10" t="s">
        <v>628</v>
      </c>
      <c r="F318" s="10" t="s">
        <v>607</v>
      </c>
      <c r="G318" s="55">
        <f t="shared" si="10"/>
        <v>545.29999999999995</v>
      </c>
      <c r="H318" s="10" t="s">
        <v>629</v>
      </c>
      <c r="I318" s="13" t="s">
        <v>630</v>
      </c>
      <c r="J318" s="56"/>
      <c r="K318" s="57"/>
      <c r="M318" s="14"/>
      <c r="N318" s="14"/>
      <c r="O318" s="14"/>
      <c r="P318" s="14"/>
      <c r="Q318" s="14"/>
      <c r="R318" s="14"/>
      <c r="S318" s="14"/>
      <c r="T318" s="70"/>
      <c r="U318" s="76">
        <v>25.3</v>
      </c>
      <c r="V318" s="76">
        <v>520</v>
      </c>
      <c r="W318" s="76">
        <v>25.3</v>
      </c>
      <c r="X318" s="76">
        <v>520</v>
      </c>
      <c r="Y318" s="77" t="s">
        <v>37</v>
      </c>
      <c r="Z318" s="78" t="s">
        <v>631</v>
      </c>
      <c r="AA318" s="79" t="s">
        <v>277</v>
      </c>
      <c r="AB318" s="79" t="s">
        <v>35</v>
      </c>
      <c r="AC318" s="79" t="s">
        <v>35</v>
      </c>
      <c r="AD318" s="79"/>
      <c r="AE318" s="79" t="s">
        <v>632</v>
      </c>
      <c r="AF318" s="106" t="s">
        <v>633</v>
      </c>
      <c r="AG318" s="79" t="s">
        <v>634</v>
      </c>
      <c r="AH318" s="79"/>
      <c r="AI318" s="53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</row>
    <row r="319" spans="1:110" ht="20.399999999999999" x14ac:dyDescent="0.25">
      <c r="A319" s="24">
        <v>1202004</v>
      </c>
      <c r="B319" s="18" t="s">
        <v>567</v>
      </c>
      <c r="C319" s="31" t="s">
        <v>637</v>
      </c>
      <c r="D319" s="26" t="s">
        <v>627</v>
      </c>
      <c r="E319" s="10" t="s">
        <v>628</v>
      </c>
      <c r="F319" s="10" t="s">
        <v>607</v>
      </c>
      <c r="G319" s="55">
        <f t="shared" si="10"/>
        <v>541</v>
      </c>
      <c r="H319" s="10" t="s">
        <v>629</v>
      </c>
      <c r="I319" s="13" t="s">
        <v>630</v>
      </c>
      <c r="J319" s="56"/>
      <c r="K319" s="57"/>
      <c r="M319" s="14"/>
      <c r="N319" s="14"/>
      <c r="O319" s="14"/>
      <c r="P319" s="14"/>
      <c r="Q319" s="14"/>
      <c r="R319" s="14"/>
      <c r="S319" s="14"/>
      <c r="T319" s="70"/>
      <c r="U319" s="76">
        <v>21</v>
      </c>
      <c r="V319" s="76">
        <v>520</v>
      </c>
      <c r="W319" s="76">
        <v>21</v>
      </c>
      <c r="X319" s="76">
        <v>520</v>
      </c>
      <c r="Y319" s="77" t="s">
        <v>37</v>
      </c>
      <c r="Z319" s="78" t="s">
        <v>631</v>
      </c>
      <c r="AA319" s="79" t="s">
        <v>277</v>
      </c>
      <c r="AB319" s="79" t="s">
        <v>35</v>
      </c>
      <c r="AC319" s="79" t="s">
        <v>35</v>
      </c>
      <c r="AD319" s="79"/>
      <c r="AE319" s="79" t="s">
        <v>632</v>
      </c>
      <c r="AF319" s="106" t="s">
        <v>633</v>
      </c>
      <c r="AG319" s="79" t="s">
        <v>634</v>
      </c>
      <c r="AH319" s="79"/>
      <c r="AI319" s="53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</row>
    <row r="320" spans="1:110" ht="20.399999999999999" x14ac:dyDescent="0.25">
      <c r="A320" s="24">
        <v>1202005</v>
      </c>
      <c r="B320" s="18" t="s">
        <v>567</v>
      </c>
      <c r="C320" s="31" t="s">
        <v>638</v>
      </c>
      <c r="D320" s="26" t="s">
        <v>627</v>
      </c>
      <c r="E320" s="10" t="s">
        <v>628</v>
      </c>
      <c r="F320" s="10" t="s">
        <v>607</v>
      </c>
      <c r="G320" s="55">
        <f t="shared" si="10"/>
        <v>534.70000000000005</v>
      </c>
      <c r="H320" s="10" t="s">
        <v>629</v>
      </c>
      <c r="I320" s="13" t="s">
        <v>630</v>
      </c>
      <c r="J320" s="56"/>
      <c r="K320" s="57"/>
      <c r="M320" s="14"/>
      <c r="N320" s="14"/>
      <c r="O320" s="14"/>
      <c r="P320" s="14"/>
      <c r="Q320" s="14"/>
      <c r="R320" s="14"/>
      <c r="S320" s="14"/>
      <c r="T320" s="70"/>
      <c r="U320" s="76">
        <v>14.7</v>
      </c>
      <c r="V320" s="76">
        <v>520</v>
      </c>
      <c r="W320" s="76">
        <v>14.7</v>
      </c>
      <c r="X320" s="76">
        <v>520</v>
      </c>
      <c r="Y320" s="77" t="s">
        <v>37</v>
      </c>
      <c r="Z320" s="78" t="s">
        <v>631</v>
      </c>
      <c r="AA320" s="79" t="s">
        <v>277</v>
      </c>
      <c r="AB320" s="79" t="s">
        <v>35</v>
      </c>
      <c r="AC320" s="79" t="s">
        <v>35</v>
      </c>
      <c r="AD320" s="79"/>
      <c r="AE320" s="79" t="s">
        <v>632</v>
      </c>
      <c r="AF320" s="106" t="s">
        <v>633</v>
      </c>
      <c r="AG320" s="79" t="s">
        <v>634</v>
      </c>
      <c r="AH320" s="79"/>
      <c r="AI320" s="53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</row>
    <row r="321" spans="1:110" ht="20.399999999999999" x14ac:dyDescent="0.25">
      <c r="A321" s="24">
        <v>1202006</v>
      </c>
      <c r="B321" s="18" t="s">
        <v>567</v>
      </c>
      <c r="C321" s="31" t="s">
        <v>639</v>
      </c>
      <c r="D321" s="26" t="s">
        <v>627</v>
      </c>
      <c r="E321" s="10" t="s">
        <v>628</v>
      </c>
      <c r="F321" s="10" t="s">
        <v>607</v>
      </c>
      <c r="G321" s="55">
        <f t="shared" si="10"/>
        <v>541.5</v>
      </c>
      <c r="H321" s="10" t="s">
        <v>629</v>
      </c>
      <c r="I321" s="13" t="s">
        <v>630</v>
      </c>
      <c r="J321" s="56"/>
      <c r="K321" s="57"/>
      <c r="M321" s="14"/>
      <c r="N321" s="14"/>
      <c r="O321" s="14"/>
      <c r="P321" s="14"/>
      <c r="Q321" s="14"/>
      <c r="R321" s="14"/>
      <c r="S321" s="14"/>
      <c r="T321" s="70"/>
      <c r="U321" s="76">
        <v>21.5</v>
      </c>
      <c r="V321" s="76">
        <v>520</v>
      </c>
      <c r="W321" s="76">
        <v>21.5</v>
      </c>
      <c r="X321" s="76">
        <v>520</v>
      </c>
      <c r="Y321" s="77" t="s">
        <v>37</v>
      </c>
      <c r="Z321" s="78" t="s">
        <v>631</v>
      </c>
      <c r="AA321" s="79" t="s">
        <v>277</v>
      </c>
      <c r="AB321" s="79" t="s">
        <v>35</v>
      </c>
      <c r="AC321" s="79" t="s">
        <v>35</v>
      </c>
      <c r="AD321" s="79"/>
      <c r="AE321" s="79" t="s">
        <v>632</v>
      </c>
      <c r="AF321" s="106" t="s">
        <v>633</v>
      </c>
      <c r="AG321" s="79" t="s">
        <v>634</v>
      </c>
      <c r="AH321" s="79"/>
      <c r="AI321" s="53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</row>
    <row r="322" spans="1:110" ht="20.399999999999999" x14ac:dyDescent="0.25">
      <c r="A322" s="24">
        <v>1202007</v>
      </c>
      <c r="B322" s="18" t="s">
        <v>567</v>
      </c>
      <c r="C322" s="31" t="s">
        <v>640</v>
      </c>
      <c r="D322" s="26" t="s">
        <v>627</v>
      </c>
      <c r="E322" s="10" t="s">
        <v>628</v>
      </c>
      <c r="F322" s="10" t="s">
        <v>607</v>
      </c>
      <c r="G322" s="55">
        <f t="shared" si="10"/>
        <v>543.5</v>
      </c>
      <c r="H322" s="10" t="s">
        <v>629</v>
      </c>
      <c r="I322" s="13" t="s">
        <v>630</v>
      </c>
      <c r="J322" s="56"/>
      <c r="K322" s="57"/>
      <c r="M322" s="14"/>
      <c r="N322" s="14"/>
      <c r="O322" s="14"/>
      <c r="P322" s="14"/>
      <c r="Q322" s="14"/>
      <c r="R322" s="14"/>
      <c r="S322" s="14"/>
      <c r="T322" s="70"/>
      <c r="U322" s="76">
        <v>23.5</v>
      </c>
      <c r="V322" s="76">
        <v>520</v>
      </c>
      <c r="W322" s="76">
        <v>23.5</v>
      </c>
      <c r="X322" s="76">
        <v>520</v>
      </c>
      <c r="Y322" s="77" t="s">
        <v>37</v>
      </c>
      <c r="Z322" s="78" t="s">
        <v>631</v>
      </c>
      <c r="AA322" s="79" t="s">
        <v>277</v>
      </c>
      <c r="AB322" s="79" t="s">
        <v>35</v>
      </c>
      <c r="AC322" s="79" t="s">
        <v>35</v>
      </c>
      <c r="AD322" s="79"/>
      <c r="AE322" s="79" t="s">
        <v>632</v>
      </c>
      <c r="AF322" s="106" t="s">
        <v>633</v>
      </c>
      <c r="AG322" s="79" t="s">
        <v>634</v>
      </c>
      <c r="AH322" s="79"/>
      <c r="AI322" s="53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</row>
    <row r="323" spans="1:110" ht="20.399999999999999" x14ac:dyDescent="0.25">
      <c r="A323" s="24">
        <v>1202008</v>
      </c>
      <c r="B323" s="18" t="s">
        <v>589</v>
      </c>
      <c r="C323" s="31" t="s">
        <v>641</v>
      </c>
      <c r="D323" s="26" t="s">
        <v>627</v>
      </c>
      <c r="E323" s="10" t="s">
        <v>628</v>
      </c>
      <c r="F323" s="10" t="s">
        <v>607</v>
      </c>
      <c r="G323" s="55">
        <f t="shared" si="10"/>
        <v>537</v>
      </c>
      <c r="H323" s="10" t="s">
        <v>629</v>
      </c>
      <c r="I323" s="13" t="s">
        <v>630</v>
      </c>
      <c r="J323" s="56"/>
      <c r="K323" s="57"/>
      <c r="M323" s="14"/>
      <c r="N323" s="14"/>
      <c r="O323" s="14"/>
      <c r="P323" s="14"/>
      <c r="Q323" s="14"/>
      <c r="R323" s="14"/>
      <c r="S323" s="14"/>
      <c r="T323" s="70"/>
      <c r="U323" s="76">
        <v>17</v>
      </c>
      <c r="V323" s="76">
        <v>520</v>
      </c>
      <c r="W323" s="76">
        <v>17</v>
      </c>
      <c r="X323" s="76">
        <v>520</v>
      </c>
      <c r="Y323" s="77" t="s">
        <v>37</v>
      </c>
      <c r="Z323" s="78" t="s">
        <v>631</v>
      </c>
      <c r="AA323" s="79" t="s">
        <v>277</v>
      </c>
      <c r="AB323" s="79" t="s">
        <v>35</v>
      </c>
      <c r="AC323" s="79" t="s">
        <v>35</v>
      </c>
      <c r="AD323" s="79"/>
      <c r="AE323" s="79" t="s">
        <v>632</v>
      </c>
      <c r="AF323" s="106" t="s">
        <v>633</v>
      </c>
      <c r="AG323" s="79" t="s">
        <v>634</v>
      </c>
      <c r="AH323" s="79"/>
      <c r="AI323" s="53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</row>
    <row r="324" spans="1:110" ht="13.8" x14ac:dyDescent="0.25">
      <c r="A324" s="24">
        <v>1202009</v>
      </c>
      <c r="B324" s="18" t="s">
        <v>567</v>
      </c>
      <c r="C324" s="31" t="s">
        <v>642</v>
      </c>
      <c r="D324" s="26"/>
      <c r="E324" s="10" t="s">
        <v>628</v>
      </c>
      <c r="F324" s="10" t="s">
        <v>607</v>
      </c>
      <c r="G324" s="55">
        <f t="shared" si="10"/>
        <v>547</v>
      </c>
      <c r="H324" s="10" t="s">
        <v>629</v>
      </c>
      <c r="I324" s="13" t="s">
        <v>630</v>
      </c>
      <c r="J324" s="56"/>
      <c r="K324" s="57"/>
      <c r="M324" s="14"/>
      <c r="N324" s="14"/>
      <c r="O324" s="14"/>
      <c r="P324" s="14"/>
      <c r="Q324" s="14"/>
      <c r="R324" s="14"/>
      <c r="S324" s="14"/>
      <c r="T324" s="70"/>
      <c r="U324" s="76">
        <v>27</v>
      </c>
      <c r="V324" s="76">
        <v>520</v>
      </c>
      <c r="W324" s="76">
        <v>27</v>
      </c>
      <c r="X324" s="76">
        <v>520</v>
      </c>
      <c r="Y324" s="77" t="s">
        <v>37</v>
      </c>
      <c r="Z324" s="78" t="s">
        <v>631</v>
      </c>
      <c r="AA324" s="79" t="s">
        <v>277</v>
      </c>
      <c r="AB324" s="79" t="s">
        <v>35</v>
      </c>
      <c r="AC324" s="79" t="s">
        <v>35</v>
      </c>
      <c r="AD324" s="79"/>
      <c r="AE324" s="79" t="s">
        <v>632</v>
      </c>
      <c r="AF324" s="106" t="s">
        <v>633</v>
      </c>
      <c r="AG324" s="79" t="s">
        <v>634</v>
      </c>
      <c r="AH324" s="79"/>
      <c r="AI324" s="53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</row>
    <row r="325" spans="1:110" ht="13.8" x14ac:dyDescent="0.25">
      <c r="A325" s="24">
        <v>1202010</v>
      </c>
      <c r="B325" s="18" t="s">
        <v>567</v>
      </c>
      <c r="C325" s="31" t="s">
        <v>643</v>
      </c>
      <c r="D325" s="26"/>
      <c r="E325" s="10" t="s">
        <v>189</v>
      </c>
      <c r="F325" s="10" t="s">
        <v>623</v>
      </c>
      <c r="G325" s="55" t="str">
        <f t="shared" si="10"/>
        <v>Obsolete</v>
      </c>
      <c r="H325" s="10"/>
      <c r="I325" s="13"/>
      <c r="J325" s="56"/>
      <c r="K325" s="57"/>
      <c r="M325" s="14"/>
      <c r="N325" s="14"/>
      <c r="O325" s="14"/>
      <c r="P325" s="14"/>
      <c r="Q325" s="14"/>
      <c r="R325" s="14"/>
      <c r="S325" s="14"/>
      <c r="T325" s="70"/>
      <c r="U325" s="76" t="s">
        <v>54</v>
      </c>
      <c r="V325" s="76">
        <v>0</v>
      </c>
      <c r="W325" s="76" t="s">
        <v>54</v>
      </c>
      <c r="X325" s="76">
        <v>0</v>
      </c>
      <c r="Y325" s="77" t="s">
        <v>37</v>
      </c>
      <c r="Z325" s="78"/>
      <c r="AA325" s="79" t="s">
        <v>189</v>
      </c>
      <c r="AB325" s="79" t="s">
        <v>37</v>
      </c>
      <c r="AC325" s="79" t="s">
        <v>35</v>
      </c>
      <c r="AD325" s="91" t="s">
        <v>57</v>
      </c>
      <c r="AE325" s="79"/>
      <c r="AF325" s="106"/>
      <c r="AG325" s="79"/>
      <c r="AH325" s="79"/>
      <c r="AI325" s="53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</row>
    <row r="326" spans="1:110" ht="13.8" x14ac:dyDescent="0.25">
      <c r="A326" s="24">
        <v>1202011</v>
      </c>
      <c r="B326" s="18" t="s">
        <v>567</v>
      </c>
      <c r="C326" s="31" t="s">
        <v>644</v>
      </c>
      <c r="D326" s="26"/>
      <c r="E326" s="10" t="s">
        <v>189</v>
      </c>
      <c r="F326" s="10" t="s">
        <v>623</v>
      </c>
      <c r="G326" s="55" t="str">
        <f t="shared" si="10"/>
        <v>Obsolete</v>
      </c>
      <c r="H326" s="10"/>
      <c r="I326" s="13"/>
      <c r="J326" s="56"/>
      <c r="K326" s="57"/>
      <c r="M326" s="14"/>
      <c r="N326" s="14"/>
      <c r="O326" s="14"/>
      <c r="P326" s="14"/>
      <c r="Q326" s="14"/>
      <c r="R326" s="14"/>
      <c r="S326" s="14"/>
      <c r="T326" s="70"/>
      <c r="U326" s="76" t="s">
        <v>54</v>
      </c>
      <c r="V326" s="76">
        <v>0</v>
      </c>
      <c r="W326" s="76" t="s">
        <v>54</v>
      </c>
      <c r="X326" s="76">
        <v>0</v>
      </c>
      <c r="Y326" s="77" t="s">
        <v>37</v>
      </c>
      <c r="Z326" s="78"/>
      <c r="AA326" s="79" t="s">
        <v>189</v>
      </c>
      <c r="AB326" s="79" t="s">
        <v>37</v>
      </c>
      <c r="AC326" s="79" t="s">
        <v>35</v>
      </c>
      <c r="AD326" s="91" t="s">
        <v>57</v>
      </c>
      <c r="AE326" s="79"/>
      <c r="AF326" s="106"/>
      <c r="AG326" s="79"/>
      <c r="AH326" s="79"/>
      <c r="AI326" s="53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</row>
    <row r="327" spans="1:110" ht="13.8" x14ac:dyDescent="0.25">
      <c r="A327" s="24">
        <v>1203001</v>
      </c>
      <c r="B327" s="11" t="s">
        <v>567</v>
      </c>
      <c r="C327" s="12" t="s">
        <v>645</v>
      </c>
      <c r="D327" s="11"/>
      <c r="E327" s="10" t="s">
        <v>569</v>
      </c>
      <c r="F327" s="10" t="s">
        <v>34</v>
      </c>
      <c r="G327" s="55">
        <f t="shared" si="10"/>
        <v>6</v>
      </c>
      <c r="H327" s="10"/>
      <c r="I327" s="13"/>
      <c r="J327" s="56"/>
      <c r="K327" s="57"/>
      <c r="M327" s="14"/>
      <c r="N327" s="14"/>
      <c r="O327" s="14"/>
      <c r="P327" s="14"/>
      <c r="Q327" s="14"/>
      <c r="R327" s="14"/>
      <c r="S327" s="14"/>
      <c r="T327" s="70"/>
      <c r="U327" s="76">
        <v>6</v>
      </c>
      <c r="V327" s="76"/>
      <c r="W327" s="76">
        <v>6</v>
      </c>
      <c r="X327" s="76"/>
      <c r="Y327" s="97"/>
      <c r="Z327" s="78"/>
      <c r="AA327" s="79" t="s">
        <v>55</v>
      </c>
      <c r="AB327" s="79" t="s">
        <v>37</v>
      </c>
      <c r="AC327" s="79" t="s">
        <v>37</v>
      </c>
      <c r="AD327" s="79"/>
      <c r="AE327" s="79"/>
      <c r="AF327" s="79"/>
      <c r="AG327" s="79"/>
      <c r="AH327" s="79"/>
      <c r="AI327" s="53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</row>
    <row r="328" spans="1:110" ht="13.8" x14ac:dyDescent="0.25">
      <c r="A328" s="24">
        <v>1203002</v>
      </c>
      <c r="B328" s="11" t="s">
        <v>567</v>
      </c>
      <c r="C328" s="12" t="s">
        <v>646</v>
      </c>
      <c r="D328" s="11"/>
      <c r="E328" s="10" t="s">
        <v>569</v>
      </c>
      <c r="F328" s="10" t="s">
        <v>34</v>
      </c>
      <c r="G328" s="55">
        <f t="shared" si="10"/>
        <v>6</v>
      </c>
      <c r="H328" s="10"/>
      <c r="I328" s="13"/>
      <c r="J328" s="56"/>
      <c r="K328" s="57"/>
      <c r="M328" s="14"/>
      <c r="N328" s="14"/>
      <c r="O328" s="14"/>
      <c r="P328" s="14"/>
      <c r="Q328" s="14"/>
      <c r="R328" s="14"/>
      <c r="S328" s="14"/>
      <c r="T328" s="70"/>
      <c r="U328" s="76">
        <v>6</v>
      </c>
      <c r="V328" s="76"/>
      <c r="W328" s="76">
        <v>6</v>
      </c>
      <c r="X328" s="76"/>
      <c r="Y328" s="97"/>
      <c r="Z328" s="78"/>
      <c r="AA328" s="79" t="s">
        <v>55</v>
      </c>
      <c r="AB328" s="79" t="s">
        <v>37</v>
      </c>
      <c r="AC328" s="79" t="s">
        <v>37</v>
      </c>
      <c r="AD328" s="79"/>
      <c r="AE328" s="79"/>
      <c r="AF328" s="79"/>
      <c r="AG328" s="79"/>
      <c r="AH328" s="79"/>
      <c r="AI328" s="53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</row>
    <row r="329" spans="1:110" ht="20.399999999999999" x14ac:dyDescent="0.25">
      <c r="A329" s="24">
        <v>1203003</v>
      </c>
      <c r="B329" s="11" t="s">
        <v>567</v>
      </c>
      <c r="C329" s="25" t="s">
        <v>647</v>
      </c>
      <c r="D329" s="26"/>
      <c r="E329" s="10" t="s">
        <v>648</v>
      </c>
      <c r="F329" s="10" t="s">
        <v>34</v>
      </c>
      <c r="G329" s="55">
        <f t="shared" si="10"/>
        <v>35</v>
      </c>
      <c r="H329" s="10">
        <v>2</v>
      </c>
      <c r="I329" s="13"/>
      <c r="J329" s="56"/>
      <c r="K329" s="57"/>
      <c r="M329" s="14"/>
      <c r="N329" s="14"/>
      <c r="O329" s="14"/>
      <c r="P329" s="14"/>
      <c r="Q329" s="14"/>
      <c r="R329" s="14"/>
      <c r="S329" s="14"/>
      <c r="T329" s="70"/>
      <c r="U329" s="76">
        <v>35</v>
      </c>
      <c r="V329" s="76"/>
      <c r="W329" s="76">
        <v>35</v>
      </c>
      <c r="X329" s="76"/>
      <c r="Y329" s="97"/>
      <c r="Z329" s="107"/>
      <c r="AA329" s="79"/>
      <c r="AB329" s="79" t="s">
        <v>37</v>
      </c>
      <c r="AC329" s="79" t="s">
        <v>37</v>
      </c>
      <c r="AD329" s="79"/>
      <c r="AE329" s="79"/>
      <c r="AF329" s="79"/>
      <c r="AG329" s="79"/>
      <c r="AH329" s="79"/>
      <c r="AI329" s="53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</row>
    <row r="330" spans="1:110" ht="20.399999999999999" x14ac:dyDescent="0.25">
      <c r="A330" s="24">
        <v>1203004</v>
      </c>
      <c r="B330" s="11" t="s">
        <v>567</v>
      </c>
      <c r="C330" s="25" t="s">
        <v>649</v>
      </c>
      <c r="D330" s="26"/>
      <c r="E330" s="10" t="s">
        <v>648</v>
      </c>
      <c r="F330" s="10" t="s">
        <v>34</v>
      </c>
      <c r="G330" s="55">
        <f t="shared" si="10"/>
        <v>35</v>
      </c>
      <c r="H330" s="10">
        <v>2</v>
      </c>
      <c r="I330" s="13"/>
      <c r="J330" s="56"/>
      <c r="K330" s="57"/>
      <c r="M330" s="14"/>
      <c r="N330" s="14"/>
      <c r="O330" s="14"/>
      <c r="P330" s="14"/>
      <c r="Q330" s="14"/>
      <c r="R330" s="14"/>
      <c r="S330" s="14"/>
      <c r="T330" s="70"/>
      <c r="U330" s="76">
        <v>35</v>
      </c>
      <c r="V330" s="76"/>
      <c r="W330" s="76">
        <v>35</v>
      </c>
      <c r="X330" s="76"/>
      <c r="Y330" s="97"/>
      <c r="Z330" s="107"/>
      <c r="AA330" s="79"/>
      <c r="AB330" s="79" t="s">
        <v>37</v>
      </c>
      <c r="AC330" s="79" t="s">
        <v>37</v>
      </c>
      <c r="AD330" s="79"/>
      <c r="AE330" s="79"/>
      <c r="AF330" s="79"/>
      <c r="AG330" s="79"/>
      <c r="AH330" s="79"/>
      <c r="AI330" s="53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</row>
    <row r="331" spans="1:110" ht="13.8" x14ac:dyDescent="0.25">
      <c r="A331" s="24">
        <v>1203005</v>
      </c>
      <c r="B331" s="11" t="s">
        <v>589</v>
      </c>
      <c r="C331" s="12" t="s">
        <v>650</v>
      </c>
      <c r="D331" s="11"/>
      <c r="E331" s="17" t="s">
        <v>57</v>
      </c>
      <c r="F331" s="10" t="s">
        <v>34</v>
      </c>
      <c r="G331" s="55" t="str">
        <f t="shared" si="10"/>
        <v>Obsolete</v>
      </c>
      <c r="H331" s="10"/>
      <c r="I331" s="13"/>
      <c r="J331" s="56"/>
      <c r="K331" s="57"/>
      <c r="M331" s="14"/>
      <c r="N331" s="14"/>
      <c r="O331" s="14"/>
      <c r="P331" s="14"/>
      <c r="Q331" s="14"/>
      <c r="R331" s="14"/>
      <c r="S331" s="14"/>
      <c r="T331" s="70"/>
      <c r="U331" s="76" t="s">
        <v>54</v>
      </c>
      <c r="V331" s="76"/>
      <c r="W331" s="76" t="s">
        <v>54</v>
      </c>
      <c r="X331" s="76"/>
      <c r="Y331" s="97"/>
      <c r="Z331" s="78"/>
      <c r="AA331" s="79" t="s">
        <v>55</v>
      </c>
      <c r="AB331" s="79" t="s">
        <v>37</v>
      </c>
      <c r="AC331" s="79" t="s">
        <v>37</v>
      </c>
      <c r="AD331" s="79"/>
      <c r="AE331" s="79"/>
      <c r="AF331" s="79"/>
      <c r="AG331" s="79"/>
      <c r="AH331" s="79"/>
      <c r="AI331" s="53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</row>
    <row r="332" spans="1:110" ht="13.8" x14ac:dyDescent="0.25">
      <c r="A332" s="24">
        <v>1203006</v>
      </c>
      <c r="B332" s="11"/>
      <c r="C332" s="12" t="s">
        <v>651</v>
      </c>
      <c r="D332" s="11"/>
      <c r="E332" s="17" t="s">
        <v>57</v>
      </c>
      <c r="F332" s="10" t="s">
        <v>557</v>
      </c>
      <c r="G332" s="55" t="str">
        <f t="shared" si="10"/>
        <v>Obsolete</v>
      </c>
      <c r="H332" s="10"/>
      <c r="I332" s="13"/>
      <c r="J332" s="56"/>
      <c r="K332" s="57"/>
      <c r="M332" s="14"/>
      <c r="N332" s="14"/>
      <c r="O332" s="14"/>
      <c r="P332" s="14"/>
      <c r="Q332" s="14"/>
      <c r="R332" s="14"/>
      <c r="S332" s="14"/>
      <c r="T332" s="70"/>
      <c r="U332" s="76" t="s">
        <v>54</v>
      </c>
      <c r="V332" s="76"/>
      <c r="W332" s="76" t="s">
        <v>54</v>
      </c>
      <c r="X332" s="76"/>
      <c r="Y332" s="97"/>
      <c r="Z332" s="78"/>
      <c r="AA332" s="79" t="s">
        <v>55</v>
      </c>
      <c r="AB332" s="79" t="s">
        <v>37</v>
      </c>
      <c r="AC332" s="79" t="s">
        <v>37</v>
      </c>
      <c r="AD332" s="79"/>
      <c r="AE332" s="79"/>
      <c r="AF332" s="79"/>
      <c r="AG332" s="79"/>
      <c r="AH332" s="79"/>
      <c r="AI332" s="53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</row>
    <row r="333" spans="1:110" ht="13.8" x14ac:dyDescent="0.25">
      <c r="A333" s="24">
        <v>1203007</v>
      </c>
      <c r="B333" s="11"/>
      <c r="C333" s="12" t="s">
        <v>652</v>
      </c>
      <c r="D333" s="11"/>
      <c r="E333" s="17" t="s">
        <v>57</v>
      </c>
      <c r="F333" s="10" t="s">
        <v>557</v>
      </c>
      <c r="G333" s="55" t="str">
        <f t="shared" si="10"/>
        <v>Obsolete</v>
      </c>
      <c r="H333" s="10"/>
      <c r="I333" s="13"/>
      <c r="J333" s="56"/>
      <c r="K333" s="57"/>
      <c r="M333" s="14"/>
      <c r="N333" s="14"/>
      <c r="O333" s="14"/>
      <c r="P333" s="14"/>
      <c r="Q333" s="14"/>
      <c r="R333" s="14"/>
      <c r="S333" s="14"/>
      <c r="T333" s="70"/>
      <c r="U333" s="76" t="s">
        <v>54</v>
      </c>
      <c r="V333" s="76"/>
      <c r="W333" s="76" t="s">
        <v>54</v>
      </c>
      <c r="X333" s="76"/>
      <c r="Y333" s="97"/>
      <c r="Z333" s="78"/>
      <c r="AA333" s="79" t="s">
        <v>55</v>
      </c>
      <c r="AB333" s="79" t="s">
        <v>37</v>
      </c>
      <c r="AC333" s="79" t="s">
        <v>37</v>
      </c>
      <c r="AD333" s="79"/>
      <c r="AE333" s="79"/>
      <c r="AF333" s="79"/>
      <c r="AG333" s="79"/>
      <c r="AH333" s="79"/>
      <c r="AI333" s="53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</row>
    <row r="334" spans="1:110" ht="13.8" x14ac:dyDescent="0.25">
      <c r="A334" s="24">
        <v>1203008</v>
      </c>
      <c r="B334" s="11"/>
      <c r="C334" s="12" t="s">
        <v>653</v>
      </c>
      <c r="D334" s="11"/>
      <c r="E334" s="17" t="s">
        <v>57</v>
      </c>
      <c r="F334" s="10" t="s">
        <v>557</v>
      </c>
      <c r="G334" s="55" t="str">
        <f t="shared" si="10"/>
        <v>Obsolete</v>
      </c>
      <c r="H334" s="10"/>
      <c r="I334" s="13"/>
      <c r="J334" s="56"/>
      <c r="K334" s="57"/>
      <c r="M334" s="14"/>
      <c r="N334" s="14"/>
      <c r="O334" s="14"/>
      <c r="P334" s="14"/>
      <c r="Q334" s="14"/>
      <c r="R334" s="14"/>
      <c r="S334" s="14"/>
      <c r="T334" s="70"/>
      <c r="U334" s="76" t="s">
        <v>54</v>
      </c>
      <c r="V334" s="76"/>
      <c r="W334" s="76" t="s">
        <v>54</v>
      </c>
      <c r="X334" s="76"/>
      <c r="Y334" s="97"/>
      <c r="Z334" s="78"/>
      <c r="AA334" s="79" t="s">
        <v>55</v>
      </c>
      <c r="AB334" s="79" t="s">
        <v>37</v>
      </c>
      <c r="AC334" s="79" t="s">
        <v>37</v>
      </c>
      <c r="AD334" s="79"/>
      <c r="AE334" s="79"/>
      <c r="AF334" s="79"/>
      <c r="AG334" s="79"/>
      <c r="AH334" s="79"/>
      <c r="AI334" s="53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</row>
    <row r="335" spans="1:110" ht="13.8" x14ac:dyDescent="0.25">
      <c r="A335" s="24">
        <v>1203009</v>
      </c>
      <c r="B335" s="11"/>
      <c r="C335" s="12" t="s">
        <v>654</v>
      </c>
      <c r="D335" s="11"/>
      <c r="E335" s="17" t="s">
        <v>57</v>
      </c>
      <c r="F335" s="10" t="s">
        <v>34</v>
      </c>
      <c r="G335" s="55" t="str">
        <f t="shared" si="10"/>
        <v>Obsolete</v>
      </c>
      <c r="H335" s="10"/>
      <c r="I335" s="13"/>
      <c r="J335" s="56"/>
      <c r="K335" s="57"/>
      <c r="M335" s="14"/>
      <c r="N335" s="14"/>
      <c r="O335" s="14"/>
      <c r="P335" s="14"/>
      <c r="Q335" s="14"/>
      <c r="R335" s="14"/>
      <c r="S335" s="14"/>
      <c r="T335" s="70"/>
      <c r="U335" s="76" t="s">
        <v>54</v>
      </c>
      <c r="V335" s="76"/>
      <c r="W335" s="76" t="s">
        <v>54</v>
      </c>
      <c r="X335" s="76"/>
      <c r="Y335" s="97"/>
      <c r="Z335" s="78"/>
      <c r="AA335" s="79" t="s">
        <v>55</v>
      </c>
      <c r="AB335" s="79" t="s">
        <v>37</v>
      </c>
      <c r="AC335" s="79" t="s">
        <v>37</v>
      </c>
      <c r="AD335" s="79"/>
      <c r="AE335" s="79"/>
      <c r="AF335" s="79"/>
      <c r="AG335" s="79"/>
      <c r="AH335" s="79"/>
      <c r="AI335" s="53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</row>
    <row r="336" spans="1:110" ht="13.8" x14ac:dyDescent="0.25">
      <c r="A336" s="24">
        <v>1203010</v>
      </c>
      <c r="B336" s="11"/>
      <c r="C336" s="12" t="s">
        <v>655</v>
      </c>
      <c r="D336" s="11"/>
      <c r="E336" s="17" t="s">
        <v>57</v>
      </c>
      <c r="F336" s="10" t="s">
        <v>34</v>
      </c>
      <c r="G336" s="55" t="str">
        <f t="shared" si="10"/>
        <v>Obsolete</v>
      </c>
      <c r="H336" s="10"/>
      <c r="I336" s="13"/>
      <c r="J336" s="56"/>
      <c r="K336" s="57"/>
      <c r="M336" s="14"/>
      <c r="N336" s="14"/>
      <c r="O336" s="14"/>
      <c r="P336" s="14"/>
      <c r="Q336" s="14"/>
      <c r="R336" s="14"/>
      <c r="S336" s="14"/>
      <c r="T336" s="70"/>
      <c r="U336" s="76" t="s">
        <v>54</v>
      </c>
      <c r="V336" s="76"/>
      <c r="W336" s="76" t="s">
        <v>54</v>
      </c>
      <c r="X336" s="76"/>
      <c r="Y336" s="97"/>
      <c r="Z336" s="78"/>
      <c r="AA336" s="79" t="s">
        <v>55</v>
      </c>
      <c r="AB336" s="79" t="s">
        <v>37</v>
      </c>
      <c r="AC336" s="79" t="s">
        <v>37</v>
      </c>
      <c r="AD336" s="79"/>
      <c r="AE336" s="79"/>
      <c r="AF336" s="79"/>
      <c r="AG336" s="79"/>
      <c r="AH336" s="79"/>
      <c r="AI336" s="53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</row>
    <row r="337" spans="1:110" ht="13.8" x14ac:dyDescent="0.25">
      <c r="A337" s="24">
        <v>1203011</v>
      </c>
      <c r="B337" s="26"/>
      <c r="C337" s="25" t="s">
        <v>656</v>
      </c>
      <c r="D337" s="26"/>
      <c r="E337" s="17" t="s">
        <v>57</v>
      </c>
      <c r="F337" s="10" t="s">
        <v>34</v>
      </c>
      <c r="G337" s="55" t="str">
        <f t="shared" si="10"/>
        <v>Obsolete</v>
      </c>
      <c r="H337" s="10"/>
      <c r="I337" s="13"/>
      <c r="J337" s="56"/>
      <c r="K337" s="57"/>
      <c r="M337" s="14"/>
      <c r="N337" s="14"/>
      <c r="O337" s="14"/>
      <c r="P337" s="14"/>
      <c r="Q337" s="14"/>
      <c r="R337" s="14"/>
      <c r="S337" s="14"/>
      <c r="T337" s="70"/>
      <c r="U337" s="76" t="s">
        <v>54</v>
      </c>
      <c r="V337" s="76"/>
      <c r="W337" s="76" t="s">
        <v>54</v>
      </c>
      <c r="X337" s="76"/>
      <c r="Y337" s="97"/>
      <c r="Z337" s="87"/>
      <c r="AA337" s="79"/>
      <c r="AB337" s="79" t="s">
        <v>37</v>
      </c>
      <c r="AC337" s="79" t="s">
        <v>37</v>
      </c>
      <c r="AD337" s="79"/>
      <c r="AE337" s="79"/>
      <c r="AF337" s="79"/>
      <c r="AG337" s="79"/>
      <c r="AH337" s="79"/>
      <c r="AI337" s="53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</row>
    <row r="338" spans="1:110" ht="13.8" x14ac:dyDescent="0.25">
      <c r="A338" s="24">
        <v>1203012</v>
      </c>
      <c r="B338" s="11" t="s">
        <v>657</v>
      </c>
      <c r="C338" s="12" t="s">
        <v>658</v>
      </c>
      <c r="D338" s="11"/>
      <c r="E338" s="10" t="s">
        <v>55</v>
      </c>
      <c r="F338" s="10" t="s">
        <v>34</v>
      </c>
      <c r="G338" s="55" t="str">
        <f t="shared" si="10"/>
        <v>Obsolete</v>
      </c>
      <c r="H338" s="10">
        <v>1</v>
      </c>
      <c r="I338" s="13"/>
      <c r="J338" s="56"/>
      <c r="K338" s="57"/>
      <c r="M338" s="14">
        <v>42.2</v>
      </c>
      <c r="N338" s="14"/>
      <c r="O338" s="14"/>
      <c r="P338" s="14"/>
      <c r="Q338" s="14"/>
      <c r="R338" s="14"/>
      <c r="S338" s="14"/>
      <c r="T338" s="70"/>
      <c r="U338" s="76" t="s">
        <v>54</v>
      </c>
      <c r="V338" s="76"/>
      <c r="W338" s="76" t="s">
        <v>54</v>
      </c>
      <c r="X338" s="76"/>
      <c r="Y338" s="97"/>
      <c r="Z338" s="78"/>
      <c r="AA338" s="79" t="s">
        <v>55</v>
      </c>
      <c r="AB338" s="79" t="s">
        <v>37</v>
      </c>
      <c r="AC338" s="79" t="s">
        <v>37</v>
      </c>
      <c r="AD338" s="79"/>
      <c r="AE338" s="79"/>
      <c r="AF338" s="79"/>
      <c r="AG338" s="79"/>
      <c r="AH338" s="79"/>
      <c r="AI338" s="53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</row>
    <row r="339" spans="1:110" ht="13.8" x14ac:dyDescent="0.25">
      <c r="A339" s="24">
        <v>1203013</v>
      </c>
      <c r="B339" s="11"/>
      <c r="C339" s="12" t="s">
        <v>659</v>
      </c>
      <c r="D339" s="11"/>
      <c r="E339" s="17" t="s">
        <v>57</v>
      </c>
      <c r="F339" s="10" t="s">
        <v>34</v>
      </c>
      <c r="G339" s="55" t="str">
        <f t="shared" si="10"/>
        <v>Obsolete</v>
      </c>
      <c r="H339" s="10"/>
      <c r="I339" s="13"/>
      <c r="J339" s="56"/>
      <c r="K339" s="57"/>
      <c r="M339" s="14"/>
      <c r="N339" s="14"/>
      <c r="O339" s="14"/>
      <c r="P339" s="14"/>
      <c r="Q339" s="14"/>
      <c r="R339" s="14"/>
      <c r="S339" s="14"/>
      <c r="T339" s="70"/>
      <c r="U339" s="76" t="s">
        <v>54</v>
      </c>
      <c r="V339" s="76"/>
      <c r="W339" s="76" t="s">
        <v>54</v>
      </c>
      <c r="X339" s="76"/>
      <c r="Y339" s="97"/>
      <c r="Z339" s="78"/>
      <c r="AA339" s="79" t="s">
        <v>55</v>
      </c>
      <c r="AB339" s="79" t="s">
        <v>37</v>
      </c>
      <c r="AC339" s="79" t="s">
        <v>37</v>
      </c>
      <c r="AD339" s="79"/>
      <c r="AE339" s="79"/>
      <c r="AF339" s="79"/>
      <c r="AG339" s="79"/>
      <c r="AH339" s="79"/>
      <c r="AI339" s="53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</row>
    <row r="340" spans="1:110" ht="13.8" x14ac:dyDescent="0.25">
      <c r="A340" s="24">
        <v>1203014</v>
      </c>
      <c r="B340" s="11"/>
      <c r="C340" s="12" t="s">
        <v>660</v>
      </c>
      <c r="D340" s="11"/>
      <c r="E340" s="17" t="s">
        <v>57</v>
      </c>
      <c r="F340" s="10" t="s">
        <v>34</v>
      </c>
      <c r="G340" s="55" t="str">
        <f t="shared" si="10"/>
        <v>Obsolete</v>
      </c>
      <c r="H340" s="10"/>
      <c r="I340" s="13"/>
      <c r="J340" s="56"/>
      <c r="K340" s="57"/>
      <c r="M340" s="14"/>
      <c r="N340" s="14"/>
      <c r="O340" s="14"/>
      <c r="P340" s="14"/>
      <c r="Q340" s="14"/>
      <c r="R340" s="14"/>
      <c r="S340" s="14"/>
      <c r="T340" s="70"/>
      <c r="U340" s="76" t="s">
        <v>54</v>
      </c>
      <c r="V340" s="76"/>
      <c r="W340" s="76" t="s">
        <v>54</v>
      </c>
      <c r="X340" s="76"/>
      <c r="Y340" s="97"/>
      <c r="Z340" s="78"/>
      <c r="AA340" s="79" t="s">
        <v>55</v>
      </c>
      <c r="AB340" s="79" t="s">
        <v>37</v>
      </c>
      <c r="AC340" s="79" t="s">
        <v>37</v>
      </c>
      <c r="AD340" s="79"/>
      <c r="AE340" s="79"/>
      <c r="AF340" s="79"/>
      <c r="AG340" s="79"/>
      <c r="AH340" s="79"/>
      <c r="AI340" s="53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</row>
    <row r="341" spans="1:110" ht="13.8" x14ac:dyDescent="0.25">
      <c r="A341" s="24">
        <v>1203015</v>
      </c>
      <c r="B341" s="11"/>
      <c r="C341" s="12" t="s">
        <v>661</v>
      </c>
      <c r="D341" s="11"/>
      <c r="E341" s="17" t="s">
        <v>57</v>
      </c>
      <c r="F341" s="10" t="s">
        <v>34</v>
      </c>
      <c r="G341" s="55" t="str">
        <f t="shared" si="10"/>
        <v>Obsolete</v>
      </c>
      <c r="H341" s="10"/>
      <c r="I341" s="13"/>
      <c r="J341" s="56"/>
      <c r="K341" s="57"/>
      <c r="M341" s="14"/>
      <c r="N341" s="14"/>
      <c r="O341" s="14"/>
      <c r="P341" s="14"/>
      <c r="Q341" s="14"/>
      <c r="R341" s="14"/>
      <c r="S341" s="14"/>
      <c r="T341" s="70"/>
      <c r="U341" s="76" t="s">
        <v>54</v>
      </c>
      <c r="V341" s="76"/>
      <c r="W341" s="76" t="s">
        <v>54</v>
      </c>
      <c r="X341" s="76"/>
      <c r="Y341" s="97"/>
      <c r="Z341" s="78"/>
      <c r="AA341" s="79" t="s">
        <v>55</v>
      </c>
      <c r="AB341" s="79" t="s">
        <v>37</v>
      </c>
      <c r="AC341" s="79" t="s">
        <v>37</v>
      </c>
      <c r="AD341" s="79"/>
      <c r="AE341" s="79"/>
      <c r="AF341" s="79"/>
      <c r="AG341" s="79"/>
      <c r="AH341" s="79"/>
      <c r="AI341" s="53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</row>
    <row r="342" spans="1:110" ht="20.399999999999999" x14ac:dyDescent="0.25">
      <c r="A342" s="24">
        <v>1203016</v>
      </c>
      <c r="B342" s="26"/>
      <c r="C342" s="25" t="s">
        <v>662</v>
      </c>
      <c r="D342" s="26"/>
      <c r="E342" s="17" t="s">
        <v>57</v>
      </c>
      <c r="F342" s="10" t="s">
        <v>34</v>
      </c>
      <c r="G342" s="55" t="str">
        <f t="shared" si="10"/>
        <v>Obsolete</v>
      </c>
      <c r="H342" s="10"/>
      <c r="I342" s="13"/>
      <c r="J342" s="56"/>
      <c r="K342" s="57"/>
      <c r="M342" s="14"/>
      <c r="N342" s="14"/>
      <c r="O342" s="14"/>
      <c r="P342" s="14"/>
      <c r="Q342" s="14"/>
      <c r="R342" s="14"/>
      <c r="S342" s="14"/>
      <c r="T342" s="70"/>
      <c r="U342" s="76" t="s">
        <v>54</v>
      </c>
      <c r="V342" s="76"/>
      <c r="W342" s="76" t="s">
        <v>54</v>
      </c>
      <c r="X342" s="76"/>
      <c r="Y342" s="97"/>
      <c r="Z342" s="87"/>
      <c r="AA342" s="79"/>
      <c r="AB342" s="79" t="s">
        <v>37</v>
      </c>
      <c r="AC342" s="79" t="s">
        <v>37</v>
      </c>
      <c r="AD342" s="79"/>
      <c r="AE342" s="79"/>
      <c r="AF342" s="79"/>
      <c r="AG342" s="79"/>
      <c r="AH342" s="79"/>
      <c r="AI342" s="53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</row>
    <row r="343" spans="1:110" ht="13.8" x14ac:dyDescent="0.25">
      <c r="A343" s="24">
        <v>1203017</v>
      </c>
      <c r="B343" s="11"/>
      <c r="C343" s="12" t="s">
        <v>663</v>
      </c>
      <c r="D343" s="11"/>
      <c r="E343" s="17" t="s">
        <v>57</v>
      </c>
      <c r="F343" s="10" t="s">
        <v>557</v>
      </c>
      <c r="G343" s="55" t="str">
        <f t="shared" si="10"/>
        <v>Obsolete</v>
      </c>
      <c r="H343" s="10"/>
      <c r="I343" s="13"/>
      <c r="J343" s="56"/>
      <c r="K343" s="57"/>
      <c r="M343" s="14"/>
      <c r="N343" s="14"/>
      <c r="O343" s="14"/>
      <c r="P343" s="14"/>
      <c r="Q343" s="14"/>
      <c r="R343" s="14"/>
      <c r="S343" s="14"/>
      <c r="T343" s="70"/>
      <c r="U343" s="76" t="s">
        <v>54</v>
      </c>
      <c r="V343" s="76"/>
      <c r="W343" s="76" t="s">
        <v>54</v>
      </c>
      <c r="X343" s="76"/>
      <c r="Y343" s="97"/>
      <c r="Z343" s="78"/>
      <c r="AA343" s="79" t="s">
        <v>55</v>
      </c>
      <c r="AB343" s="79" t="s">
        <v>37</v>
      </c>
      <c r="AC343" s="79" t="s">
        <v>37</v>
      </c>
      <c r="AD343" s="79"/>
      <c r="AE343" s="79"/>
      <c r="AF343" s="79"/>
      <c r="AG343" s="79"/>
      <c r="AH343" s="79"/>
      <c r="AI343" s="53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</row>
    <row r="344" spans="1:110" ht="13.8" x14ac:dyDescent="0.25">
      <c r="A344" s="24">
        <v>1203018</v>
      </c>
      <c r="B344" s="11"/>
      <c r="C344" s="12" t="s">
        <v>664</v>
      </c>
      <c r="D344" s="11"/>
      <c r="E344" s="17" t="s">
        <v>57</v>
      </c>
      <c r="F344" s="10" t="s">
        <v>34</v>
      </c>
      <c r="G344" s="55" t="str">
        <f t="shared" si="10"/>
        <v>Obsolete</v>
      </c>
      <c r="H344" s="10"/>
      <c r="I344" s="13"/>
      <c r="J344" s="56"/>
      <c r="K344" s="57"/>
      <c r="M344" s="14"/>
      <c r="N344" s="14"/>
      <c r="O344" s="14"/>
      <c r="P344" s="14"/>
      <c r="Q344" s="14"/>
      <c r="R344" s="14"/>
      <c r="S344" s="14"/>
      <c r="T344" s="70"/>
      <c r="U344" s="76" t="s">
        <v>54</v>
      </c>
      <c r="V344" s="76"/>
      <c r="W344" s="76" t="s">
        <v>54</v>
      </c>
      <c r="X344" s="76"/>
      <c r="Y344" s="97"/>
      <c r="Z344" s="78"/>
      <c r="AA344" s="79" t="s">
        <v>55</v>
      </c>
      <c r="AB344" s="79" t="s">
        <v>37</v>
      </c>
      <c r="AC344" s="79" t="s">
        <v>37</v>
      </c>
      <c r="AD344" s="79"/>
      <c r="AE344" s="79"/>
      <c r="AF344" s="79"/>
      <c r="AG344" s="79"/>
      <c r="AH344" s="79"/>
      <c r="AI344" s="53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</row>
    <row r="345" spans="1:110" ht="13.8" x14ac:dyDescent="0.25">
      <c r="A345" s="24">
        <v>1203020</v>
      </c>
      <c r="B345" s="11"/>
      <c r="C345" s="12" t="s">
        <v>665</v>
      </c>
      <c r="D345" s="11"/>
      <c r="E345" s="17" t="s">
        <v>57</v>
      </c>
      <c r="F345" s="10" t="s">
        <v>34</v>
      </c>
      <c r="G345" s="55" t="str">
        <f t="shared" si="10"/>
        <v>Obsolete</v>
      </c>
      <c r="H345" s="10"/>
      <c r="I345" s="13"/>
      <c r="J345" s="56"/>
      <c r="K345" s="57"/>
      <c r="M345" s="14"/>
      <c r="N345" s="14"/>
      <c r="O345" s="14"/>
      <c r="P345" s="14"/>
      <c r="Q345" s="14"/>
      <c r="R345" s="14"/>
      <c r="S345" s="14"/>
      <c r="T345" s="70"/>
      <c r="U345" s="76" t="s">
        <v>54</v>
      </c>
      <c r="V345" s="76"/>
      <c r="W345" s="76" t="s">
        <v>54</v>
      </c>
      <c r="X345" s="76"/>
      <c r="Y345" s="97"/>
      <c r="Z345" s="78"/>
      <c r="AA345" s="79" t="s">
        <v>55</v>
      </c>
      <c r="AB345" s="79" t="s">
        <v>37</v>
      </c>
      <c r="AC345" s="79" t="s">
        <v>37</v>
      </c>
      <c r="AD345" s="79"/>
      <c r="AE345" s="79"/>
      <c r="AF345" s="79"/>
      <c r="AG345" s="79"/>
      <c r="AH345" s="79"/>
      <c r="AI345" s="53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</row>
    <row r="346" spans="1:110" ht="20.399999999999999" x14ac:dyDescent="0.25">
      <c r="A346" s="24">
        <v>1203021</v>
      </c>
      <c r="B346" s="26"/>
      <c r="C346" s="25" t="s">
        <v>666</v>
      </c>
      <c r="D346" s="26"/>
      <c r="E346" s="17" t="s">
        <v>57</v>
      </c>
      <c r="F346" s="10" t="s">
        <v>34</v>
      </c>
      <c r="G346" s="55" t="str">
        <f t="shared" si="10"/>
        <v>Obsolete</v>
      </c>
      <c r="H346" s="10"/>
      <c r="I346" s="13"/>
      <c r="J346" s="56"/>
      <c r="K346" s="57"/>
      <c r="M346" s="14"/>
      <c r="N346" s="14"/>
      <c r="O346" s="14"/>
      <c r="P346" s="14"/>
      <c r="Q346" s="14"/>
      <c r="R346" s="14"/>
      <c r="S346" s="14"/>
      <c r="T346" s="70"/>
      <c r="U346" s="76" t="s">
        <v>54</v>
      </c>
      <c r="V346" s="76"/>
      <c r="W346" s="76" t="s">
        <v>54</v>
      </c>
      <c r="X346" s="76"/>
      <c r="Y346" s="97"/>
      <c r="Z346" s="87"/>
      <c r="AA346" s="79"/>
      <c r="AB346" s="79" t="s">
        <v>37</v>
      </c>
      <c r="AC346" s="79" t="s">
        <v>37</v>
      </c>
      <c r="AD346" s="79"/>
      <c r="AE346" s="79"/>
      <c r="AF346" s="79"/>
      <c r="AG346" s="79"/>
      <c r="AH346" s="79"/>
      <c r="AI346" s="53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</row>
    <row r="347" spans="1:110" ht="13.8" x14ac:dyDescent="0.25">
      <c r="A347" s="24">
        <v>1203022</v>
      </c>
      <c r="B347" s="11"/>
      <c r="C347" s="12" t="s">
        <v>667</v>
      </c>
      <c r="D347" s="11"/>
      <c r="E347" s="17" t="s">
        <v>57</v>
      </c>
      <c r="F347" s="10" t="s">
        <v>557</v>
      </c>
      <c r="G347" s="55" t="str">
        <f t="shared" si="10"/>
        <v>Obsolete</v>
      </c>
      <c r="H347" s="10"/>
      <c r="I347" s="13"/>
      <c r="J347" s="56"/>
      <c r="K347" s="57"/>
      <c r="M347" s="14"/>
      <c r="N347" s="14"/>
      <c r="O347" s="14"/>
      <c r="P347" s="14"/>
      <c r="Q347" s="14"/>
      <c r="R347" s="14"/>
      <c r="S347" s="14"/>
      <c r="T347" s="70"/>
      <c r="U347" s="76" t="s">
        <v>54</v>
      </c>
      <c r="V347" s="76"/>
      <c r="W347" s="76" t="s">
        <v>54</v>
      </c>
      <c r="X347" s="76"/>
      <c r="Y347" s="97"/>
      <c r="Z347" s="78"/>
      <c r="AA347" s="79" t="s">
        <v>55</v>
      </c>
      <c r="AB347" s="79" t="s">
        <v>37</v>
      </c>
      <c r="AC347" s="79" t="s">
        <v>37</v>
      </c>
      <c r="AD347" s="79"/>
      <c r="AE347" s="79"/>
      <c r="AF347" s="79"/>
      <c r="AG347" s="79"/>
      <c r="AH347" s="79"/>
      <c r="AI347" s="53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</row>
    <row r="348" spans="1:110" ht="13.8" x14ac:dyDescent="0.25">
      <c r="A348" s="24">
        <v>1203023</v>
      </c>
      <c r="B348" s="11"/>
      <c r="C348" s="12" t="s">
        <v>668</v>
      </c>
      <c r="D348" s="11"/>
      <c r="E348" s="10" t="s">
        <v>55</v>
      </c>
      <c r="F348" s="10" t="s">
        <v>34</v>
      </c>
      <c r="G348" s="55" t="str">
        <f t="shared" si="10"/>
        <v>Obsolete</v>
      </c>
      <c r="H348" s="10">
        <v>1</v>
      </c>
      <c r="I348" s="13"/>
      <c r="J348" s="56"/>
      <c r="K348" s="57"/>
      <c r="M348" s="14"/>
      <c r="N348" s="14"/>
      <c r="O348" s="14"/>
      <c r="P348" s="14"/>
      <c r="Q348" s="14"/>
      <c r="R348" s="14"/>
      <c r="S348" s="14"/>
      <c r="T348" s="70"/>
      <c r="U348" s="76" t="s">
        <v>54</v>
      </c>
      <c r="V348" s="76"/>
      <c r="W348" s="76" t="s">
        <v>54</v>
      </c>
      <c r="X348" s="76"/>
      <c r="Y348" s="97"/>
      <c r="Z348" s="78"/>
      <c r="AA348" s="79" t="s">
        <v>55</v>
      </c>
      <c r="AB348" s="79" t="s">
        <v>37</v>
      </c>
      <c r="AC348" s="79" t="s">
        <v>37</v>
      </c>
      <c r="AD348" s="79"/>
      <c r="AE348" s="79"/>
      <c r="AF348" s="79"/>
      <c r="AG348" s="79"/>
      <c r="AH348" s="79"/>
      <c r="AI348" s="53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</row>
    <row r="349" spans="1:110" ht="20.399999999999999" x14ac:dyDescent="0.25">
      <c r="A349" s="24">
        <v>1203024</v>
      </c>
      <c r="B349" s="26"/>
      <c r="C349" s="25" t="s">
        <v>669</v>
      </c>
      <c r="D349" s="26"/>
      <c r="E349" s="17" t="s">
        <v>57</v>
      </c>
      <c r="F349" s="10" t="s">
        <v>34</v>
      </c>
      <c r="G349" s="55" t="str">
        <f t="shared" si="10"/>
        <v>Obsolete</v>
      </c>
      <c r="H349" s="10"/>
      <c r="I349" s="13"/>
      <c r="J349" s="56"/>
      <c r="K349" s="57"/>
      <c r="M349" s="14"/>
      <c r="N349" s="14"/>
      <c r="O349" s="14"/>
      <c r="P349" s="14"/>
      <c r="Q349" s="14"/>
      <c r="R349" s="14"/>
      <c r="S349" s="14"/>
      <c r="T349" s="70"/>
      <c r="U349" s="76" t="s">
        <v>54</v>
      </c>
      <c r="V349" s="76"/>
      <c r="W349" s="76" t="s">
        <v>54</v>
      </c>
      <c r="X349" s="76"/>
      <c r="Y349" s="97"/>
      <c r="Z349" s="87"/>
      <c r="AA349" s="79"/>
      <c r="AB349" s="79" t="s">
        <v>37</v>
      </c>
      <c r="AC349" s="79" t="s">
        <v>37</v>
      </c>
      <c r="AD349" s="79"/>
      <c r="AE349" s="79"/>
      <c r="AF349" s="79"/>
      <c r="AG349" s="79"/>
      <c r="AH349" s="79"/>
      <c r="AI349" s="53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</row>
    <row r="350" spans="1:110" ht="13.8" x14ac:dyDescent="0.25">
      <c r="A350" s="24">
        <v>1203027</v>
      </c>
      <c r="B350" s="26" t="s">
        <v>589</v>
      </c>
      <c r="C350" s="25" t="s">
        <v>670</v>
      </c>
      <c r="D350" s="26"/>
      <c r="E350" s="17" t="s">
        <v>57</v>
      </c>
      <c r="F350" s="10" t="s">
        <v>34</v>
      </c>
      <c r="G350" s="55" t="str">
        <f t="shared" si="10"/>
        <v>Obsolete</v>
      </c>
      <c r="H350" s="10"/>
      <c r="I350" s="13"/>
      <c r="J350" s="56"/>
      <c r="K350" s="57"/>
      <c r="M350" s="14"/>
      <c r="N350" s="14"/>
      <c r="O350" s="14"/>
      <c r="P350" s="14"/>
      <c r="Q350" s="14"/>
      <c r="R350" s="14"/>
      <c r="S350" s="14"/>
      <c r="T350" s="70"/>
      <c r="U350" s="76" t="s">
        <v>54</v>
      </c>
      <c r="V350" s="76"/>
      <c r="W350" s="76" t="s">
        <v>54</v>
      </c>
      <c r="X350" s="76"/>
      <c r="Y350" s="97"/>
      <c r="Z350" s="87"/>
      <c r="AA350" s="79"/>
      <c r="AB350" s="79" t="s">
        <v>37</v>
      </c>
      <c r="AC350" s="79" t="s">
        <v>37</v>
      </c>
      <c r="AD350" s="79"/>
      <c r="AE350" s="79"/>
      <c r="AF350" s="79"/>
      <c r="AG350" s="79"/>
      <c r="AH350" s="79"/>
      <c r="AI350" s="53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</row>
    <row r="351" spans="1:110" ht="13.8" x14ac:dyDescent="0.25">
      <c r="A351" s="24">
        <v>1203028</v>
      </c>
      <c r="B351" s="26" t="s">
        <v>589</v>
      </c>
      <c r="C351" s="25" t="s">
        <v>671</v>
      </c>
      <c r="D351" s="26"/>
      <c r="E351" s="17" t="s">
        <v>57</v>
      </c>
      <c r="F351" s="10" t="s">
        <v>34</v>
      </c>
      <c r="G351" s="55" t="str">
        <f t="shared" si="10"/>
        <v>Obsolete</v>
      </c>
      <c r="H351" s="10"/>
      <c r="I351" s="13"/>
      <c r="J351" s="56"/>
      <c r="K351" s="57"/>
      <c r="M351" s="14"/>
      <c r="N351" s="14"/>
      <c r="O351" s="14"/>
      <c r="P351" s="14"/>
      <c r="Q351" s="14"/>
      <c r="R351" s="14"/>
      <c r="S351" s="14"/>
      <c r="T351" s="70"/>
      <c r="U351" s="76" t="s">
        <v>54</v>
      </c>
      <c r="V351" s="76"/>
      <c r="W351" s="76" t="s">
        <v>54</v>
      </c>
      <c r="X351" s="76"/>
      <c r="Y351" s="97"/>
      <c r="Z351" s="87"/>
      <c r="AA351" s="79"/>
      <c r="AB351" s="79" t="s">
        <v>37</v>
      </c>
      <c r="AC351" s="79" t="s">
        <v>37</v>
      </c>
      <c r="AD351" s="79"/>
      <c r="AE351" s="79"/>
      <c r="AF351" s="79"/>
      <c r="AG351" s="79"/>
      <c r="AH351" s="96"/>
      <c r="AI351" s="73"/>
      <c r="AJ351" s="27"/>
      <c r="AK351" s="28"/>
      <c r="AL351" s="27"/>
      <c r="AM351" s="28"/>
      <c r="AN351" s="27"/>
      <c r="AO351" s="28"/>
      <c r="AP351" s="27"/>
      <c r="AQ351" s="28"/>
      <c r="AR351" s="27"/>
      <c r="AS351" s="28"/>
      <c r="AT351" s="27"/>
      <c r="AU351" s="28"/>
      <c r="AV351" s="27"/>
      <c r="AW351" s="28"/>
      <c r="AX351" s="27"/>
      <c r="AY351" s="28"/>
      <c r="AZ351" s="27"/>
      <c r="BA351" s="28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</row>
    <row r="352" spans="1:110" ht="13.8" x14ac:dyDescent="0.25">
      <c r="A352" s="24">
        <v>1203029</v>
      </c>
      <c r="B352" s="26" t="s">
        <v>589</v>
      </c>
      <c r="C352" s="25" t="s">
        <v>672</v>
      </c>
      <c r="D352" s="26"/>
      <c r="E352" s="17" t="s">
        <v>57</v>
      </c>
      <c r="F352" s="10" t="s">
        <v>34</v>
      </c>
      <c r="G352" s="55" t="str">
        <f t="shared" si="10"/>
        <v>Obsolete</v>
      </c>
      <c r="H352" s="10"/>
      <c r="I352" s="13"/>
      <c r="J352" s="56"/>
      <c r="K352" s="57"/>
      <c r="M352" s="14"/>
      <c r="N352" s="14"/>
      <c r="O352" s="14"/>
      <c r="P352" s="14"/>
      <c r="Q352" s="14"/>
      <c r="R352" s="14"/>
      <c r="S352" s="14"/>
      <c r="T352" s="70"/>
      <c r="U352" s="76" t="s">
        <v>54</v>
      </c>
      <c r="V352" s="76"/>
      <c r="W352" s="76" t="s">
        <v>54</v>
      </c>
      <c r="X352" s="76"/>
      <c r="Y352" s="97"/>
      <c r="Z352" s="87"/>
      <c r="AA352" s="79"/>
      <c r="AB352" s="79" t="s">
        <v>37</v>
      </c>
      <c r="AC352" s="79" t="s">
        <v>37</v>
      </c>
      <c r="AD352" s="79"/>
      <c r="AE352" s="79"/>
      <c r="AF352" s="79"/>
      <c r="AG352" s="79"/>
      <c r="AH352" s="79"/>
      <c r="AI352" s="53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</row>
    <row r="353" spans="1:110" ht="13.8" x14ac:dyDescent="0.25">
      <c r="A353" s="24">
        <v>1203030</v>
      </c>
      <c r="B353" s="26" t="s">
        <v>589</v>
      </c>
      <c r="C353" s="25" t="s">
        <v>673</v>
      </c>
      <c r="D353" s="26"/>
      <c r="E353" s="10" t="s">
        <v>674</v>
      </c>
      <c r="F353" s="10" t="s">
        <v>675</v>
      </c>
      <c r="G353" s="55" t="str">
        <f t="shared" si="10"/>
        <v>Obsolete</v>
      </c>
      <c r="H353" s="10">
        <v>1</v>
      </c>
      <c r="I353" s="13">
        <v>5</v>
      </c>
      <c r="J353" s="56"/>
      <c r="K353" s="57"/>
      <c r="M353" s="14"/>
      <c r="N353" s="14"/>
      <c r="O353" s="14"/>
      <c r="P353" s="14"/>
      <c r="Q353" s="14"/>
      <c r="R353" s="14"/>
      <c r="S353" s="14"/>
      <c r="T353" s="70"/>
      <c r="U353" s="76" t="s">
        <v>54</v>
      </c>
      <c r="V353" s="76"/>
      <c r="W353" s="76" t="s">
        <v>54</v>
      </c>
      <c r="X353" s="76"/>
      <c r="Y353" s="97"/>
      <c r="Z353" s="87">
        <v>5</v>
      </c>
      <c r="AA353" s="79" t="s">
        <v>676</v>
      </c>
      <c r="AB353" s="79" t="s">
        <v>37</v>
      </c>
      <c r="AC353" s="79" t="s">
        <v>37</v>
      </c>
      <c r="AD353" s="91" t="s">
        <v>57</v>
      </c>
      <c r="AE353" s="91" t="s">
        <v>57</v>
      </c>
      <c r="AF353" s="91" t="s">
        <v>57</v>
      </c>
      <c r="AG353" s="91" t="s">
        <v>57</v>
      </c>
      <c r="AH353" s="79"/>
      <c r="AI353" s="53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</row>
    <row r="354" spans="1:110" ht="13.8" x14ac:dyDescent="0.25">
      <c r="A354" s="24">
        <v>1203031</v>
      </c>
      <c r="B354" s="26" t="s">
        <v>589</v>
      </c>
      <c r="C354" s="25" t="s">
        <v>677</v>
      </c>
      <c r="D354" s="26"/>
      <c r="E354" s="10" t="s">
        <v>674</v>
      </c>
      <c r="F354" s="10" t="s">
        <v>678</v>
      </c>
      <c r="G354" s="55" t="str">
        <f t="shared" si="10"/>
        <v>Obsolete</v>
      </c>
      <c r="H354" s="10">
        <v>1</v>
      </c>
      <c r="I354" s="13">
        <v>5</v>
      </c>
      <c r="J354" s="56"/>
      <c r="K354" s="57"/>
      <c r="M354" s="14"/>
      <c r="N354" s="14"/>
      <c r="O354" s="14"/>
      <c r="P354" s="14"/>
      <c r="Q354" s="14"/>
      <c r="R354" s="14"/>
      <c r="S354" s="14"/>
      <c r="T354" s="70"/>
      <c r="U354" s="76" t="s">
        <v>54</v>
      </c>
      <c r="V354" s="76"/>
      <c r="W354" s="76" t="s">
        <v>54</v>
      </c>
      <c r="X354" s="76"/>
      <c r="Y354" s="97"/>
      <c r="Z354" s="87">
        <v>5</v>
      </c>
      <c r="AA354" s="79" t="s">
        <v>676</v>
      </c>
      <c r="AB354" s="79" t="s">
        <v>37</v>
      </c>
      <c r="AC354" s="79" t="s">
        <v>37</v>
      </c>
      <c r="AD354" s="91" t="s">
        <v>57</v>
      </c>
      <c r="AE354" s="91" t="s">
        <v>57</v>
      </c>
      <c r="AF354" s="91" t="s">
        <v>57</v>
      </c>
      <c r="AG354" s="91" t="s">
        <v>57</v>
      </c>
      <c r="AH354" s="79"/>
      <c r="AI354" s="53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</row>
    <row r="355" spans="1:110" ht="13.8" x14ac:dyDescent="0.25">
      <c r="A355" s="24">
        <v>1203032</v>
      </c>
      <c r="B355" s="11" t="s">
        <v>567</v>
      </c>
      <c r="C355" s="12" t="s">
        <v>679</v>
      </c>
      <c r="D355" s="11"/>
      <c r="E355" s="17" t="s">
        <v>57</v>
      </c>
      <c r="F355" s="10" t="s">
        <v>34</v>
      </c>
      <c r="G355" s="55" t="str">
        <f t="shared" si="10"/>
        <v>Obsolete</v>
      </c>
      <c r="H355" s="10"/>
      <c r="I355" s="13"/>
      <c r="J355" s="56"/>
      <c r="K355" s="57"/>
      <c r="M355" s="14"/>
      <c r="N355" s="14"/>
      <c r="O355" s="14"/>
      <c r="P355" s="14"/>
      <c r="Q355" s="14"/>
      <c r="R355" s="14"/>
      <c r="S355" s="14"/>
      <c r="T355" s="70"/>
      <c r="U355" s="76" t="s">
        <v>54</v>
      </c>
      <c r="V355" s="76"/>
      <c r="W355" s="76" t="s">
        <v>54</v>
      </c>
      <c r="X355" s="76"/>
      <c r="Y355" s="97"/>
      <c r="Z355" s="78"/>
      <c r="AA355" s="79" t="s">
        <v>55</v>
      </c>
      <c r="AB355" s="79" t="s">
        <v>37</v>
      </c>
      <c r="AC355" s="79" t="s">
        <v>37</v>
      </c>
      <c r="AD355" s="79"/>
      <c r="AE355" s="79"/>
      <c r="AF355" s="79"/>
      <c r="AG355" s="79"/>
      <c r="AH355" s="79"/>
      <c r="AI355" s="53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</row>
    <row r="356" spans="1:110" ht="13.8" x14ac:dyDescent="0.25">
      <c r="A356" s="24">
        <v>1203033</v>
      </c>
      <c r="B356" s="26" t="s">
        <v>589</v>
      </c>
      <c r="C356" s="12" t="s">
        <v>680</v>
      </c>
      <c r="D356" s="11"/>
      <c r="E356" s="10" t="s">
        <v>617</v>
      </c>
      <c r="F356" s="10" t="s">
        <v>618</v>
      </c>
      <c r="G356" s="55">
        <f t="shared" si="10"/>
        <v>49.376321353065542</v>
      </c>
      <c r="H356" s="10">
        <v>2</v>
      </c>
      <c r="I356" s="36">
        <v>0.94599999999999995</v>
      </c>
      <c r="J356" s="56"/>
      <c r="K356" s="57"/>
      <c r="M356" s="14"/>
      <c r="N356" s="14"/>
      <c r="O356" s="14"/>
      <c r="P356" s="14"/>
      <c r="Q356" s="14"/>
      <c r="R356" s="14"/>
      <c r="S356" s="14"/>
      <c r="T356" s="70"/>
      <c r="U356" s="76">
        <v>49.376321353065542</v>
      </c>
      <c r="V356" s="76">
        <v>0</v>
      </c>
      <c r="W356" s="76">
        <v>49.376321353065542</v>
      </c>
      <c r="X356" s="76">
        <v>0</v>
      </c>
      <c r="Y356" s="97"/>
      <c r="Z356" s="107">
        <v>0.94599999999999995</v>
      </c>
      <c r="AA356" s="79" t="s">
        <v>121</v>
      </c>
      <c r="AB356" s="79" t="s">
        <v>35</v>
      </c>
      <c r="AC356" s="79"/>
      <c r="AD356" s="79" t="s">
        <v>38</v>
      </c>
      <c r="AE356" s="79" t="s">
        <v>619</v>
      </c>
      <c r="AF356" s="106"/>
      <c r="AG356" s="108" t="s">
        <v>620</v>
      </c>
      <c r="AH356" s="79"/>
      <c r="AI356" s="53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</row>
    <row r="357" spans="1:110" ht="13.8" x14ac:dyDescent="0.25">
      <c r="A357" s="24">
        <v>1204001</v>
      </c>
      <c r="B357" s="11" t="s">
        <v>567</v>
      </c>
      <c r="C357" s="12" t="s">
        <v>681</v>
      </c>
      <c r="D357" s="11"/>
      <c r="E357" s="17" t="s">
        <v>57</v>
      </c>
      <c r="F357" s="10" t="s">
        <v>34</v>
      </c>
      <c r="G357" s="55" t="str">
        <f t="shared" si="10"/>
        <v>Obsolete</v>
      </c>
      <c r="H357" s="10"/>
      <c r="I357" s="13"/>
      <c r="J357" s="56"/>
      <c r="K357" s="57"/>
      <c r="M357" s="14"/>
      <c r="N357" s="14"/>
      <c r="O357" s="14"/>
      <c r="P357" s="14"/>
      <c r="Q357" s="14"/>
      <c r="R357" s="14"/>
      <c r="S357" s="14"/>
      <c r="T357" s="70"/>
      <c r="U357" s="76" t="s">
        <v>54</v>
      </c>
      <c r="V357" s="76"/>
      <c r="W357" s="76" t="s">
        <v>54</v>
      </c>
      <c r="X357" s="76"/>
      <c r="Y357" s="97"/>
      <c r="Z357" s="78"/>
      <c r="AA357" s="79" t="s">
        <v>55</v>
      </c>
      <c r="AB357" s="79" t="s">
        <v>37</v>
      </c>
      <c r="AC357" s="79" t="s">
        <v>37</v>
      </c>
      <c r="AD357" s="79"/>
      <c r="AE357" s="79"/>
      <c r="AF357" s="79"/>
      <c r="AG357" s="79"/>
      <c r="AH357" s="79"/>
      <c r="AI357" s="53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</row>
    <row r="358" spans="1:110" ht="13.8" x14ac:dyDescent="0.25">
      <c r="A358" s="24">
        <v>1204002</v>
      </c>
      <c r="B358" s="11" t="s">
        <v>567</v>
      </c>
      <c r="C358" s="25" t="s">
        <v>682</v>
      </c>
      <c r="D358" s="26"/>
      <c r="E358" s="17" t="s">
        <v>57</v>
      </c>
      <c r="F358" s="10" t="s">
        <v>34</v>
      </c>
      <c r="G358" s="55" t="str">
        <f t="shared" si="10"/>
        <v>Obsolete</v>
      </c>
      <c r="H358" s="10"/>
      <c r="I358" s="13"/>
      <c r="J358" s="56"/>
      <c r="K358" s="57"/>
      <c r="M358" s="14"/>
      <c r="N358" s="14"/>
      <c r="O358" s="14"/>
      <c r="P358" s="14"/>
      <c r="Q358" s="14"/>
      <c r="R358" s="14"/>
      <c r="S358" s="14"/>
      <c r="T358" s="70"/>
      <c r="U358" s="76" t="s">
        <v>54</v>
      </c>
      <c r="V358" s="76"/>
      <c r="W358" s="76" t="s">
        <v>54</v>
      </c>
      <c r="X358" s="76"/>
      <c r="Y358" s="97"/>
      <c r="Z358" s="87"/>
      <c r="AA358" s="79"/>
      <c r="AB358" s="79" t="s">
        <v>37</v>
      </c>
      <c r="AC358" s="79" t="s">
        <v>37</v>
      </c>
      <c r="AD358" s="79"/>
      <c r="AE358" s="79"/>
      <c r="AF358" s="79"/>
      <c r="AG358" s="79"/>
      <c r="AH358" s="79"/>
      <c r="AI358" s="53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</row>
    <row r="359" spans="1:110" ht="13.8" x14ac:dyDescent="0.25">
      <c r="A359" s="24">
        <v>1204003</v>
      </c>
      <c r="B359" s="11" t="s">
        <v>567</v>
      </c>
      <c r="C359" s="12" t="s">
        <v>683</v>
      </c>
      <c r="D359" s="11"/>
      <c r="E359" s="10" t="s">
        <v>684</v>
      </c>
      <c r="F359" s="10" t="s">
        <v>607</v>
      </c>
      <c r="G359" s="55">
        <f t="shared" si="10"/>
        <v>108.24</v>
      </c>
      <c r="H359" s="10">
        <v>2</v>
      </c>
      <c r="I359" s="13">
        <v>1</v>
      </c>
      <c r="J359" s="56">
        <v>44487</v>
      </c>
      <c r="K359" s="57">
        <v>103.44</v>
      </c>
      <c r="M359" s="14"/>
      <c r="N359" s="14"/>
      <c r="O359" s="14"/>
      <c r="P359" s="14"/>
      <c r="Q359" s="14"/>
      <c r="R359" s="14"/>
      <c r="S359" s="14"/>
      <c r="T359" s="70"/>
      <c r="U359" s="76">
        <v>102.72</v>
      </c>
      <c r="V359" s="76">
        <v>5.52</v>
      </c>
      <c r="W359" s="76">
        <v>102.72</v>
      </c>
      <c r="X359" s="76">
        <v>5.52</v>
      </c>
      <c r="Y359" s="77" t="s">
        <v>37</v>
      </c>
      <c r="Z359" s="78">
        <v>1</v>
      </c>
      <c r="AA359" s="79" t="s">
        <v>36</v>
      </c>
      <c r="AB359" s="79" t="s">
        <v>35</v>
      </c>
      <c r="AC359" s="79" t="s">
        <v>37</v>
      </c>
      <c r="AD359" s="79" t="s">
        <v>38</v>
      </c>
      <c r="AE359" s="79" t="s">
        <v>685</v>
      </c>
      <c r="AF359" s="79" t="s">
        <v>686</v>
      </c>
      <c r="AG359" s="79" t="s">
        <v>687</v>
      </c>
      <c r="AH359" s="79"/>
      <c r="AI359" s="53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</row>
    <row r="360" spans="1:110" ht="20.399999999999999" x14ac:dyDescent="0.25">
      <c r="A360" s="24">
        <v>1204004</v>
      </c>
      <c r="B360" s="11" t="s">
        <v>567</v>
      </c>
      <c r="C360" s="25" t="s">
        <v>688</v>
      </c>
      <c r="D360" s="11"/>
      <c r="E360" s="10" t="s">
        <v>684</v>
      </c>
      <c r="F360" s="10" t="s">
        <v>607</v>
      </c>
      <c r="G360" s="55">
        <f>U360+V360</f>
        <v>107.52</v>
      </c>
      <c r="H360" s="10">
        <v>1</v>
      </c>
      <c r="I360" s="13">
        <v>1</v>
      </c>
      <c r="J360" s="56">
        <v>44348</v>
      </c>
      <c r="K360" s="57">
        <v>91.52</v>
      </c>
      <c r="M360" s="14"/>
      <c r="N360" s="14"/>
      <c r="O360" s="14"/>
      <c r="P360" s="14"/>
      <c r="Q360" s="14"/>
      <c r="R360" s="14"/>
      <c r="S360" s="14"/>
      <c r="T360" s="70"/>
      <c r="U360" s="76">
        <v>102</v>
      </c>
      <c r="V360" s="76">
        <v>5.52</v>
      </c>
      <c r="W360" s="76">
        <v>102</v>
      </c>
      <c r="X360" s="76">
        <v>5.52</v>
      </c>
      <c r="Y360" s="77" t="s">
        <v>37</v>
      </c>
      <c r="Z360" s="78">
        <v>1</v>
      </c>
      <c r="AA360" s="79" t="s">
        <v>36</v>
      </c>
      <c r="AB360" s="79" t="s">
        <v>37</v>
      </c>
      <c r="AC360" s="79" t="s">
        <v>37</v>
      </c>
      <c r="AD360" s="79" t="s">
        <v>38</v>
      </c>
      <c r="AE360" s="79" t="s">
        <v>685</v>
      </c>
      <c r="AF360" s="79" t="s">
        <v>686</v>
      </c>
      <c r="AG360" s="79" t="s">
        <v>687</v>
      </c>
      <c r="AH360" s="79"/>
      <c r="AI360" s="53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</row>
    <row r="361" spans="1:110" ht="20.399999999999999" x14ac:dyDescent="0.25">
      <c r="A361" s="24">
        <v>1204005</v>
      </c>
      <c r="B361" s="26" t="s">
        <v>567</v>
      </c>
      <c r="C361" s="25" t="s">
        <v>689</v>
      </c>
      <c r="D361" s="26"/>
      <c r="E361" s="17" t="s">
        <v>57</v>
      </c>
      <c r="F361" s="10" t="s">
        <v>34</v>
      </c>
      <c r="G361" s="55" t="str">
        <f t="shared" ref="G361:G410" si="11">IF(U361="Obsolete",U361,U361+V361)</f>
        <v>Obsolete</v>
      </c>
      <c r="H361" s="10"/>
      <c r="I361" s="13"/>
      <c r="J361" s="56"/>
      <c r="K361" s="57"/>
      <c r="M361" s="14"/>
      <c r="N361" s="14"/>
      <c r="O361" s="14"/>
      <c r="P361" s="14"/>
      <c r="Q361" s="14"/>
      <c r="R361" s="14"/>
      <c r="S361" s="14"/>
      <c r="T361" s="70"/>
      <c r="U361" s="76" t="s">
        <v>54</v>
      </c>
      <c r="V361" s="76"/>
      <c r="W361" s="76" t="s">
        <v>54</v>
      </c>
      <c r="X361" s="76"/>
      <c r="Y361" s="97"/>
      <c r="Z361" s="87"/>
      <c r="AA361" s="79"/>
      <c r="AB361" s="79" t="s">
        <v>37</v>
      </c>
      <c r="AC361" s="79" t="s">
        <v>37</v>
      </c>
      <c r="AD361" s="79"/>
      <c r="AE361" s="79"/>
      <c r="AF361" s="79"/>
      <c r="AG361" s="79"/>
      <c r="AH361" s="79"/>
      <c r="AI361" s="53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</row>
    <row r="362" spans="1:110" ht="20.399999999999999" x14ac:dyDescent="0.25">
      <c r="A362" s="24">
        <v>1204006</v>
      </c>
      <c r="B362" s="26" t="s">
        <v>567</v>
      </c>
      <c r="C362" s="25" t="s">
        <v>690</v>
      </c>
      <c r="D362" s="26"/>
      <c r="E362" s="17" t="s">
        <v>57</v>
      </c>
      <c r="F362" s="10" t="s">
        <v>34</v>
      </c>
      <c r="G362" s="55" t="str">
        <f t="shared" si="11"/>
        <v>Obsolete</v>
      </c>
      <c r="H362" s="10"/>
      <c r="I362" s="13"/>
      <c r="J362" s="56"/>
      <c r="K362" s="57"/>
      <c r="M362" s="14"/>
      <c r="N362" s="14"/>
      <c r="O362" s="14"/>
      <c r="P362" s="14"/>
      <c r="Q362" s="14"/>
      <c r="R362" s="14"/>
      <c r="S362" s="14"/>
      <c r="T362" s="70"/>
      <c r="U362" s="76" t="s">
        <v>54</v>
      </c>
      <c r="V362" s="76"/>
      <c r="W362" s="76" t="s">
        <v>54</v>
      </c>
      <c r="X362" s="76"/>
      <c r="Y362" s="97"/>
      <c r="Z362" s="87"/>
      <c r="AA362" s="79"/>
      <c r="AB362" s="79" t="s">
        <v>37</v>
      </c>
      <c r="AC362" s="79" t="s">
        <v>37</v>
      </c>
      <c r="AD362" s="79"/>
      <c r="AE362" s="79"/>
      <c r="AF362" s="79"/>
      <c r="AG362" s="79"/>
      <c r="AH362" s="79"/>
      <c r="AI362" s="53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</row>
    <row r="363" spans="1:110" ht="13.8" x14ac:dyDescent="0.25">
      <c r="A363" s="24">
        <v>1204007</v>
      </c>
      <c r="B363" s="26" t="s">
        <v>567</v>
      </c>
      <c r="C363" s="12" t="s">
        <v>691</v>
      </c>
      <c r="D363" s="11"/>
      <c r="E363" s="17" t="s">
        <v>57</v>
      </c>
      <c r="F363" s="10" t="s">
        <v>34</v>
      </c>
      <c r="G363" s="55" t="str">
        <f t="shared" si="11"/>
        <v>Obsolete</v>
      </c>
      <c r="H363" s="10"/>
      <c r="I363" s="13"/>
      <c r="J363" s="56"/>
      <c r="K363" s="57"/>
      <c r="M363" s="14"/>
      <c r="N363" s="14"/>
      <c r="O363" s="14"/>
      <c r="P363" s="14"/>
      <c r="Q363" s="14"/>
      <c r="R363" s="14"/>
      <c r="S363" s="14"/>
      <c r="T363" s="70"/>
      <c r="U363" s="76" t="s">
        <v>54</v>
      </c>
      <c r="V363" s="76"/>
      <c r="W363" s="76" t="s">
        <v>54</v>
      </c>
      <c r="X363" s="76"/>
      <c r="Y363" s="97"/>
      <c r="Z363" s="78"/>
      <c r="AA363" s="79" t="s">
        <v>692</v>
      </c>
      <c r="AB363" s="79" t="s">
        <v>37</v>
      </c>
      <c r="AC363" s="79" t="s">
        <v>37</v>
      </c>
      <c r="AD363" s="79"/>
      <c r="AE363" s="79"/>
      <c r="AF363" s="79"/>
      <c r="AG363" s="79"/>
      <c r="AH363" s="79"/>
      <c r="AI363" s="53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</row>
    <row r="364" spans="1:110" ht="13.8" x14ac:dyDescent="0.25">
      <c r="A364" s="24">
        <v>1204008</v>
      </c>
      <c r="B364" s="26" t="s">
        <v>567</v>
      </c>
      <c r="C364" s="12" t="s">
        <v>693</v>
      </c>
      <c r="D364" s="11"/>
      <c r="E364" s="17" t="s">
        <v>57</v>
      </c>
      <c r="F364" s="10" t="s">
        <v>34</v>
      </c>
      <c r="G364" s="55" t="str">
        <f t="shared" si="11"/>
        <v>Obsolete</v>
      </c>
      <c r="H364" s="10"/>
      <c r="I364" s="13"/>
      <c r="J364" s="56"/>
      <c r="K364" s="57"/>
      <c r="M364" s="14"/>
      <c r="N364" s="14"/>
      <c r="O364" s="14"/>
      <c r="P364" s="14"/>
      <c r="Q364" s="14"/>
      <c r="R364" s="14"/>
      <c r="S364" s="14"/>
      <c r="T364" s="70"/>
      <c r="U364" s="76" t="s">
        <v>54</v>
      </c>
      <c r="V364" s="76"/>
      <c r="W364" s="76" t="s">
        <v>54</v>
      </c>
      <c r="X364" s="76"/>
      <c r="Y364" s="97"/>
      <c r="Z364" s="78"/>
      <c r="AA364" s="79" t="s">
        <v>55</v>
      </c>
      <c r="AB364" s="79" t="s">
        <v>37</v>
      </c>
      <c r="AC364" s="79" t="s">
        <v>37</v>
      </c>
      <c r="AD364" s="79"/>
      <c r="AE364" s="79"/>
      <c r="AF364" s="79"/>
      <c r="AG364" s="79"/>
      <c r="AH364" s="79"/>
      <c r="AI364" s="53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</row>
    <row r="365" spans="1:110" ht="13.8" x14ac:dyDescent="0.25">
      <c r="A365" s="24">
        <v>1204009</v>
      </c>
      <c r="B365" s="26" t="s">
        <v>567</v>
      </c>
      <c r="C365" s="12" t="s">
        <v>694</v>
      </c>
      <c r="D365" s="11"/>
      <c r="E365" s="10" t="s">
        <v>684</v>
      </c>
      <c r="F365" s="10" t="s">
        <v>607</v>
      </c>
      <c r="G365" s="55">
        <f t="shared" si="11"/>
        <v>231.52</v>
      </c>
      <c r="H365" s="10">
        <v>2</v>
      </c>
      <c r="I365" s="13">
        <v>1</v>
      </c>
      <c r="J365" s="56"/>
      <c r="K365" s="57"/>
      <c r="M365" s="14"/>
      <c r="N365" s="14"/>
      <c r="O365" s="14"/>
      <c r="P365" s="14"/>
      <c r="Q365" s="14"/>
      <c r="R365" s="14"/>
      <c r="S365" s="14"/>
      <c r="T365" s="70"/>
      <c r="U365" s="76">
        <v>226</v>
      </c>
      <c r="V365" s="76">
        <v>5.52</v>
      </c>
      <c r="W365" s="76">
        <v>226</v>
      </c>
      <c r="X365" s="76">
        <v>5.52</v>
      </c>
      <c r="Y365" s="77" t="s">
        <v>37</v>
      </c>
      <c r="Z365" s="78">
        <v>1</v>
      </c>
      <c r="AA365" s="79" t="s">
        <v>36</v>
      </c>
      <c r="AB365" s="79" t="s">
        <v>35</v>
      </c>
      <c r="AC365" s="79" t="s">
        <v>37</v>
      </c>
      <c r="AD365" s="79" t="s">
        <v>38</v>
      </c>
      <c r="AE365" s="79" t="s">
        <v>685</v>
      </c>
      <c r="AF365" s="79" t="s">
        <v>686</v>
      </c>
      <c r="AG365" s="79" t="s">
        <v>687</v>
      </c>
      <c r="AH365" s="79"/>
      <c r="AI365" s="53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</row>
    <row r="366" spans="1:110" ht="13.8" x14ac:dyDescent="0.25">
      <c r="A366" s="24">
        <v>1204010</v>
      </c>
      <c r="B366" s="26" t="s">
        <v>567</v>
      </c>
      <c r="C366" s="25" t="s">
        <v>695</v>
      </c>
      <c r="D366" s="26"/>
      <c r="E366" s="17" t="s">
        <v>57</v>
      </c>
      <c r="F366" s="10" t="s">
        <v>34</v>
      </c>
      <c r="G366" s="55" t="str">
        <f t="shared" si="11"/>
        <v>Obsolete</v>
      </c>
      <c r="H366" s="10"/>
      <c r="I366" s="13"/>
      <c r="J366" s="56"/>
      <c r="K366" s="57"/>
      <c r="M366" s="14"/>
      <c r="N366" s="14"/>
      <c r="O366" s="14"/>
      <c r="P366" s="14"/>
      <c r="Q366" s="14"/>
      <c r="R366" s="14"/>
      <c r="S366" s="14"/>
      <c r="T366" s="70"/>
      <c r="U366" s="76" t="s">
        <v>54</v>
      </c>
      <c r="V366" s="76"/>
      <c r="W366" s="76" t="s">
        <v>54</v>
      </c>
      <c r="X366" s="76"/>
      <c r="Y366" s="97"/>
      <c r="Z366" s="87"/>
      <c r="AA366" s="79"/>
      <c r="AB366" s="79" t="s">
        <v>37</v>
      </c>
      <c r="AC366" s="79" t="s">
        <v>37</v>
      </c>
      <c r="AD366" s="79"/>
      <c r="AE366" s="79"/>
      <c r="AF366" s="79"/>
      <c r="AG366" s="79"/>
      <c r="AH366" s="79"/>
      <c r="AI366" s="53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</row>
    <row r="367" spans="1:110" ht="13.8" x14ac:dyDescent="0.25">
      <c r="A367" s="24">
        <v>1204011</v>
      </c>
      <c r="B367" s="26" t="s">
        <v>567</v>
      </c>
      <c r="C367" s="12" t="s">
        <v>696</v>
      </c>
      <c r="D367" s="11"/>
      <c r="E367" s="17" t="s">
        <v>57</v>
      </c>
      <c r="F367" s="10" t="s">
        <v>34</v>
      </c>
      <c r="G367" s="55" t="str">
        <f t="shared" si="11"/>
        <v>Obsolete</v>
      </c>
      <c r="H367" s="10"/>
      <c r="I367" s="13"/>
      <c r="J367" s="56"/>
      <c r="K367" s="57"/>
      <c r="M367" s="14"/>
      <c r="N367" s="14"/>
      <c r="O367" s="14"/>
      <c r="P367" s="14"/>
      <c r="Q367" s="14"/>
      <c r="R367" s="14"/>
      <c r="S367" s="14"/>
      <c r="T367" s="70"/>
      <c r="U367" s="76" t="s">
        <v>54</v>
      </c>
      <c r="V367" s="76"/>
      <c r="W367" s="76" t="s">
        <v>54</v>
      </c>
      <c r="X367" s="76"/>
      <c r="Y367" s="97"/>
      <c r="Z367" s="78"/>
      <c r="AA367" s="79" t="s">
        <v>55</v>
      </c>
      <c r="AB367" s="79" t="s">
        <v>37</v>
      </c>
      <c r="AC367" s="79" t="s">
        <v>37</v>
      </c>
      <c r="AD367" s="79"/>
      <c r="AE367" s="79"/>
      <c r="AF367" s="79"/>
      <c r="AG367" s="79"/>
      <c r="AH367" s="79"/>
      <c r="AI367" s="53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</row>
    <row r="368" spans="1:110" ht="13.8" x14ac:dyDescent="0.25">
      <c r="A368" s="24">
        <v>1204012</v>
      </c>
      <c r="B368" s="26" t="s">
        <v>567</v>
      </c>
      <c r="C368" s="12" t="s">
        <v>697</v>
      </c>
      <c r="D368" s="11"/>
      <c r="E368" s="17" t="s">
        <v>57</v>
      </c>
      <c r="F368" s="10" t="s">
        <v>34</v>
      </c>
      <c r="G368" s="55" t="str">
        <f t="shared" si="11"/>
        <v>Obsolete</v>
      </c>
      <c r="H368" s="10"/>
      <c r="I368" s="13"/>
      <c r="J368" s="56"/>
      <c r="K368" s="57"/>
      <c r="M368" s="14"/>
      <c r="N368" s="14"/>
      <c r="O368" s="14"/>
      <c r="P368" s="14"/>
      <c r="Q368" s="14"/>
      <c r="R368" s="14"/>
      <c r="S368" s="14"/>
      <c r="T368" s="70"/>
      <c r="U368" s="76" t="s">
        <v>54</v>
      </c>
      <c r="V368" s="76"/>
      <c r="W368" s="76" t="s">
        <v>54</v>
      </c>
      <c r="X368" s="76"/>
      <c r="Y368" s="97"/>
      <c r="Z368" s="78"/>
      <c r="AA368" s="79" t="s">
        <v>692</v>
      </c>
      <c r="AB368" s="79" t="s">
        <v>37</v>
      </c>
      <c r="AC368" s="79" t="s">
        <v>37</v>
      </c>
      <c r="AD368" s="79"/>
      <c r="AE368" s="79"/>
      <c r="AF368" s="79"/>
      <c r="AG368" s="79"/>
      <c r="AH368" s="79"/>
      <c r="AI368" s="53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</row>
    <row r="369" spans="1:110" ht="13.8" x14ac:dyDescent="0.25">
      <c r="A369" s="24">
        <v>1204014</v>
      </c>
      <c r="B369" s="26" t="s">
        <v>567</v>
      </c>
      <c r="C369" s="12" t="s">
        <v>698</v>
      </c>
      <c r="D369" s="11"/>
      <c r="E369" s="17" t="s">
        <v>57</v>
      </c>
      <c r="F369" s="10" t="s">
        <v>34</v>
      </c>
      <c r="G369" s="55" t="str">
        <f t="shared" si="11"/>
        <v>Obsolete</v>
      </c>
      <c r="H369" s="10"/>
      <c r="I369" s="13"/>
      <c r="J369" s="56"/>
      <c r="K369" s="57"/>
      <c r="M369" s="14"/>
      <c r="N369" s="14"/>
      <c r="O369" s="14"/>
      <c r="P369" s="14"/>
      <c r="Q369" s="14"/>
      <c r="R369" s="14"/>
      <c r="S369" s="14"/>
      <c r="T369" s="70"/>
      <c r="U369" s="76" t="s">
        <v>54</v>
      </c>
      <c r="V369" s="76"/>
      <c r="W369" s="76" t="s">
        <v>54</v>
      </c>
      <c r="X369" s="76"/>
      <c r="Y369" s="97"/>
      <c r="Z369" s="78"/>
      <c r="AA369" s="79" t="s">
        <v>55</v>
      </c>
      <c r="AB369" s="79" t="s">
        <v>37</v>
      </c>
      <c r="AC369" s="79" t="s">
        <v>37</v>
      </c>
      <c r="AD369" s="79"/>
      <c r="AE369" s="79"/>
      <c r="AF369" s="79"/>
      <c r="AG369" s="79"/>
      <c r="AH369" s="79"/>
      <c r="AI369" s="53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</row>
    <row r="370" spans="1:110" ht="13.8" x14ac:dyDescent="0.25">
      <c r="A370" s="24">
        <v>1204015</v>
      </c>
      <c r="B370" s="26" t="s">
        <v>567</v>
      </c>
      <c r="C370" s="12" t="s">
        <v>699</v>
      </c>
      <c r="D370" s="11"/>
      <c r="E370" s="17" t="s">
        <v>57</v>
      </c>
      <c r="F370" s="10" t="s">
        <v>34</v>
      </c>
      <c r="G370" s="55" t="str">
        <f t="shared" si="11"/>
        <v>Obsolete</v>
      </c>
      <c r="H370" s="10"/>
      <c r="I370" s="13"/>
      <c r="J370" s="56"/>
      <c r="K370" s="57"/>
      <c r="M370" s="14"/>
      <c r="N370" s="14"/>
      <c r="O370" s="14"/>
      <c r="P370" s="14"/>
      <c r="Q370" s="14"/>
      <c r="R370" s="14"/>
      <c r="S370" s="14"/>
      <c r="T370" s="70"/>
      <c r="U370" s="76" t="s">
        <v>54</v>
      </c>
      <c r="V370" s="76"/>
      <c r="W370" s="76" t="s">
        <v>54</v>
      </c>
      <c r="X370" s="76"/>
      <c r="Y370" s="97"/>
      <c r="Z370" s="78"/>
      <c r="AA370" s="79" t="s">
        <v>55</v>
      </c>
      <c r="AB370" s="79" t="s">
        <v>37</v>
      </c>
      <c r="AC370" s="79" t="s">
        <v>37</v>
      </c>
      <c r="AD370" s="79"/>
      <c r="AE370" s="79"/>
      <c r="AF370" s="79"/>
      <c r="AG370" s="79"/>
      <c r="AH370" s="79"/>
      <c r="AI370" s="53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</row>
    <row r="371" spans="1:110" ht="13.8" x14ac:dyDescent="0.25">
      <c r="A371" s="24">
        <v>1204016</v>
      </c>
      <c r="B371" s="26" t="s">
        <v>567</v>
      </c>
      <c r="C371" s="12" t="s">
        <v>700</v>
      </c>
      <c r="D371" s="11"/>
      <c r="E371" s="17" t="s">
        <v>57</v>
      </c>
      <c r="F371" s="10" t="s">
        <v>34</v>
      </c>
      <c r="G371" s="55" t="str">
        <f t="shared" si="11"/>
        <v>Obsolete</v>
      </c>
      <c r="H371" s="10"/>
      <c r="I371" s="13"/>
      <c r="J371" s="56"/>
      <c r="K371" s="57"/>
      <c r="M371" s="14"/>
      <c r="N371" s="14"/>
      <c r="O371" s="14"/>
      <c r="P371" s="14"/>
      <c r="Q371" s="14"/>
      <c r="R371" s="14"/>
      <c r="S371" s="14"/>
      <c r="T371" s="70"/>
      <c r="U371" s="76" t="s">
        <v>54</v>
      </c>
      <c r="V371" s="76"/>
      <c r="W371" s="76" t="s">
        <v>54</v>
      </c>
      <c r="X371" s="76"/>
      <c r="Y371" s="97"/>
      <c r="Z371" s="78"/>
      <c r="AA371" s="79" t="s">
        <v>55</v>
      </c>
      <c r="AB371" s="79" t="s">
        <v>37</v>
      </c>
      <c r="AC371" s="79" t="s">
        <v>37</v>
      </c>
      <c r="AD371" s="79"/>
      <c r="AE371" s="79"/>
      <c r="AF371" s="79"/>
      <c r="AG371" s="79"/>
      <c r="AH371" s="79"/>
      <c r="AI371" s="53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</row>
    <row r="372" spans="1:110" ht="13.8" x14ac:dyDescent="0.25">
      <c r="A372" s="24">
        <v>1204017</v>
      </c>
      <c r="B372" s="26" t="s">
        <v>567</v>
      </c>
      <c r="C372" s="12" t="s">
        <v>701</v>
      </c>
      <c r="D372" s="11"/>
      <c r="E372" s="10" t="s">
        <v>684</v>
      </c>
      <c r="F372" s="10" t="s">
        <v>34</v>
      </c>
      <c r="G372" s="55">
        <f t="shared" si="11"/>
        <v>247.25</v>
      </c>
      <c r="H372" s="10">
        <v>2</v>
      </c>
      <c r="I372" s="13">
        <v>1</v>
      </c>
      <c r="J372" s="56"/>
      <c r="K372" s="57"/>
      <c r="M372" s="14"/>
      <c r="N372" s="14"/>
      <c r="O372" s="14"/>
      <c r="P372" s="14"/>
      <c r="Q372" s="14"/>
      <c r="R372" s="14"/>
      <c r="S372" s="14"/>
      <c r="T372" s="70"/>
      <c r="U372" s="76">
        <v>242</v>
      </c>
      <c r="V372" s="76">
        <v>5.25</v>
      </c>
      <c r="W372" s="76">
        <v>242</v>
      </c>
      <c r="X372" s="76">
        <v>5.25</v>
      </c>
      <c r="Y372" s="97" t="s">
        <v>37</v>
      </c>
      <c r="Z372" s="78">
        <v>1</v>
      </c>
      <c r="AA372" s="79" t="s">
        <v>44</v>
      </c>
      <c r="AB372" s="79" t="s">
        <v>35</v>
      </c>
      <c r="AC372" s="79" t="s">
        <v>37</v>
      </c>
      <c r="AD372" s="79" t="s">
        <v>38</v>
      </c>
      <c r="AE372" s="79" t="s">
        <v>685</v>
      </c>
      <c r="AF372" s="79" t="s">
        <v>686</v>
      </c>
      <c r="AG372" s="79" t="s">
        <v>687</v>
      </c>
      <c r="AH372" s="79"/>
      <c r="AI372" s="53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</row>
    <row r="373" spans="1:110" ht="13.8" x14ac:dyDescent="0.25">
      <c r="A373" s="24">
        <v>1205001</v>
      </c>
      <c r="B373" s="26" t="s">
        <v>567</v>
      </c>
      <c r="C373" s="25" t="s">
        <v>702</v>
      </c>
      <c r="D373" s="26"/>
      <c r="E373" s="17" t="s">
        <v>57</v>
      </c>
      <c r="F373" s="10" t="s">
        <v>34</v>
      </c>
      <c r="G373" s="55" t="str">
        <f t="shared" si="11"/>
        <v>Obsolete</v>
      </c>
      <c r="H373" s="10"/>
      <c r="I373" s="13"/>
      <c r="J373" s="56"/>
      <c r="K373" s="57"/>
      <c r="M373" s="14"/>
      <c r="N373" s="14"/>
      <c r="O373" s="14"/>
      <c r="P373" s="14"/>
      <c r="Q373" s="14"/>
      <c r="R373" s="14"/>
      <c r="S373" s="14"/>
      <c r="T373" s="70"/>
      <c r="U373" s="76" t="s">
        <v>54</v>
      </c>
      <c r="V373" s="76"/>
      <c r="W373" s="76" t="s">
        <v>54</v>
      </c>
      <c r="X373" s="76"/>
      <c r="Y373" s="97"/>
      <c r="Z373" s="87"/>
      <c r="AA373" s="79"/>
      <c r="AB373" s="79" t="s">
        <v>37</v>
      </c>
      <c r="AC373" s="79" t="s">
        <v>37</v>
      </c>
      <c r="AD373" s="79"/>
      <c r="AE373" s="79"/>
      <c r="AF373" s="79"/>
      <c r="AG373" s="79"/>
      <c r="AH373" s="79"/>
      <c r="AI373" s="53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</row>
    <row r="374" spans="1:110" ht="13.8" x14ac:dyDescent="0.25">
      <c r="A374" s="24">
        <v>1205002</v>
      </c>
      <c r="B374" s="26" t="s">
        <v>567</v>
      </c>
      <c r="C374" s="25" t="s">
        <v>703</v>
      </c>
      <c r="D374" s="26"/>
      <c r="E374" s="17" t="s">
        <v>57</v>
      </c>
      <c r="F374" s="10" t="s">
        <v>34</v>
      </c>
      <c r="G374" s="55" t="str">
        <f t="shared" si="11"/>
        <v>Obsolete</v>
      </c>
      <c r="H374" s="10"/>
      <c r="I374" s="13"/>
      <c r="J374" s="56"/>
      <c r="K374" s="57"/>
      <c r="M374" s="14"/>
      <c r="N374" s="14"/>
      <c r="O374" s="14"/>
      <c r="P374" s="14"/>
      <c r="Q374" s="14"/>
      <c r="R374" s="14"/>
      <c r="S374" s="14"/>
      <c r="T374" s="70"/>
      <c r="U374" s="76" t="s">
        <v>54</v>
      </c>
      <c r="V374" s="76"/>
      <c r="W374" s="76" t="s">
        <v>54</v>
      </c>
      <c r="X374" s="76"/>
      <c r="Y374" s="97"/>
      <c r="Z374" s="87"/>
      <c r="AA374" s="79"/>
      <c r="AB374" s="79" t="s">
        <v>37</v>
      </c>
      <c r="AC374" s="79" t="s">
        <v>37</v>
      </c>
      <c r="AD374" s="79"/>
      <c r="AE374" s="79"/>
      <c r="AF374" s="79"/>
      <c r="AG374" s="79"/>
      <c r="AH374" s="79"/>
      <c r="AI374" s="53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</row>
    <row r="375" spans="1:110" ht="13.8" x14ac:dyDescent="0.25">
      <c r="A375" s="24">
        <v>1205003</v>
      </c>
      <c r="B375" s="26" t="s">
        <v>567</v>
      </c>
      <c r="C375" s="12" t="s">
        <v>704</v>
      </c>
      <c r="D375" s="11"/>
      <c r="E375" s="17" t="s">
        <v>57</v>
      </c>
      <c r="F375" s="10" t="s">
        <v>34</v>
      </c>
      <c r="G375" s="55" t="str">
        <f t="shared" si="11"/>
        <v>Obsolete</v>
      </c>
      <c r="H375" s="10"/>
      <c r="I375" s="13"/>
      <c r="J375" s="56"/>
      <c r="K375" s="57"/>
      <c r="M375" s="14"/>
      <c r="N375" s="14"/>
      <c r="O375" s="14"/>
      <c r="P375" s="14"/>
      <c r="Q375" s="14"/>
      <c r="R375" s="14"/>
      <c r="S375" s="14"/>
      <c r="T375" s="70"/>
      <c r="U375" s="76" t="s">
        <v>54</v>
      </c>
      <c r="V375" s="76"/>
      <c r="W375" s="76" t="s">
        <v>54</v>
      </c>
      <c r="X375" s="76"/>
      <c r="Y375" s="97"/>
      <c r="Z375" s="78"/>
      <c r="AA375" s="79" t="s">
        <v>55</v>
      </c>
      <c r="AB375" s="79" t="s">
        <v>37</v>
      </c>
      <c r="AC375" s="79" t="s">
        <v>37</v>
      </c>
      <c r="AD375" s="79"/>
      <c r="AE375" s="79"/>
      <c r="AF375" s="79"/>
      <c r="AG375" s="79"/>
      <c r="AH375" s="79"/>
      <c r="AI375" s="53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</row>
    <row r="376" spans="1:110" ht="13.8" x14ac:dyDescent="0.25">
      <c r="A376" s="24">
        <v>1205004</v>
      </c>
      <c r="B376" s="26" t="s">
        <v>567</v>
      </c>
      <c r="C376" s="25" t="s">
        <v>705</v>
      </c>
      <c r="D376" s="26"/>
      <c r="E376" s="17" t="s">
        <v>57</v>
      </c>
      <c r="F376" s="10" t="s">
        <v>34</v>
      </c>
      <c r="G376" s="55" t="str">
        <f t="shared" si="11"/>
        <v>Obsolete</v>
      </c>
      <c r="H376" s="10"/>
      <c r="I376" s="13"/>
      <c r="J376" s="56"/>
      <c r="K376" s="57"/>
      <c r="M376" s="14"/>
      <c r="N376" s="14"/>
      <c r="O376" s="14"/>
      <c r="P376" s="14"/>
      <c r="Q376" s="14"/>
      <c r="R376" s="14"/>
      <c r="S376" s="14"/>
      <c r="T376" s="70"/>
      <c r="U376" s="76" t="s">
        <v>54</v>
      </c>
      <c r="V376" s="76"/>
      <c r="W376" s="76" t="s">
        <v>54</v>
      </c>
      <c r="X376" s="76"/>
      <c r="Y376" s="97"/>
      <c r="Z376" s="87"/>
      <c r="AA376" s="79"/>
      <c r="AB376" s="79" t="s">
        <v>37</v>
      </c>
      <c r="AC376" s="79" t="s">
        <v>37</v>
      </c>
      <c r="AD376" s="79"/>
      <c r="AE376" s="79"/>
      <c r="AF376" s="79"/>
      <c r="AG376" s="79"/>
      <c r="AH376" s="79"/>
      <c r="AI376" s="53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</row>
    <row r="377" spans="1:110" ht="13.8" x14ac:dyDescent="0.25">
      <c r="A377" s="24">
        <v>1205005</v>
      </c>
      <c r="B377" s="26" t="s">
        <v>567</v>
      </c>
      <c r="C377" s="25" t="s">
        <v>706</v>
      </c>
      <c r="D377" s="26"/>
      <c r="E377" s="17" t="s">
        <v>57</v>
      </c>
      <c r="F377" s="10" t="s">
        <v>34</v>
      </c>
      <c r="G377" s="55" t="str">
        <f t="shared" si="11"/>
        <v>Obsolete</v>
      </c>
      <c r="H377" s="10"/>
      <c r="I377" s="13"/>
      <c r="J377" s="56"/>
      <c r="K377" s="57"/>
      <c r="M377" s="14"/>
      <c r="N377" s="14"/>
      <c r="O377" s="14"/>
      <c r="P377" s="14"/>
      <c r="Q377" s="14"/>
      <c r="R377" s="14"/>
      <c r="S377" s="14"/>
      <c r="T377" s="70"/>
      <c r="U377" s="76" t="s">
        <v>54</v>
      </c>
      <c r="V377" s="76"/>
      <c r="W377" s="76" t="s">
        <v>54</v>
      </c>
      <c r="X377" s="76"/>
      <c r="Y377" s="97"/>
      <c r="Z377" s="87"/>
      <c r="AA377" s="79"/>
      <c r="AB377" s="79" t="s">
        <v>37</v>
      </c>
      <c r="AC377" s="79" t="s">
        <v>37</v>
      </c>
      <c r="AD377" s="79"/>
      <c r="AE377" s="79"/>
      <c r="AF377" s="79"/>
      <c r="AG377" s="79"/>
      <c r="AH377" s="79"/>
      <c r="AI377" s="53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</row>
    <row r="378" spans="1:110" ht="13.8" x14ac:dyDescent="0.25">
      <c r="A378" s="24">
        <v>1205006</v>
      </c>
      <c r="B378" s="26" t="s">
        <v>567</v>
      </c>
      <c r="C378" s="25" t="s">
        <v>707</v>
      </c>
      <c r="D378" s="26"/>
      <c r="E378" s="17" t="s">
        <v>57</v>
      </c>
      <c r="F378" s="10" t="s">
        <v>34</v>
      </c>
      <c r="G378" s="55" t="str">
        <f t="shared" si="11"/>
        <v>Obsolete</v>
      </c>
      <c r="H378" s="10"/>
      <c r="I378" s="13"/>
      <c r="J378" s="56"/>
      <c r="K378" s="57"/>
      <c r="M378" s="14"/>
      <c r="N378" s="14"/>
      <c r="O378" s="14"/>
      <c r="P378" s="14"/>
      <c r="Q378" s="14"/>
      <c r="R378" s="14"/>
      <c r="S378" s="14"/>
      <c r="T378" s="70"/>
      <c r="U378" s="76" t="s">
        <v>54</v>
      </c>
      <c r="V378" s="76"/>
      <c r="W378" s="76" t="s">
        <v>54</v>
      </c>
      <c r="X378" s="76"/>
      <c r="Y378" s="97"/>
      <c r="Z378" s="87"/>
      <c r="AA378" s="79"/>
      <c r="AB378" s="79" t="s">
        <v>37</v>
      </c>
      <c r="AC378" s="79" t="s">
        <v>37</v>
      </c>
      <c r="AD378" s="79"/>
      <c r="AE378" s="79"/>
      <c r="AF378" s="79"/>
      <c r="AG378" s="79"/>
      <c r="AH378" s="79"/>
      <c r="AI378" s="53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</row>
    <row r="379" spans="1:110" ht="13.8" x14ac:dyDescent="0.25">
      <c r="A379" s="24">
        <v>1205007</v>
      </c>
      <c r="B379" s="26" t="s">
        <v>567</v>
      </c>
      <c r="C379" s="25" t="s">
        <v>708</v>
      </c>
      <c r="D379" s="26"/>
      <c r="E379" s="17" t="s">
        <v>57</v>
      </c>
      <c r="F379" s="10" t="s">
        <v>34</v>
      </c>
      <c r="G379" s="55" t="str">
        <f t="shared" si="11"/>
        <v>Obsolete</v>
      </c>
      <c r="H379" s="10"/>
      <c r="I379" s="13"/>
      <c r="J379" s="56"/>
      <c r="K379" s="57"/>
      <c r="M379" s="14"/>
      <c r="N379" s="14"/>
      <c r="O379" s="14"/>
      <c r="P379" s="14"/>
      <c r="Q379" s="14"/>
      <c r="R379" s="14"/>
      <c r="S379" s="14"/>
      <c r="T379" s="70"/>
      <c r="U379" s="76" t="s">
        <v>54</v>
      </c>
      <c r="V379" s="76"/>
      <c r="W379" s="76" t="s">
        <v>54</v>
      </c>
      <c r="X379" s="76"/>
      <c r="Y379" s="97"/>
      <c r="Z379" s="87"/>
      <c r="AA379" s="79"/>
      <c r="AB379" s="79" t="s">
        <v>37</v>
      </c>
      <c r="AC379" s="79" t="s">
        <v>37</v>
      </c>
      <c r="AD379" s="79"/>
      <c r="AE379" s="79"/>
      <c r="AF379" s="79"/>
      <c r="AG379" s="79"/>
      <c r="AH379" s="79"/>
      <c r="AI379" s="53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</row>
    <row r="380" spans="1:110" ht="13.8" x14ac:dyDescent="0.25">
      <c r="A380" s="24">
        <v>1205008</v>
      </c>
      <c r="B380" s="26" t="s">
        <v>567</v>
      </c>
      <c r="C380" s="25" t="s">
        <v>709</v>
      </c>
      <c r="D380" s="26"/>
      <c r="E380" s="17" t="s">
        <v>57</v>
      </c>
      <c r="F380" s="10" t="s">
        <v>34</v>
      </c>
      <c r="G380" s="55" t="str">
        <f t="shared" si="11"/>
        <v>Obsolete</v>
      </c>
      <c r="H380" s="10"/>
      <c r="I380" s="13"/>
      <c r="J380" s="56"/>
      <c r="K380" s="57"/>
      <c r="M380" s="14"/>
      <c r="N380" s="14"/>
      <c r="O380" s="14"/>
      <c r="P380" s="14"/>
      <c r="Q380" s="14"/>
      <c r="R380" s="14"/>
      <c r="S380" s="14"/>
      <c r="T380" s="70"/>
      <c r="U380" s="76" t="s">
        <v>54</v>
      </c>
      <c r="V380" s="76"/>
      <c r="W380" s="76" t="s">
        <v>54</v>
      </c>
      <c r="X380" s="76"/>
      <c r="Y380" s="97"/>
      <c r="Z380" s="87"/>
      <c r="AA380" s="79"/>
      <c r="AB380" s="79" t="s">
        <v>37</v>
      </c>
      <c r="AC380" s="79" t="s">
        <v>37</v>
      </c>
      <c r="AD380" s="79"/>
      <c r="AE380" s="79"/>
      <c r="AF380" s="79"/>
      <c r="AG380" s="79"/>
      <c r="AH380" s="79"/>
      <c r="AI380" s="53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</row>
    <row r="381" spans="1:110" ht="13.8" x14ac:dyDescent="0.25">
      <c r="A381" s="24">
        <v>1205009</v>
      </c>
      <c r="B381" s="26" t="s">
        <v>567</v>
      </c>
      <c r="C381" s="25" t="s">
        <v>710</v>
      </c>
      <c r="D381" s="26"/>
      <c r="E381" s="17" t="s">
        <v>57</v>
      </c>
      <c r="F381" s="10" t="s">
        <v>34</v>
      </c>
      <c r="G381" s="55" t="str">
        <f t="shared" si="11"/>
        <v>Obsolete</v>
      </c>
      <c r="H381" s="10"/>
      <c r="I381" s="13"/>
      <c r="J381" s="56"/>
      <c r="K381" s="57"/>
      <c r="M381" s="14"/>
      <c r="N381" s="14"/>
      <c r="O381" s="14"/>
      <c r="P381" s="14"/>
      <c r="Q381" s="14"/>
      <c r="R381" s="14"/>
      <c r="S381" s="14"/>
      <c r="T381" s="70"/>
      <c r="U381" s="76" t="s">
        <v>54</v>
      </c>
      <c r="V381" s="76"/>
      <c r="W381" s="76" t="s">
        <v>54</v>
      </c>
      <c r="X381" s="76"/>
      <c r="Y381" s="97"/>
      <c r="Z381" s="87"/>
      <c r="AA381" s="79"/>
      <c r="AB381" s="79" t="s">
        <v>37</v>
      </c>
      <c r="AC381" s="79" t="s">
        <v>37</v>
      </c>
      <c r="AD381" s="79"/>
      <c r="AE381" s="79"/>
      <c r="AF381" s="79"/>
      <c r="AG381" s="79"/>
      <c r="AH381" s="79"/>
      <c r="AI381" s="53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</row>
    <row r="382" spans="1:110" ht="13.8" x14ac:dyDescent="0.25">
      <c r="A382" s="24">
        <v>1205010</v>
      </c>
      <c r="B382" s="26" t="s">
        <v>567</v>
      </c>
      <c r="C382" s="25" t="s">
        <v>711</v>
      </c>
      <c r="D382" s="26"/>
      <c r="E382" s="17" t="s">
        <v>57</v>
      </c>
      <c r="F382" s="10" t="s">
        <v>34</v>
      </c>
      <c r="G382" s="55" t="str">
        <f t="shared" si="11"/>
        <v>Obsolete</v>
      </c>
      <c r="H382" s="10"/>
      <c r="I382" s="13"/>
      <c r="J382" s="56"/>
      <c r="K382" s="57"/>
      <c r="M382" s="14"/>
      <c r="N382" s="14"/>
      <c r="O382" s="14"/>
      <c r="P382" s="14"/>
      <c r="Q382" s="14"/>
      <c r="R382" s="14"/>
      <c r="S382" s="14"/>
      <c r="T382" s="70"/>
      <c r="U382" s="76" t="s">
        <v>54</v>
      </c>
      <c r="V382" s="76"/>
      <c r="W382" s="76" t="s">
        <v>54</v>
      </c>
      <c r="X382" s="76"/>
      <c r="Y382" s="97"/>
      <c r="Z382" s="87"/>
      <c r="AA382" s="79"/>
      <c r="AB382" s="79" t="s">
        <v>37</v>
      </c>
      <c r="AC382" s="79" t="s">
        <v>37</v>
      </c>
      <c r="AD382" s="79"/>
      <c r="AE382" s="79"/>
      <c r="AF382" s="79"/>
      <c r="AG382" s="79"/>
      <c r="AH382" s="79"/>
      <c r="AI382" s="53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</row>
    <row r="383" spans="1:110" ht="13.8" x14ac:dyDescent="0.25">
      <c r="A383" s="24">
        <v>1205011</v>
      </c>
      <c r="B383" s="26" t="s">
        <v>567</v>
      </c>
      <c r="C383" s="25" t="s">
        <v>712</v>
      </c>
      <c r="D383" s="26"/>
      <c r="E383" s="17" t="s">
        <v>57</v>
      </c>
      <c r="F383" s="10" t="s">
        <v>34</v>
      </c>
      <c r="G383" s="55" t="str">
        <f t="shared" si="11"/>
        <v>Obsolete</v>
      </c>
      <c r="H383" s="10"/>
      <c r="I383" s="13"/>
      <c r="J383" s="56"/>
      <c r="K383" s="57"/>
      <c r="M383" s="14"/>
      <c r="N383" s="14"/>
      <c r="O383" s="14"/>
      <c r="P383" s="14"/>
      <c r="Q383" s="14"/>
      <c r="R383" s="14"/>
      <c r="S383" s="14"/>
      <c r="T383" s="70"/>
      <c r="U383" s="76" t="s">
        <v>54</v>
      </c>
      <c r="V383" s="76"/>
      <c r="W383" s="76" t="s">
        <v>54</v>
      </c>
      <c r="X383" s="76"/>
      <c r="Y383" s="97"/>
      <c r="Z383" s="87"/>
      <c r="AA383" s="79"/>
      <c r="AB383" s="79" t="s">
        <v>37</v>
      </c>
      <c r="AC383" s="79" t="s">
        <v>37</v>
      </c>
      <c r="AD383" s="79"/>
      <c r="AE383" s="79"/>
      <c r="AF383" s="79"/>
      <c r="AG383" s="79"/>
      <c r="AH383" s="79"/>
      <c r="AI383" s="53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</row>
    <row r="384" spans="1:110" ht="13.8" x14ac:dyDescent="0.25">
      <c r="A384" s="24">
        <v>1205012</v>
      </c>
      <c r="B384" s="26" t="s">
        <v>567</v>
      </c>
      <c r="C384" s="25" t="s">
        <v>713</v>
      </c>
      <c r="D384" s="26"/>
      <c r="E384" s="17" t="s">
        <v>57</v>
      </c>
      <c r="F384" s="10" t="s">
        <v>34</v>
      </c>
      <c r="G384" s="55" t="str">
        <f t="shared" si="11"/>
        <v>Obsolete</v>
      </c>
      <c r="H384" s="10"/>
      <c r="I384" s="13"/>
      <c r="J384" s="56"/>
      <c r="K384" s="57"/>
      <c r="M384" s="14"/>
      <c r="N384" s="14"/>
      <c r="O384" s="14"/>
      <c r="P384" s="14"/>
      <c r="Q384" s="14"/>
      <c r="R384" s="14"/>
      <c r="S384" s="14"/>
      <c r="T384" s="70"/>
      <c r="U384" s="76" t="s">
        <v>54</v>
      </c>
      <c r="V384" s="76"/>
      <c r="W384" s="76" t="s">
        <v>54</v>
      </c>
      <c r="X384" s="76"/>
      <c r="Y384" s="97"/>
      <c r="Z384" s="87"/>
      <c r="AA384" s="79"/>
      <c r="AB384" s="79" t="s">
        <v>37</v>
      </c>
      <c r="AC384" s="79" t="s">
        <v>37</v>
      </c>
      <c r="AD384" s="79"/>
      <c r="AE384" s="79"/>
      <c r="AF384" s="79"/>
      <c r="AG384" s="79"/>
      <c r="AH384" s="79"/>
      <c r="AI384" s="53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</row>
    <row r="385" spans="1:110" ht="13.8" x14ac:dyDescent="0.25">
      <c r="A385" s="24">
        <v>1205013</v>
      </c>
      <c r="B385" s="26" t="s">
        <v>567</v>
      </c>
      <c r="C385" s="25" t="s">
        <v>714</v>
      </c>
      <c r="D385" s="26"/>
      <c r="E385" s="17" t="s">
        <v>57</v>
      </c>
      <c r="F385" s="10" t="s">
        <v>34</v>
      </c>
      <c r="G385" s="55" t="str">
        <f t="shared" si="11"/>
        <v>Obsolete</v>
      </c>
      <c r="H385" s="10"/>
      <c r="I385" s="13"/>
      <c r="J385" s="56"/>
      <c r="K385" s="57"/>
      <c r="M385" s="14"/>
      <c r="N385" s="14"/>
      <c r="O385" s="14"/>
      <c r="P385" s="14"/>
      <c r="Q385" s="14"/>
      <c r="R385" s="14"/>
      <c r="S385" s="14"/>
      <c r="T385" s="70"/>
      <c r="U385" s="76" t="s">
        <v>54</v>
      </c>
      <c r="V385" s="76"/>
      <c r="W385" s="76" t="s">
        <v>54</v>
      </c>
      <c r="X385" s="76"/>
      <c r="Y385" s="97"/>
      <c r="Z385" s="87"/>
      <c r="AA385" s="79"/>
      <c r="AB385" s="79" t="s">
        <v>37</v>
      </c>
      <c r="AC385" s="79" t="s">
        <v>37</v>
      </c>
      <c r="AD385" s="79"/>
      <c r="AE385" s="79"/>
      <c r="AF385" s="79"/>
      <c r="AG385" s="79"/>
      <c r="AH385" s="79"/>
      <c r="AI385" s="53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</row>
    <row r="386" spans="1:110" ht="13.8" x14ac:dyDescent="0.25">
      <c r="A386" s="24">
        <v>1205014</v>
      </c>
      <c r="B386" s="26" t="s">
        <v>567</v>
      </c>
      <c r="C386" s="25" t="s">
        <v>715</v>
      </c>
      <c r="D386" s="26"/>
      <c r="E386" s="17" t="s">
        <v>57</v>
      </c>
      <c r="F386" s="10" t="s">
        <v>34</v>
      </c>
      <c r="G386" s="55" t="str">
        <f t="shared" si="11"/>
        <v>Obsolete</v>
      </c>
      <c r="H386" s="10"/>
      <c r="I386" s="13"/>
      <c r="J386" s="56"/>
      <c r="K386" s="57"/>
      <c r="M386" s="14"/>
      <c r="N386" s="14"/>
      <c r="O386" s="14"/>
      <c r="P386" s="14"/>
      <c r="Q386" s="14"/>
      <c r="R386" s="14"/>
      <c r="S386" s="14"/>
      <c r="T386" s="70"/>
      <c r="U386" s="76" t="s">
        <v>54</v>
      </c>
      <c r="V386" s="76"/>
      <c r="W386" s="76" t="s">
        <v>54</v>
      </c>
      <c r="X386" s="76"/>
      <c r="Y386" s="97"/>
      <c r="Z386" s="87"/>
      <c r="AA386" s="79"/>
      <c r="AB386" s="79" t="s">
        <v>37</v>
      </c>
      <c r="AC386" s="79" t="s">
        <v>37</v>
      </c>
      <c r="AD386" s="79"/>
      <c r="AE386" s="79"/>
      <c r="AF386" s="79"/>
      <c r="AG386" s="79"/>
      <c r="AH386" s="79"/>
      <c r="AI386" s="53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</row>
    <row r="387" spans="1:110" ht="13.8" x14ac:dyDescent="0.25">
      <c r="A387" s="24">
        <v>1205015</v>
      </c>
      <c r="B387" s="26" t="s">
        <v>567</v>
      </c>
      <c r="C387" s="25" t="s">
        <v>716</v>
      </c>
      <c r="D387" s="26"/>
      <c r="E387" s="17" t="s">
        <v>57</v>
      </c>
      <c r="F387" s="10" t="s">
        <v>34</v>
      </c>
      <c r="G387" s="55" t="str">
        <f t="shared" si="11"/>
        <v>Obsolete</v>
      </c>
      <c r="H387" s="10"/>
      <c r="I387" s="13"/>
      <c r="J387" s="56"/>
      <c r="K387" s="57"/>
      <c r="M387" s="14"/>
      <c r="N387" s="14"/>
      <c r="O387" s="14"/>
      <c r="P387" s="14"/>
      <c r="Q387" s="14"/>
      <c r="R387" s="14"/>
      <c r="S387" s="14"/>
      <c r="T387" s="70"/>
      <c r="U387" s="76" t="s">
        <v>54</v>
      </c>
      <c r="V387" s="76"/>
      <c r="W387" s="76" t="s">
        <v>54</v>
      </c>
      <c r="X387" s="76"/>
      <c r="Y387" s="97"/>
      <c r="Z387" s="87"/>
      <c r="AA387" s="79"/>
      <c r="AB387" s="79" t="s">
        <v>37</v>
      </c>
      <c r="AC387" s="79" t="s">
        <v>37</v>
      </c>
      <c r="AD387" s="79"/>
      <c r="AE387" s="79"/>
      <c r="AF387" s="79"/>
      <c r="AG387" s="79"/>
      <c r="AH387" s="79"/>
      <c r="AI387" s="53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</row>
    <row r="388" spans="1:110" ht="13.8" x14ac:dyDescent="0.25">
      <c r="A388" s="24">
        <v>1205016</v>
      </c>
      <c r="B388" s="26" t="s">
        <v>567</v>
      </c>
      <c r="C388" s="25" t="s">
        <v>717</v>
      </c>
      <c r="D388" s="26"/>
      <c r="E388" s="17" t="s">
        <v>57</v>
      </c>
      <c r="F388" s="10" t="s">
        <v>34</v>
      </c>
      <c r="G388" s="55" t="str">
        <f t="shared" si="11"/>
        <v>Obsolete</v>
      </c>
      <c r="H388" s="10"/>
      <c r="I388" s="13"/>
      <c r="J388" s="56"/>
      <c r="K388" s="57"/>
      <c r="M388" s="14"/>
      <c r="N388" s="14"/>
      <c r="O388" s="14"/>
      <c r="P388" s="14"/>
      <c r="Q388" s="14"/>
      <c r="R388" s="14"/>
      <c r="S388" s="14"/>
      <c r="T388" s="70"/>
      <c r="U388" s="76" t="s">
        <v>54</v>
      </c>
      <c r="V388" s="76"/>
      <c r="W388" s="76" t="s">
        <v>54</v>
      </c>
      <c r="X388" s="76"/>
      <c r="Y388" s="97"/>
      <c r="Z388" s="87"/>
      <c r="AA388" s="79"/>
      <c r="AB388" s="79" t="s">
        <v>37</v>
      </c>
      <c r="AC388" s="79" t="s">
        <v>37</v>
      </c>
      <c r="AD388" s="79"/>
      <c r="AE388" s="79"/>
      <c r="AF388" s="79"/>
      <c r="AG388" s="79"/>
      <c r="AH388" s="79"/>
      <c r="AI388" s="53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</row>
    <row r="389" spans="1:110" ht="13.8" x14ac:dyDescent="0.25">
      <c r="A389" s="24">
        <v>1205017</v>
      </c>
      <c r="B389" s="26" t="s">
        <v>567</v>
      </c>
      <c r="C389" s="25" t="s">
        <v>718</v>
      </c>
      <c r="D389" s="26"/>
      <c r="E389" s="17" t="s">
        <v>57</v>
      </c>
      <c r="F389" s="10" t="s">
        <v>34</v>
      </c>
      <c r="G389" s="55" t="str">
        <f t="shared" si="11"/>
        <v>Obsolete</v>
      </c>
      <c r="H389" s="10"/>
      <c r="I389" s="13"/>
      <c r="J389" s="56"/>
      <c r="K389" s="57"/>
      <c r="M389" s="14"/>
      <c r="N389" s="14"/>
      <c r="O389" s="14"/>
      <c r="P389" s="14"/>
      <c r="Q389" s="14"/>
      <c r="R389" s="14"/>
      <c r="S389" s="14"/>
      <c r="T389" s="70"/>
      <c r="U389" s="76" t="s">
        <v>54</v>
      </c>
      <c r="V389" s="76"/>
      <c r="W389" s="76" t="s">
        <v>54</v>
      </c>
      <c r="X389" s="76"/>
      <c r="Y389" s="97"/>
      <c r="Z389" s="87"/>
      <c r="AA389" s="79"/>
      <c r="AB389" s="79" t="s">
        <v>37</v>
      </c>
      <c r="AC389" s="79" t="s">
        <v>37</v>
      </c>
      <c r="AD389" s="79"/>
      <c r="AE389" s="79"/>
      <c r="AF389" s="79"/>
      <c r="AG389" s="79"/>
      <c r="AH389" s="79"/>
      <c r="AI389" s="53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</row>
    <row r="390" spans="1:110" ht="13.8" x14ac:dyDescent="0.25">
      <c r="A390" s="24">
        <v>1205018</v>
      </c>
      <c r="B390" s="26" t="s">
        <v>567</v>
      </c>
      <c r="C390" s="25" t="s">
        <v>719</v>
      </c>
      <c r="D390" s="26"/>
      <c r="E390" s="17" t="s">
        <v>57</v>
      </c>
      <c r="F390" s="10" t="s">
        <v>34</v>
      </c>
      <c r="G390" s="55" t="str">
        <f t="shared" si="11"/>
        <v>Obsolete</v>
      </c>
      <c r="H390" s="10"/>
      <c r="I390" s="13"/>
      <c r="J390" s="56"/>
      <c r="K390" s="57"/>
      <c r="M390" s="14"/>
      <c r="N390" s="14"/>
      <c r="O390" s="14"/>
      <c r="P390" s="14"/>
      <c r="Q390" s="14"/>
      <c r="R390" s="14"/>
      <c r="S390" s="14"/>
      <c r="T390" s="70"/>
      <c r="U390" s="76" t="s">
        <v>54</v>
      </c>
      <c r="V390" s="76"/>
      <c r="W390" s="76" t="s">
        <v>54</v>
      </c>
      <c r="X390" s="76"/>
      <c r="Y390" s="97"/>
      <c r="Z390" s="87"/>
      <c r="AA390" s="79"/>
      <c r="AB390" s="79" t="s">
        <v>37</v>
      </c>
      <c r="AC390" s="79" t="s">
        <v>37</v>
      </c>
      <c r="AD390" s="79"/>
      <c r="AE390" s="79"/>
      <c r="AF390" s="79"/>
      <c r="AG390" s="79"/>
      <c r="AH390" s="79"/>
      <c r="AI390" s="53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</row>
    <row r="391" spans="1:110" ht="13.8" x14ac:dyDescent="0.25">
      <c r="A391" s="24">
        <v>1205019</v>
      </c>
      <c r="B391" s="26" t="s">
        <v>567</v>
      </c>
      <c r="C391" s="25" t="s">
        <v>720</v>
      </c>
      <c r="D391" s="26"/>
      <c r="E391" s="17" t="s">
        <v>57</v>
      </c>
      <c r="F391" s="10" t="s">
        <v>34</v>
      </c>
      <c r="G391" s="55" t="str">
        <f t="shared" si="11"/>
        <v>Obsolete</v>
      </c>
      <c r="H391" s="10"/>
      <c r="I391" s="13"/>
      <c r="J391" s="56"/>
      <c r="K391" s="57"/>
      <c r="M391" s="14"/>
      <c r="N391" s="14"/>
      <c r="O391" s="14"/>
      <c r="P391" s="14"/>
      <c r="Q391" s="14"/>
      <c r="R391" s="14"/>
      <c r="S391" s="14"/>
      <c r="T391" s="70"/>
      <c r="U391" s="76" t="s">
        <v>54</v>
      </c>
      <c r="V391" s="76"/>
      <c r="W391" s="76" t="s">
        <v>54</v>
      </c>
      <c r="X391" s="76"/>
      <c r="Y391" s="97"/>
      <c r="Z391" s="87"/>
      <c r="AA391" s="79"/>
      <c r="AB391" s="79" t="s">
        <v>37</v>
      </c>
      <c r="AC391" s="79" t="s">
        <v>37</v>
      </c>
      <c r="AD391" s="79"/>
      <c r="AE391" s="79"/>
      <c r="AF391" s="79"/>
      <c r="AG391" s="79"/>
      <c r="AH391" s="79"/>
      <c r="AI391" s="53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</row>
    <row r="392" spans="1:110" ht="13.8" x14ac:dyDescent="0.25">
      <c r="A392" s="24">
        <v>1205020</v>
      </c>
      <c r="B392" s="26" t="s">
        <v>567</v>
      </c>
      <c r="C392" s="12" t="s">
        <v>721</v>
      </c>
      <c r="D392" s="11"/>
      <c r="E392" s="17" t="s">
        <v>57</v>
      </c>
      <c r="F392" s="10" t="s">
        <v>34</v>
      </c>
      <c r="G392" s="55" t="str">
        <f t="shared" si="11"/>
        <v>Obsolete</v>
      </c>
      <c r="H392" s="10"/>
      <c r="I392" s="13"/>
      <c r="J392" s="56"/>
      <c r="K392" s="57"/>
      <c r="M392" s="14"/>
      <c r="N392" s="14"/>
      <c r="O392" s="14"/>
      <c r="P392" s="14"/>
      <c r="Q392" s="14"/>
      <c r="R392" s="14"/>
      <c r="S392" s="14"/>
      <c r="T392" s="70"/>
      <c r="U392" s="76" t="s">
        <v>54</v>
      </c>
      <c r="V392" s="76"/>
      <c r="W392" s="76" t="s">
        <v>54</v>
      </c>
      <c r="X392" s="76"/>
      <c r="Y392" s="97"/>
      <c r="Z392" s="78"/>
      <c r="AA392" s="79" t="s">
        <v>55</v>
      </c>
      <c r="AB392" s="79" t="s">
        <v>37</v>
      </c>
      <c r="AC392" s="79" t="s">
        <v>37</v>
      </c>
      <c r="AD392" s="79"/>
      <c r="AE392" s="79"/>
      <c r="AF392" s="79"/>
      <c r="AG392" s="79"/>
      <c r="AH392" s="79"/>
      <c r="AI392" s="53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</row>
    <row r="393" spans="1:110" ht="13.8" x14ac:dyDescent="0.25">
      <c r="A393" s="24">
        <v>1205021</v>
      </c>
      <c r="B393" s="26" t="s">
        <v>567</v>
      </c>
      <c r="C393" s="12" t="s">
        <v>722</v>
      </c>
      <c r="D393" s="11"/>
      <c r="E393" s="17" t="s">
        <v>57</v>
      </c>
      <c r="F393" s="10" t="s">
        <v>34</v>
      </c>
      <c r="G393" s="55" t="str">
        <f t="shared" si="11"/>
        <v>Obsolete</v>
      </c>
      <c r="H393" s="10"/>
      <c r="I393" s="13"/>
      <c r="J393" s="56"/>
      <c r="K393" s="57"/>
      <c r="M393" s="14"/>
      <c r="N393" s="14"/>
      <c r="O393" s="14"/>
      <c r="P393" s="14"/>
      <c r="Q393" s="14"/>
      <c r="R393" s="14"/>
      <c r="S393" s="14"/>
      <c r="T393" s="70"/>
      <c r="U393" s="76" t="s">
        <v>54</v>
      </c>
      <c r="V393" s="76"/>
      <c r="W393" s="76" t="s">
        <v>54</v>
      </c>
      <c r="X393" s="76"/>
      <c r="Y393" s="97"/>
      <c r="Z393" s="78"/>
      <c r="AA393" s="79" t="s">
        <v>55</v>
      </c>
      <c r="AB393" s="79" t="s">
        <v>37</v>
      </c>
      <c r="AC393" s="79" t="s">
        <v>37</v>
      </c>
      <c r="AD393" s="79"/>
      <c r="AE393" s="79"/>
      <c r="AF393" s="79"/>
      <c r="AG393" s="79"/>
      <c r="AH393" s="79"/>
      <c r="AI393" s="53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</row>
    <row r="394" spans="1:110" ht="13.8" x14ac:dyDescent="0.25">
      <c r="A394" s="24">
        <v>1205022</v>
      </c>
      <c r="B394" s="26" t="s">
        <v>567</v>
      </c>
      <c r="C394" s="25" t="s">
        <v>723</v>
      </c>
      <c r="D394" s="26"/>
      <c r="E394" s="17" t="s">
        <v>57</v>
      </c>
      <c r="F394" s="10" t="s">
        <v>34</v>
      </c>
      <c r="G394" s="55" t="str">
        <f t="shared" si="11"/>
        <v>Obsolete</v>
      </c>
      <c r="H394" s="10"/>
      <c r="I394" s="13"/>
      <c r="J394" s="56"/>
      <c r="K394" s="57"/>
      <c r="M394" s="14"/>
      <c r="N394" s="14"/>
      <c r="O394" s="14"/>
      <c r="P394" s="14"/>
      <c r="Q394" s="14"/>
      <c r="R394" s="14"/>
      <c r="S394" s="14"/>
      <c r="T394" s="70"/>
      <c r="U394" s="76" t="s">
        <v>54</v>
      </c>
      <c r="V394" s="76"/>
      <c r="W394" s="76" t="s">
        <v>54</v>
      </c>
      <c r="X394" s="76"/>
      <c r="Y394" s="97"/>
      <c r="Z394" s="87"/>
      <c r="AA394" s="79"/>
      <c r="AB394" s="79" t="s">
        <v>37</v>
      </c>
      <c r="AC394" s="79" t="s">
        <v>37</v>
      </c>
      <c r="AD394" s="79"/>
      <c r="AE394" s="79"/>
      <c r="AF394" s="79"/>
      <c r="AG394" s="79"/>
      <c r="AH394" s="79"/>
      <c r="AI394" s="53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</row>
    <row r="395" spans="1:110" ht="13.8" x14ac:dyDescent="0.25">
      <c r="A395" s="24">
        <v>1205026</v>
      </c>
      <c r="B395" s="26" t="s">
        <v>567</v>
      </c>
      <c r="C395" s="12" t="s">
        <v>724</v>
      </c>
      <c r="D395" s="11"/>
      <c r="E395" s="17" t="s">
        <v>57</v>
      </c>
      <c r="F395" s="10" t="s">
        <v>34</v>
      </c>
      <c r="G395" s="55" t="str">
        <f t="shared" si="11"/>
        <v>Obsolete</v>
      </c>
      <c r="H395" s="10"/>
      <c r="I395" s="13"/>
      <c r="J395" s="56"/>
      <c r="K395" s="57"/>
      <c r="M395" s="14"/>
      <c r="N395" s="14"/>
      <c r="O395" s="14"/>
      <c r="P395" s="14"/>
      <c r="Q395" s="14"/>
      <c r="R395" s="14"/>
      <c r="S395" s="14"/>
      <c r="T395" s="70"/>
      <c r="U395" s="76" t="s">
        <v>54</v>
      </c>
      <c r="V395" s="76"/>
      <c r="W395" s="76" t="s">
        <v>54</v>
      </c>
      <c r="X395" s="76"/>
      <c r="Y395" s="97"/>
      <c r="Z395" s="78"/>
      <c r="AA395" s="79" t="s">
        <v>55</v>
      </c>
      <c r="AB395" s="79" t="s">
        <v>37</v>
      </c>
      <c r="AC395" s="79" t="s">
        <v>37</v>
      </c>
      <c r="AD395" s="79"/>
      <c r="AE395" s="79"/>
      <c r="AF395" s="79"/>
      <c r="AG395" s="79"/>
      <c r="AH395" s="79"/>
      <c r="AI395" s="53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</row>
    <row r="396" spans="1:110" ht="13.8" x14ac:dyDescent="0.25">
      <c r="A396" s="24">
        <v>1205027</v>
      </c>
      <c r="B396" s="26" t="s">
        <v>567</v>
      </c>
      <c r="C396" s="12" t="s">
        <v>725</v>
      </c>
      <c r="D396" s="11"/>
      <c r="E396" s="17" t="s">
        <v>57</v>
      </c>
      <c r="F396" s="10" t="s">
        <v>34</v>
      </c>
      <c r="G396" s="55" t="str">
        <f t="shared" si="11"/>
        <v>Obsolete</v>
      </c>
      <c r="H396" s="10"/>
      <c r="I396" s="13"/>
      <c r="J396" s="56"/>
      <c r="K396" s="57"/>
      <c r="M396" s="14"/>
      <c r="N396" s="14"/>
      <c r="O396" s="14"/>
      <c r="P396" s="14"/>
      <c r="Q396" s="14"/>
      <c r="R396" s="14"/>
      <c r="S396" s="14"/>
      <c r="T396" s="70"/>
      <c r="U396" s="76" t="s">
        <v>54</v>
      </c>
      <c r="V396" s="76"/>
      <c r="W396" s="76" t="s">
        <v>54</v>
      </c>
      <c r="X396" s="76"/>
      <c r="Y396" s="97"/>
      <c r="Z396" s="78"/>
      <c r="AA396" s="79" t="s">
        <v>55</v>
      </c>
      <c r="AB396" s="79" t="s">
        <v>37</v>
      </c>
      <c r="AC396" s="79" t="s">
        <v>37</v>
      </c>
      <c r="AD396" s="79"/>
      <c r="AE396" s="79"/>
      <c r="AF396" s="79"/>
      <c r="AG396" s="79"/>
      <c r="AH396" s="79"/>
      <c r="AI396" s="53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</row>
    <row r="397" spans="1:110" ht="13.8" x14ac:dyDescent="0.25">
      <c r="A397" s="24">
        <v>1205028</v>
      </c>
      <c r="B397" s="26" t="s">
        <v>567</v>
      </c>
      <c r="C397" s="12" t="s">
        <v>726</v>
      </c>
      <c r="D397" s="11"/>
      <c r="E397" s="17" t="s">
        <v>57</v>
      </c>
      <c r="F397" s="10" t="s">
        <v>34</v>
      </c>
      <c r="G397" s="55" t="str">
        <f t="shared" si="11"/>
        <v>Obsolete</v>
      </c>
      <c r="H397" s="10"/>
      <c r="I397" s="13"/>
      <c r="J397" s="56"/>
      <c r="K397" s="57"/>
      <c r="M397" s="14"/>
      <c r="N397" s="14"/>
      <c r="O397" s="14"/>
      <c r="P397" s="14"/>
      <c r="Q397" s="14"/>
      <c r="R397" s="14"/>
      <c r="S397" s="14"/>
      <c r="T397" s="70"/>
      <c r="U397" s="76" t="s">
        <v>54</v>
      </c>
      <c r="V397" s="76"/>
      <c r="W397" s="76" t="s">
        <v>54</v>
      </c>
      <c r="X397" s="76"/>
      <c r="Y397" s="97"/>
      <c r="Z397" s="78"/>
      <c r="AA397" s="79" t="s">
        <v>55</v>
      </c>
      <c r="AB397" s="79" t="s">
        <v>37</v>
      </c>
      <c r="AC397" s="79" t="s">
        <v>37</v>
      </c>
      <c r="AD397" s="79"/>
      <c r="AE397" s="79"/>
      <c r="AF397" s="79"/>
      <c r="AG397" s="79"/>
      <c r="AH397" s="79"/>
      <c r="AI397" s="53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</row>
    <row r="398" spans="1:110" ht="13.8" x14ac:dyDescent="0.25">
      <c r="A398" s="24">
        <v>1205031</v>
      </c>
      <c r="B398" s="26" t="s">
        <v>567</v>
      </c>
      <c r="C398" s="12" t="s">
        <v>727</v>
      </c>
      <c r="D398" s="11"/>
      <c r="E398" s="17" t="s">
        <v>57</v>
      </c>
      <c r="F398" s="10" t="s">
        <v>34</v>
      </c>
      <c r="G398" s="55" t="str">
        <f t="shared" si="11"/>
        <v>Obsolete</v>
      </c>
      <c r="H398" s="10"/>
      <c r="I398" s="13"/>
      <c r="J398" s="56"/>
      <c r="K398" s="57"/>
      <c r="M398" s="14"/>
      <c r="N398" s="14"/>
      <c r="O398" s="14"/>
      <c r="P398" s="14"/>
      <c r="Q398" s="14"/>
      <c r="R398" s="14"/>
      <c r="S398" s="14"/>
      <c r="T398" s="70"/>
      <c r="U398" s="76" t="s">
        <v>54</v>
      </c>
      <c r="V398" s="76"/>
      <c r="W398" s="76" t="s">
        <v>54</v>
      </c>
      <c r="X398" s="76"/>
      <c r="Y398" s="97"/>
      <c r="Z398" s="78"/>
      <c r="AA398" s="79" t="s">
        <v>55</v>
      </c>
      <c r="AB398" s="79" t="s">
        <v>37</v>
      </c>
      <c r="AC398" s="79" t="s">
        <v>37</v>
      </c>
      <c r="AD398" s="79"/>
      <c r="AE398" s="79"/>
      <c r="AF398" s="79"/>
      <c r="AG398" s="79"/>
      <c r="AH398" s="79"/>
      <c r="AI398" s="53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</row>
    <row r="399" spans="1:110" ht="13.8" x14ac:dyDescent="0.25">
      <c r="A399" s="24">
        <v>1205032</v>
      </c>
      <c r="B399" s="26" t="s">
        <v>567</v>
      </c>
      <c r="C399" s="25" t="s">
        <v>728</v>
      </c>
      <c r="D399" s="26"/>
      <c r="E399" s="17" t="s">
        <v>57</v>
      </c>
      <c r="F399" s="10" t="s">
        <v>34</v>
      </c>
      <c r="G399" s="55" t="str">
        <f t="shared" si="11"/>
        <v>Obsolete</v>
      </c>
      <c r="H399" s="10"/>
      <c r="I399" s="13"/>
      <c r="J399" s="56"/>
      <c r="K399" s="57"/>
      <c r="M399" s="14"/>
      <c r="N399" s="14"/>
      <c r="O399" s="14"/>
      <c r="P399" s="14"/>
      <c r="Q399" s="14"/>
      <c r="R399" s="14"/>
      <c r="S399" s="14"/>
      <c r="T399" s="70"/>
      <c r="U399" s="76" t="s">
        <v>54</v>
      </c>
      <c r="V399" s="76"/>
      <c r="W399" s="76" t="s">
        <v>54</v>
      </c>
      <c r="X399" s="76"/>
      <c r="Y399" s="97"/>
      <c r="Z399" s="87"/>
      <c r="AA399" s="79"/>
      <c r="AB399" s="79" t="s">
        <v>37</v>
      </c>
      <c r="AC399" s="79" t="s">
        <v>37</v>
      </c>
      <c r="AD399" s="79"/>
      <c r="AE399" s="79"/>
      <c r="AF399" s="79"/>
      <c r="AG399" s="79"/>
      <c r="AH399" s="79"/>
      <c r="AI399" s="53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</row>
    <row r="400" spans="1:110" ht="13.8" x14ac:dyDescent="0.25">
      <c r="A400" s="24">
        <v>1205036</v>
      </c>
      <c r="B400" s="26" t="s">
        <v>567</v>
      </c>
      <c r="C400" s="12" t="s">
        <v>729</v>
      </c>
      <c r="D400" s="11"/>
      <c r="E400" s="17" t="s">
        <v>57</v>
      </c>
      <c r="F400" s="10" t="s">
        <v>34</v>
      </c>
      <c r="G400" s="55" t="str">
        <f t="shared" si="11"/>
        <v>Obsolete</v>
      </c>
      <c r="H400" s="10"/>
      <c r="I400" s="13"/>
      <c r="J400" s="56"/>
      <c r="K400" s="57"/>
      <c r="M400" s="14"/>
      <c r="N400" s="14"/>
      <c r="O400" s="14"/>
      <c r="P400" s="14"/>
      <c r="Q400" s="14"/>
      <c r="R400" s="14"/>
      <c r="S400" s="14"/>
      <c r="T400" s="70"/>
      <c r="U400" s="76" t="s">
        <v>54</v>
      </c>
      <c r="V400" s="76"/>
      <c r="W400" s="76" t="s">
        <v>54</v>
      </c>
      <c r="X400" s="76"/>
      <c r="Y400" s="97"/>
      <c r="Z400" s="78"/>
      <c r="AA400" s="79" t="s">
        <v>55</v>
      </c>
      <c r="AB400" s="79" t="s">
        <v>37</v>
      </c>
      <c r="AC400" s="79" t="s">
        <v>37</v>
      </c>
      <c r="AD400" s="79"/>
      <c r="AE400" s="79"/>
      <c r="AF400" s="79"/>
      <c r="AG400" s="79"/>
      <c r="AH400" s="79"/>
      <c r="AI400" s="53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</row>
    <row r="401" spans="1:110" ht="13.8" x14ac:dyDescent="0.25">
      <c r="A401" s="24">
        <v>1205037</v>
      </c>
      <c r="B401" s="26" t="s">
        <v>567</v>
      </c>
      <c r="C401" s="12" t="s">
        <v>730</v>
      </c>
      <c r="D401" s="11"/>
      <c r="E401" s="17" t="s">
        <v>57</v>
      </c>
      <c r="F401" s="10" t="s">
        <v>34</v>
      </c>
      <c r="G401" s="55" t="str">
        <f t="shared" si="11"/>
        <v>Obsolete</v>
      </c>
      <c r="H401" s="10"/>
      <c r="I401" s="13"/>
      <c r="J401" s="56"/>
      <c r="K401" s="57"/>
      <c r="M401" s="14"/>
      <c r="N401" s="14"/>
      <c r="O401" s="14"/>
      <c r="P401" s="14"/>
      <c r="Q401" s="14"/>
      <c r="R401" s="14"/>
      <c r="S401" s="14"/>
      <c r="T401" s="70"/>
      <c r="U401" s="76" t="s">
        <v>54</v>
      </c>
      <c r="V401" s="76"/>
      <c r="W401" s="76" t="s">
        <v>54</v>
      </c>
      <c r="X401" s="76"/>
      <c r="Y401" s="97"/>
      <c r="Z401" s="78"/>
      <c r="AA401" s="79" t="s">
        <v>55</v>
      </c>
      <c r="AB401" s="79" t="s">
        <v>37</v>
      </c>
      <c r="AC401" s="79" t="s">
        <v>37</v>
      </c>
      <c r="AD401" s="79"/>
      <c r="AE401" s="79"/>
      <c r="AF401" s="79"/>
      <c r="AG401" s="79"/>
      <c r="AH401" s="79"/>
      <c r="AI401" s="53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</row>
    <row r="402" spans="1:110" ht="13.8" x14ac:dyDescent="0.25">
      <c r="A402" s="24">
        <v>1205038</v>
      </c>
      <c r="B402" s="26" t="s">
        <v>567</v>
      </c>
      <c r="C402" s="12" t="s">
        <v>731</v>
      </c>
      <c r="D402" s="11"/>
      <c r="E402" s="10" t="s">
        <v>55</v>
      </c>
      <c r="F402" s="10" t="s">
        <v>34</v>
      </c>
      <c r="G402" s="55" t="str">
        <f t="shared" si="11"/>
        <v>Obsolete</v>
      </c>
      <c r="H402" s="10">
        <v>1</v>
      </c>
      <c r="I402" s="13"/>
      <c r="J402" s="56"/>
      <c r="K402" s="57"/>
      <c r="M402" s="14">
        <v>94.9</v>
      </c>
      <c r="N402" s="14"/>
      <c r="O402" s="14"/>
      <c r="P402" s="14"/>
      <c r="Q402" s="14"/>
      <c r="R402" s="14"/>
      <c r="S402" s="14"/>
      <c r="T402" s="70"/>
      <c r="U402" s="76" t="s">
        <v>54</v>
      </c>
      <c r="V402" s="76"/>
      <c r="W402" s="76" t="s">
        <v>54</v>
      </c>
      <c r="X402" s="76"/>
      <c r="Y402" s="97"/>
      <c r="Z402" s="78"/>
      <c r="AA402" s="79" t="s">
        <v>55</v>
      </c>
      <c r="AB402" s="79" t="s">
        <v>37</v>
      </c>
      <c r="AC402" s="79" t="s">
        <v>37</v>
      </c>
      <c r="AD402" s="79"/>
      <c r="AE402" s="79"/>
      <c r="AF402" s="79"/>
      <c r="AG402" s="79"/>
      <c r="AH402" s="79"/>
      <c r="AI402" s="53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</row>
    <row r="403" spans="1:110" ht="13.8" x14ac:dyDescent="0.25">
      <c r="A403" s="24">
        <v>1205039</v>
      </c>
      <c r="B403" s="26" t="s">
        <v>567</v>
      </c>
      <c r="C403" s="25" t="s">
        <v>732</v>
      </c>
      <c r="D403" s="26"/>
      <c r="E403" s="17" t="s">
        <v>57</v>
      </c>
      <c r="F403" s="10" t="s">
        <v>34</v>
      </c>
      <c r="G403" s="55" t="str">
        <f t="shared" si="11"/>
        <v>Obsolete</v>
      </c>
      <c r="H403" s="10"/>
      <c r="I403" s="13"/>
      <c r="J403" s="56"/>
      <c r="K403" s="57"/>
      <c r="M403" s="14"/>
      <c r="N403" s="14"/>
      <c r="O403" s="14"/>
      <c r="P403" s="14"/>
      <c r="Q403" s="14"/>
      <c r="R403" s="14"/>
      <c r="S403" s="14"/>
      <c r="T403" s="70"/>
      <c r="U403" s="76" t="s">
        <v>54</v>
      </c>
      <c r="V403" s="76"/>
      <c r="W403" s="76" t="s">
        <v>54</v>
      </c>
      <c r="X403" s="76"/>
      <c r="Y403" s="97"/>
      <c r="Z403" s="87"/>
      <c r="AA403" s="79"/>
      <c r="AB403" s="79" t="s">
        <v>37</v>
      </c>
      <c r="AC403" s="79" t="s">
        <v>37</v>
      </c>
      <c r="AD403" s="79"/>
      <c r="AE403" s="79"/>
      <c r="AF403" s="79"/>
      <c r="AG403" s="79"/>
      <c r="AH403" s="79"/>
      <c r="AI403" s="53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</row>
    <row r="404" spans="1:110" ht="13.8" x14ac:dyDescent="0.25">
      <c r="A404" s="24">
        <v>1205040</v>
      </c>
      <c r="B404" s="26" t="s">
        <v>567</v>
      </c>
      <c r="C404" s="12" t="s">
        <v>733</v>
      </c>
      <c r="D404" s="11"/>
      <c r="E404" s="17" t="s">
        <v>57</v>
      </c>
      <c r="F404" s="10" t="s">
        <v>34</v>
      </c>
      <c r="G404" s="55" t="str">
        <f t="shared" si="11"/>
        <v>Obsolete</v>
      </c>
      <c r="H404" s="10"/>
      <c r="I404" s="13"/>
      <c r="J404" s="56"/>
      <c r="K404" s="57"/>
      <c r="M404" s="14"/>
      <c r="N404" s="14"/>
      <c r="O404" s="14"/>
      <c r="P404" s="14"/>
      <c r="Q404" s="14"/>
      <c r="R404" s="14"/>
      <c r="S404" s="14"/>
      <c r="T404" s="70"/>
      <c r="U404" s="76" t="s">
        <v>54</v>
      </c>
      <c r="V404" s="76"/>
      <c r="W404" s="76" t="s">
        <v>54</v>
      </c>
      <c r="X404" s="76"/>
      <c r="Y404" s="97"/>
      <c r="Z404" s="78"/>
      <c r="AA404" s="79" t="s">
        <v>55</v>
      </c>
      <c r="AB404" s="79" t="s">
        <v>37</v>
      </c>
      <c r="AC404" s="79" t="s">
        <v>37</v>
      </c>
      <c r="AD404" s="79"/>
      <c r="AE404" s="79"/>
      <c r="AF404" s="79"/>
      <c r="AG404" s="79"/>
      <c r="AH404" s="79"/>
      <c r="AI404" s="53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</row>
    <row r="405" spans="1:110" ht="13.8" x14ac:dyDescent="0.25">
      <c r="A405" s="24">
        <v>1205042</v>
      </c>
      <c r="B405" s="26" t="s">
        <v>567</v>
      </c>
      <c r="C405" s="12" t="s">
        <v>734</v>
      </c>
      <c r="D405" s="11"/>
      <c r="E405" s="17" t="s">
        <v>57</v>
      </c>
      <c r="F405" s="10" t="s">
        <v>34</v>
      </c>
      <c r="G405" s="55" t="str">
        <f t="shared" si="11"/>
        <v>Obsolete</v>
      </c>
      <c r="H405" s="10"/>
      <c r="I405" s="13"/>
      <c r="J405" s="56"/>
      <c r="K405" s="57"/>
      <c r="M405" s="14"/>
      <c r="N405" s="14"/>
      <c r="O405" s="14"/>
      <c r="P405" s="14"/>
      <c r="Q405" s="14"/>
      <c r="R405" s="14"/>
      <c r="S405" s="14"/>
      <c r="T405" s="70"/>
      <c r="U405" s="76" t="s">
        <v>54</v>
      </c>
      <c r="V405" s="76"/>
      <c r="W405" s="76" t="s">
        <v>54</v>
      </c>
      <c r="X405" s="76"/>
      <c r="Y405" s="97"/>
      <c r="Z405" s="78"/>
      <c r="AA405" s="79" t="s">
        <v>55</v>
      </c>
      <c r="AB405" s="79" t="s">
        <v>37</v>
      </c>
      <c r="AC405" s="79" t="s">
        <v>37</v>
      </c>
      <c r="AD405" s="79"/>
      <c r="AE405" s="79"/>
      <c r="AF405" s="79"/>
      <c r="AG405" s="79"/>
      <c r="AH405" s="79"/>
      <c r="AI405" s="53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</row>
    <row r="406" spans="1:110" ht="13.8" x14ac:dyDescent="0.25">
      <c r="A406" s="24">
        <v>1205048</v>
      </c>
      <c r="B406" s="26" t="s">
        <v>567</v>
      </c>
      <c r="C406" s="12" t="s">
        <v>735</v>
      </c>
      <c r="D406" s="11"/>
      <c r="E406" s="17" t="s">
        <v>57</v>
      </c>
      <c r="F406" s="10" t="s">
        <v>34</v>
      </c>
      <c r="G406" s="55" t="str">
        <f t="shared" si="11"/>
        <v>Obsolete</v>
      </c>
      <c r="H406" s="10"/>
      <c r="I406" s="13"/>
      <c r="J406" s="56"/>
      <c r="K406" s="57"/>
      <c r="M406" s="14"/>
      <c r="N406" s="14"/>
      <c r="O406" s="14"/>
      <c r="P406" s="14"/>
      <c r="Q406" s="14"/>
      <c r="R406" s="14"/>
      <c r="S406" s="14"/>
      <c r="T406" s="70"/>
      <c r="U406" s="76" t="s">
        <v>54</v>
      </c>
      <c r="V406" s="76"/>
      <c r="W406" s="76" t="s">
        <v>54</v>
      </c>
      <c r="X406" s="76"/>
      <c r="Y406" s="97"/>
      <c r="Z406" s="78"/>
      <c r="AA406" s="79" t="s">
        <v>55</v>
      </c>
      <c r="AB406" s="79" t="s">
        <v>37</v>
      </c>
      <c r="AC406" s="79" t="s">
        <v>37</v>
      </c>
      <c r="AD406" s="79"/>
      <c r="AE406" s="79"/>
      <c r="AF406" s="79"/>
      <c r="AG406" s="79"/>
      <c r="AH406" s="79"/>
      <c r="AI406" s="53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</row>
    <row r="407" spans="1:110" ht="13.8" x14ac:dyDescent="0.25">
      <c r="A407" s="24">
        <v>1206001</v>
      </c>
      <c r="B407" s="26" t="s">
        <v>567</v>
      </c>
      <c r="C407" s="12" t="s">
        <v>736</v>
      </c>
      <c r="D407" s="11"/>
      <c r="E407" s="10" t="s">
        <v>684</v>
      </c>
      <c r="F407" s="10" t="s">
        <v>34</v>
      </c>
      <c r="G407" s="55" t="str">
        <f t="shared" si="11"/>
        <v>Obsolete</v>
      </c>
      <c r="H407" s="10">
        <v>1</v>
      </c>
      <c r="I407" s="13"/>
      <c r="J407" s="56"/>
      <c r="K407" s="57"/>
      <c r="M407" s="14"/>
      <c r="N407" s="14"/>
      <c r="O407" s="14"/>
      <c r="P407" s="14"/>
      <c r="Q407" s="14"/>
      <c r="R407" s="14"/>
      <c r="S407" s="14"/>
      <c r="T407" s="70"/>
      <c r="U407" s="76" t="s">
        <v>54</v>
      </c>
      <c r="V407" s="76"/>
      <c r="W407" s="76" t="s">
        <v>54</v>
      </c>
      <c r="X407" s="76"/>
      <c r="Y407" s="97"/>
      <c r="Z407" s="78"/>
      <c r="AA407" s="79" t="s">
        <v>64</v>
      </c>
      <c r="AB407" s="79" t="s">
        <v>37</v>
      </c>
      <c r="AC407" s="79" t="s">
        <v>37</v>
      </c>
      <c r="AD407" s="79"/>
      <c r="AE407" s="79" t="s">
        <v>685</v>
      </c>
      <c r="AF407" s="79" t="s">
        <v>686</v>
      </c>
      <c r="AG407" s="79" t="s">
        <v>687</v>
      </c>
      <c r="AH407" s="79"/>
      <c r="AI407" s="53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</row>
    <row r="408" spans="1:110" ht="20.399999999999999" x14ac:dyDescent="0.25">
      <c r="A408" s="24">
        <v>1206002</v>
      </c>
      <c r="B408" s="26" t="s">
        <v>567</v>
      </c>
      <c r="C408" s="25" t="s">
        <v>737</v>
      </c>
      <c r="D408" s="11"/>
      <c r="E408" s="10" t="s">
        <v>684</v>
      </c>
      <c r="F408" s="10" t="s">
        <v>738</v>
      </c>
      <c r="G408" s="55" t="str">
        <f t="shared" si="11"/>
        <v>Obsolete</v>
      </c>
      <c r="H408" s="10"/>
      <c r="I408" s="13"/>
      <c r="J408" s="56"/>
      <c r="K408" s="57"/>
      <c r="M408" s="14"/>
      <c r="N408" s="14"/>
      <c r="O408" s="14"/>
      <c r="P408" s="14"/>
      <c r="Q408" s="14"/>
      <c r="R408" s="14"/>
      <c r="S408" s="14"/>
      <c r="T408" s="70"/>
      <c r="U408" s="76" t="s">
        <v>54</v>
      </c>
      <c r="V408" s="76"/>
      <c r="W408" s="76" t="s">
        <v>54</v>
      </c>
      <c r="X408" s="76"/>
      <c r="Y408" s="97"/>
      <c r="Z408" s="78"/>
      <c r="AA408" s="79" t="s">
        <v>36</v>
      </c>
      <c r="AB408" s="79" t="s">
        <v>37</v>
      </c>
      <c r="AC408" s="79" t="s">
        <v>37</v>
      </c>
      <c r="AD408" s="79"/>
      <c r="AE408" s="79" t="s">
        <v>685</v>
      </c>
      <c r="AF408" s="79" t="s">
        <v>686</v>
      </c>
      <c r="AG408" s="79" t="s">
        <v>687</v>
      </c>
      <c r="AH408" s="79"/>
      <c r="AI408" s="53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</row>
    <row r="409" spans="1:110" ht="20.399999999999999" x14ac:dyDescent="0.25">
      <c r="A409" s="24">
        <v>1206003</v>
      </c>
      <c r="B409" s="26" t="s">
        <v>567</v>
      </c>
      <c r="C409" s="25" t="s">
        <v>739</v>
      </c>
      <c r="D409" s="11"/>
      <c r="E409" s="10" t="s">
        <v>684</v>
      </c>
      <c r="F409" s="10" t="s">
        <v>607</v>
      </c>
      <c r="G409" s="55">
        <f t="shared" si="11"/>
        <v>247.52</v>
      </c>
      <c r="H409" s="10">
        <v>2</v>
      </c>
      <c r="I409" s="13">
        <v>1</v>
      </c>
      <c r="J409" s="56"/>
      <c r="K409" s="57"/>
      <c r="M409" s="14"/>
      <c r="N409" s="14"/>
      <c r="O409" s="14"/>
      <c r="P409" s="14"/>
      <c r="Q409" s="14"/>
      <c r="R409" s="14"/>
      <c r="S409" s="14"/>
      <c r="T409" s="70"/>
      <c r="U409" s="76">
        <v>242</v>
      </c>
      <c r="V409" s="76">
        <v>5.52</v>
      </c>
      <c r="W409" s="76">
        <v>226</v>
      </c>
      <c r="X409" s="76">
        <v>5.52</v>
      </c>
      <c r="Y409" s="77" t="s">
        <v>37</v>
      </c>
      <c r="Z409" s="78">
        <v>1</v>
      </c>
      <c r="AA409" s="79" t="s">
        <v>36</v>
      </c>
      <c r="AB409" s="79" t="s">
        <v>35</v>
      </c>
      <c r="AC409" s="79" t="s">
        <v>37</v>
      </c>
      <c r="AD409" s="79" t="s">
        <v>38</v>
      </c>
      <c r="AE409" s="79" t="s">
        <v>685</v>
      </c>
      <c r="AF409" s="79" t="s">
        <v>686</v>
      </c>
      <c r="AG409" s="79" t="s">
        <v>687</v>
      </c>
      <c r="AH409" s="79"/>
      <c r="AI409" s="53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</row>
    <row r="410" spans="1:110" ht="13.8" x14ac:dyDescent="0.25">
      <c r="A410" s="24">
        <v>1206004</v>
      </c>
      <c r="B410" s="26" t="s">
        <v>567</v>
      </c>
      <c r="C410" s="12" t="s">
        <v>740</v>
      </c>
      <c r="D410" s="11"/>
      <c r="E410" s="10" t="s">
        <v>584</v>
      </c>
      <c r="F410" s="10" t="s">
        <v>34</v>
      </c>
      <c r="G410" s="55" t="str">
        <f t="shared" si="11"/>
        <v>Obsolete</v>
      </c>
      <c r="H410" s="10"/>
      <c r="I410" s="13"/>
      <c r="J410" s="56"/>
      <c r="K410" s="57"/>
      <c r="M410" s="14"/>
      <c r="N410" s="14"/>
      <c r="O410" s="14"/>
      <c r="P410" s="14"/>
      <c r="Q410" s="14"/>
      <c r="R410" s="14"/>
      <c r="S410" s="14"/>
      <c r="T410" s="70"/>
      <c r="U410" s="76" t="s">
        <v>54</v>
      </c>
      <c r="V410" s="76"/>
      <c r="W410" s="76" t="s">
        <v>54</v>
      </c>
      <c r="X410" s="76"/>
      <c r="Y410" s="97"/>
      <c r="Z410" s="78"/>
      <c r="AA410" s="79" t="s">
        <v>64</v>
      </c>
      <c r="AB410" s="79" t="s">
        <v>37</v>
      </c>
      <c r="AC410" s="79" t="s">
        <v>37</v>
      </c>
      <c r="AD410" s="79"/>
      <c r="AE410" s="79" t="s">
        <v>586</v>
      </c>
      <c r="AF410" s="106" t="s">
        <v>587</v>
      </c>
      <c r="AG410" s="106" t="s">
        <v>588</v>
      </c>
      <c r="AH410" s="79"/>
      <c r="AI410" s="53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</row>
    <row r="411" spans="1:110" ht="13.8" x14ac:dyDescent="0.25">
      <c r="A411" s="24">
        <v>1206006</v>
      </c>
      <c r="B411" s="26" t="s">
        <v>567</v>
      </c>
      <c r="C411" s="12" t="s">
        <v>741</v>
      </c>
      <c r="D411" s="11"/>
      <c r="E411" s="10" t="s">
        <v>742</v>
      </c>
      <c r="F411" s="10"/>
      <c r="G411" s="55"/>
      <c r="H411" s="10"/>
      <c r="I411" s="13"/>
      <c r="J411" s="56"/>
      <c r="K411" s="57"/>
      <c r="M411" s="14"/>
      <c r="N411" s="14"/>
      <c r="O411" s="14"/>
      <c r="P411" s="14"/>
      <c r="Q411" s="14"/>
      <c r="R411" s="14"/>
      <c r="S411" s="14"/>
      <c r="T411" s="70"/>
      <c r="U411" s="76"/>
      <c r="V411" s="76"/>
      <c r="W411" s="76"/>
      <c r="X411" s="76"/>
      <c r="Y411" s="97"/>
      <c r="Z411" s="78"/>
      <c r="AA411" s="79"/>
      <c r="AB411" s="79"/>
      <c r="AC411" s="79"/>
      <c r="AD411" s="79"/>
      <c r="AE411" s="79"/>
      <c r="AF411" s="106"/>
      <c r="AG411" s="106"/>
      <c r="AH411" s="79"/>
      <c r="AI411" s="53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</row>
    <row r="412" spans="1:110" ht="13.8" x14ac:dyDescent="0.25">
      <c r="A412" s="24">
        <v>1206005</v>
      </c>
      <c r="B412" s="11" t="s">
        <v>589</v>
      </c>
      <c r="C412" s="12" t="s">
        <v>743</v>
      </c>
      <c r="D412" s="11"/>
      <c r="E412" s="10" t="s">
        <v>584</v>
      </c>
      <c r="F412" s="10" t="s">
        <v>34</v>
      </c>
      <c r="G412" s="55" t="str">
        <f t="shared" ref="G412:G475" si="12">IF(U412="Obsolete",U412,U412+V412)</f>
        <v>Obsolete</v>
      </c>
      <c r="H412" s="10"/>
      <c r="I412" s="13"/>
      <c r="J412" s="56"/>
      <c r="K412" s="57"/>
      <c r="M412" s="14"/>
      <c r="N412" s="14"/>
      <c r="O412" s="14"/>
      <c r="P412" s="14"/>
      <c r="Q412" s="14"/>
      <c r="R412" s="14"/>
      <c r="S412" s="14"/>
      <c r="T412" s="70"/>
      <c r="U412" s="76" t="s">
        <v>54</v>
      </c>
      <c r="V412" s="76"/>
      <c r="W412" s="76" t="s">
        <v>54</v>
      </c>
      <c r="X412" s="76"/>
      <c r="Y412" s="97"/>
      <c r="Z412" s="78"/>
      <c r="AA412" s="79" t="s">
        <v>64</v>
      </c>
      <c r="AB412" s="79" t="s">
        <v>37</v>
      </c>
      <c r="AC412" s="79" t="s">
        <v>37</v>
      </c>
      <c r="AD412" s="79"/>
      <c r="AE412" s="79" t="s">
        <v>586</v>
      </c>
      <c r="AF412" s="106" t="s">
        <v>587</v>
      </c>
      <c r="AG412" s="106" t="s">
        <v>588</v>
      </c>
      <c r="AH412" s="79"/>
      <c r="AI412" s="53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</row>
    <row r="413" spans="1:110" ht="13.8" x14ac:dyDescent="0.25">
      <c r="A413" s="24">
        <v>1206007</v>
      </c>
      <c r="B413" s="26" t="s">
        <v>567</v>
      </c>
      <c r="C413" s="12" t="s">
        <v>1555</v>
      </c>
      <c r="D413" s="11"/>
      <c r="E413" s="10" t="s">
        <v>577</v>
      </c>
      <c r="F413" s="10" t="s">
        <v>623</v>
      </c>
      <c r="G413" s="55">
        <f t="shared" si="12"/>
        <v>199.8</v>
      </c>
      <c r="H413" s="10">
        <v>14</v>
      </c>
      <c r="I413" s="13">
        <v>10</v>
      </c>
      <c r="J413" s="56"/>
      <c r="K413" s="57"/>
      <c r="M413" s="14">
        <v>199.8</v>
      </c>
      <c r="N413" s="14"/>
      <c r="O413" s="14"/>
      <c r="P413" s="14"/>
      <c r="Q413" s="14"/>
      <c r="R413" s="14"/>
      <c r="S413" s="14"/>
      <c r="T413" s="70"/>
      <c r="U413" s="76">
        <v>199.8</v>
      </c>
      <c r="V413" s="76">
        <v>0</v>
      </c>
      <c r="W413" s="76">
        <v>199.8</v>
      </c>
      <c r="X413" s="76">
        <v>0</v>
      </c>
      <c r="Y413" s="97" t="s">
        <v>37</v>
      </c>
      <c r="Z413" s="78">
        <v>5</v>
      </c>
      <c r="AA413" s="79" t="s">
        <v>284</v>
      </c>
      <c r="AB413" s="79" t="s">
        <v>35</v>
      </c>
      <c r="AC413" s="79" t="s">
        <v>37</v>
      </c>
      <c r="AD413" s="79" t="s">
        <v>38</v>
      </c>
      <c r="AE413" s="79" t="s">
        <v>1556</v>
      </c>
      <c r="AF413" s="106" t="s">
        <v>1557</v>
      </c>
      <c r="AG413" s="106" t="s">
        <v>1558</v>
      </c>
      <c r="AH413" s="79"/>
      <c r="AI413" s="53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</row>
    <row r="414" spans="1:110" ht="13.8" x14ac:dyDescent="0.25">
      <c r="A414" s="24">
        <v>1206008</v>
      </c>
      <c r="B414" s="26" t="s">
        <v>567</v>
      </c>
      <c r="C414" s="12" t="s">
        <v>1614</v>
      </c>
      <c r="D414" s="11"/>
      <c r="E414" s="10" t="s">
        <v>1612</v>
      </c>
      <c r="F414" s="10" t="s">
        <v>738</v>
      </c>
      <c r="G414" s="55">
        <f t="shared" si="12"/>
        <v>0</v>
      </c>
      <c r="H414" s="10"/>
      <c r="I414" s="13"/>
      <c r="J414" s="56"/>
      <c r="K414" s="57"/>
      <c r="M414" s="14"/>
      <c r="N414" s="14"/>
      <c r="O414" s="14"/>
      <c r="P414" s="14"/>
      <c r="Q414" s="14"/>
      <c r="R414" s="14"/>
      <c r="S414" s="14"/>
      <c r="T414" s="70"/>
      <c r="U414" s="76"/>
      <c r="V414" s="76"/>
      <c r="W414" s="76"/>
      <c r="X414" s="76"/>
      <c r="Y414" s="97"/>
      <c r="Z414" s="78"/>
      <c r="AA414" s="79"/>
      <c r="AB414" s="79"/>
      <c r="AC414" s="79"/>
      <c r="AD414" s="79"/>
      <c r="AE414" s="79"/>
      <c r="AF414" s="106"/>
      <c r="AG414" s="106"/>
      <c r="AH414" s="79"/>
      <c r="AI414" s="53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</row>
    <row r="415" spans="1:110" ht="20.399999999999999" x14ac:dyDescent="0.25">
      <c r="A415" s="24">
        <v>1206020</v>
      </c>
      <c r="B415" s="11" t="s">
        <v>567</v>
      </c>
      <c r="C415" s="25" t="s">
        <v>744</v>
      </c>
      <c r="D415" s="11"/>
      <c r="E415" s="10" t="s">
        <v>684</v>
      </c>
      <c r="F415" s="10" t="s">
        <v>607</v>
      </c>
      <c r="G415" s="55">
        <f t="shared" si="12"/>
        <v>231.52</v>
      </c>
      <c r="H415" s="10">
        <v>2</v>
      </c>
      <c r="I415" s="13">
        <v>1</v>
      </c>
      <c r="J415" s="56"/>
      <c r="K415" s="57"/>
      <c r="M415" s="14"/>
      <c r="N415" s="14"/>
      <c r="O415" s="14"/>
      <c r="P415" s="14"/>
      <c r="Q415" s="14"/>
      <c r="R415" s="14"/>
      <c r="S415" s="14"/>
      <c r="T415" s="70"/>
      <c r="U415" s="76">
        <v>226</v>
      </c>
      <c r="V415" s="76">
        <v>5.52</v>
      </c>
      <c r="W415" s="76">
        <v>226</v>
      </c>
      <c r="X415" s="76">
        <v>5.52</v>
      </c>
      <c r="Y415" s="77" t="s">
        <v>37</v>
      </c>
      <c r="Z415" s="78">
        <v>1</v>
      </c>
      <c r="AA415" s="79" t="s">
        <v>36</v>
      </c>
      <c r="AB415" s="79" t="s">
        <v>35</v>
      </c>
      <c r="AC415" s="79" t="s">
        <v>37</v>
      </c>
      <c r="AD415" s="79" t="s">
        <v>38</v>
      </c>
      <c r="AE415" s="79" t="s">
        <v>685</v>
      </c>
      <c r="AF415" s="79" t="s">
        <v>686</v>
      </c>
      <c r="AG415" s="79" t="s">
        <v>687</v>
      </c>
      <c r="AH415" s="79"/>
      <c r="AI415" s="53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</row>
    <row r="416" spans="1:110" ht="13.8" x14ac:dyDescent="0.25">
      <c r="A416" s="24">
        <v>1206021</v>
      </c>
      <c r="B416" s="11" t="s">
        <v>567</v>
      </c>
      <c r="C416" s="12" t="s">
        <v>745</v>
      </c>
      <c r="D416" s="11" t="s">
        <v>746</v>
      </c>
      <c r="E416" s="17" t="s">
        <v>57</v>
      </c>
      <c r="F416" s="10" t="s">
        <v>607</v>
      </c>
      <c r="G416" s="55" t="str">
        <f t="shared" si="12"/>
        <v>Obsolete</v>
      </c>
      <c r="H416" s="10"/>
      <c r="I416" s="13"/>
      <c r="J416" s="56"/>
      <c r="K416" s="57"/>
      <c r="M416" s="14"/>
      <c r="N416" s="14"/>
      <c r="O416" s="14"/>
      <c r="P416" s="14"/>
      <c r="Q416" s="14"/>
      <c r="R416" s="14"/>
      <c r="S416" s="14"/>
      <c r="T416" s="70"/>
      <c r="U416" s="76" t="s">
        <v>54</v>
      </c>
      <c r="V416" s="76"/>
      <c r="W416" s="76" t="s">
        <v>54</v>
      </c>
      <c r="X416" s="76"/>
      <c r="Y416" s="97"/>
      <c r="Z416" s="78"/>
      <c r="AA416" s="79"/>
      <c r="AB416" s="79" t="s">
        <v>37</v>
      </c>
      <c r="AC416" s="79" t="s">
        <v>37</v>
      </c>
      <c r="AD416" s="79"/>
      <c r="AE416" s="79"/>
      <c r="AF416" s="79"/>
      <c r="AG416" s="79"/>
      <c r="AH416" s="79"/>
      <c r="AI416" s="53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</row>
    <row r="417" spans="1:110" ht="13.8" x14ac:dyDescent="0.25">
      <c r="A417" s="24">
        <v>1206022</v>
      </c>
      <c r="B417" s="11"/>
      <c r="C417" s="12" t="s">
        <v>747</v>
      </c>
      <c r="D417" s="11"/>
      <c r="E417" s="10" t="s">
        <v>648</v>
      </c>
      <c r="F417" s="10" t="s">
        <v>618</v>
      </c>
      <c r="G417" s="55">
        <f t="shared" si="12"/>
        <v>0</v>
      </c>
      <c r="H417" s="10">
        <v>2</v>
      </c>
      <c r="I417" s="13"/>
      <c r="J417" s="56"/>
      <c r="K417" s="57"/>
      <c r="M417" s="14"/>
      <c r="N417" s="14"/>
      <c r="O417" s="14"/>
      <c r="P417" s="14"/>
      <c r="Q417" s="14"/>
      <c r="R417" s="14"/>
      <c r="S417" s="14"/>
      <c r="T417" s="70"/>
      <c r="U417" s="76"/>
      <c r="V417" s="76"/>
      <c r="W417" s="76"/>
      <c r="X417" s="76"/>
      <c r="Y417" s="97"/>
      <c r="Z417" s="107"/>
      <c r="AA417" s="79"/>
      <c r="AB417" s="79"/>
      <c r="AC417" s="79"/>
      <c r="AD417" s="79"/>
      <c r="AE417" s="79"/>
      <c r="AF417" s="79"/>
      <c r="AG417" s="79"/>
      <c r="AH417" s="79"/>
      <c r="AI417" s="53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</row>
    <row r="418" spans="1:110" ht="20.399999999999999" x14ac:dyDescent="0.25">
      <c r="A418" s="24">
        <v>1207001</v>
      </c>
      <c r="B418" s="26" t="s">
        <v>657</v>
      </c>
      <c r="C418" s="25" t="s">
        <v>748</v>
      </c>
      <c r="D418" s="26" t="s">
        <v>749</v>
      </c>
      <c r="E418" s="10" t="s">
        <v>750</v>
      </c>
      <c r="F418" s="10" t="s">
        <v>34</v>
      </c>
      <c r="G418" s="55" t="str">
        <f t="shared" si="12"/>
        <v>Obsolete</v>
      </c>
      <c r="H418" s="10">
        <v>4</v>
      </c>
      <c r="I418" s="13">
        <v>55</v>
      </c>
      <c r="J418" s="56"/>
      <c r="K418" s="57"/>
      <c r="M418" s="14"/>
      <c r="N418" s="14"/>
      <c r="O418" s="14"/>
      <c r="P418" s="14"/>
      <c r="Q418" s="14"/>
      <c r="R418" s="14"/>
      <c r="S418" s="14"/>
      <c r="T418" s="70"/>
      <c r="U418" s="76" t="s">
        <v>54</v>
      </c>
      <c r="V418" s="76"/>
      <c r="W418" s="76" t="s">
        <v>54</v>
      </c>
      <c r="X418" s="76"/>
      <c r="Y418" s="97"/>
      <c r="Z418" s="87">
        <v>55</v>
      </c>
      <c r="AA418" s="79" t="s">
        <v>64</v>
      </c>
      <c r="AB418" s="79" t="s">
        <v>37</v>
      </c>
      <c r="AC418" s="79" t="s">
        <v>37</v>
      </c>
      <c r="AD418" s="79"/>
      <c r="AE418" s="79"/>
      <c r="AF418" s="79"/>
      <c r="AG418" s="79"/>
      <c r="AH418" s="79"/>
      <c r="AI418" s="53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</row>
    <row r="419" spans="1:110" ht="20.399999999999999" x14ac:dyDescent="0.25">
      <c r="A419" s="24">
        <v>1207002</v>
      </c>
      <c r="B419" s="26" t="s">
        <v>657</v>
      </c>
      <c r="C419" s="25" t="s">
        <v>751</v>
      </c>
      <c r="D419" s="26" t="s">
        <v>749</v>
      </c>
      <c r="E419" s="10" t="s">
        <v>750</v>
      </c>
      <c r="F419" s="10" t="s">
        <v>34</v>
      </c>
      <c r="G419" s="55" t="str">
        <f t="shared" si="12"/>
        <v>Obsolete</v>
      </c>
      <c r="H419" s="10">
        <v>4</v>
      </c>
      <c r="I419" s="13">
        <v>55</v>
      </c>
      <c r="J419" s="56"/>
      <c r="K419" s="57"/>
      <c r="M419" s="14">
        <v>16.170000000000002</v>
      </c>
      <c r="N419" s="14"/>
      <c r="O419" s="14"/>
      <c r="P419" s="14"/>
      <c r="Q419" s="14"/>
      <c r="R419" s="14">
        <v>8.66</v>
      </c>
      <c r="S419" s="14"/>
      <c r="T419" s="70"/>
      <c r="U419" s="76" t="s">
        <v>54</v>
      </c>
      <c r="V419" s="76"/>
      <c r="W419" s="76" t="s">
        <v>54</v>
      </c>
      <c r="X419" s="76"/>
      <c r="Y419" s="97"/>
      <c r="Z419" s="87">
        <v>55</v>
      </c>
      <c r="AA419" s="79" t="s">
        <v>64</v>
      </c>
      <c r="AB419" s="79" t="s">
        <v>37</v>
      </c>
      <c r="AC419" s="79" t="s">
        <v>37</v>
      </c>
      <c r="AD419" s="79"/>
      <c r="AE419" s="79"/>
      <c r="AF419" s="79"/>
      <c r="AG419" s="79"/>
      <c r="AH419" s="79"/>
      <c r="AI419" s="53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</row>
    <row r="420" spans="1:110" ht="20.399999999999999" x14ac:dyDescent="0.25">
      <c r="A420" s="24">
        <v>1207003</v>
      </c>
      <c r="B420" s="26" t="s">
        <v>657</v>
      </c>
      <c r="C420" s="25" t="s">
        <v>752</v>
      </c>
      <c r="D420" s="26" t="s">
        <v>749</v>
      </c>
      <c r="E420" s="10" t="s">
        <v>750</v>
      </c>
      <c r="F420" s="10" t="s">
        <v>34</v>
      </c>
      <c r="G420" s="55" t="str">
        <f t="shared" si="12"/>
        <v>Obsolete</v>
      </c>
      <c r="H420" s="10">
        <v>4</v>
      </c>
      <c r="I420" s="13">
        <v>55</v>
      </c>
      <c r="J420" s="56"/>
      <c r="K420" s="57"/>
      <c r="M420" s="14">
        <v>15.29</v>
      </c>
      <c r="N420" s="14"/>
      <c r="O420" s="14"/>
      <c r="P420" s="14"/>
      <c r="Q420" s="14"/>
      <c r="R420" s="14">
        <v>7.6</v>
      </c>
      <c r="S420" s="14"/>
      <c r="T420" s="70"/>
      <c r="U420" s="76" t="s">
        <v>54</v>
      </c>
      <c r="V420" s="76"/>
      <c r="W420" s="76" t="s">
        <v>54</v>
      </c>
      <c r="X420" s="76"/>
      <c r="Y420" s="97"/>
      <c r="Z420" s="87">
        <v>55</v>
      </c>
      <c r="AA420" s="79" t="s">
        <v>64</v>
      </c>
      <c r="AB420" s="79" t="s">
        <v>37</v>
      </c>
      <c r="AC420" s="79" t="s">
        <v>37</v>
      </c>
      <c r="AD420" s="79"/>
      <c r="AE420" s="79"/>
      <c r="AF420" s="79"/>
      <c r="AG420" s="79"/>
      <c r="AH420" s="79"/>
      <c r="AI420" s="53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</row>
    <row r="421" spans="1:110" ht="20.399999999999999" x14ac:dyDescent="0.25">
      <c r="A421" s="24">
        <v>1207004</v>
      </c>
      <c r="B421" s="26" t="s">
        <v>657</v>
      </c>
      <c r="C421" s="25" t="s">
        <v>753</v>
      </c>
      <c r="D421" s="26" t="s">
        <v>749</v>
      </c>
      <c r="E421" s="10" t="s">
        <v>750</v>
      </c>
      <c r="F421" s="10" t="s">
        <v>34</v>
      </c>
      <c r="G421" s="55" t="str">
        <f t="shared" si="12"/>
        <v>Obsolete</v>
      </c>
      <c r="H421" s="10">
        <v>4</v>
      </c>
      <c r="I421" s="13">
        <v>55</v>
      </c>
      <c r="J421" s="56"/>
      <c r="K421" s="57"/>
      <c r="M421" s="14">
        <v>15.17</v>
      </c>
      <c r="N421" s="14"/>
      <c r="O421" s="14"/>
      <c r="P421" s="14"/>
      <c r="Q421" s="14"/>
      <c r="R421" s="14">
        <v>7.66</v>
      </c>
      <c r="S421" s="14"/>
      <c r="T421" s="70"/>
      <c r="U421" s="76" t="s">
        <v>54</v>
      </c>
      <c r="V421" s="76"/>
      <c r="W421" s="76" t="s">
        <v>54</v>
      </c>
      <c r="X421" s="76"/>
      <c r="Y421" s="97"/>
      <c r="Z421" s="87">
        <v>55</v>
      </c>
      <c r="AA421" s="79" t="s">
        <v>64</v>
      </c>
      <c r="AB421" s="79" t="s">
        <v>37</v>
      </c>
      <c r="AC421" s="79" t="s">
        <v>37</v>
      </c>
      <c r="AD421" s="79"/>
      <c r="AE421" s="79"/>
      <c r="AF421" s="79"/>
      <c r="AG421" s="79"/>
      <c r="AH421" s="79"/>
      <c r="AI421" s="53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</row>
    <row r="422" spans="1:110" ht="20.399999999999999" x14ac:dyDescent="0.25">
      <c r="A422" s="24">
        <v>1207005</v>
      </c>
      <c r="B422" s="26" t="s">
        <v>657</v>
      </c>
      <c r="C422" s="25" t="s">
        <v>754</v>
      </c>
      <c r="D422" s="26" t="s">
        <v>749</v>
      </c>
      <c r="E422" s="10" t="s">
        <v>750</v>
      </c>
      <c r="F422" s="10" t="s">
        <v>34</v>
      </c>
      <c r="G422" s="55" t="str">
        <f t="shared" si="12"/>
        <v>Obsolete</v>
      </c>
      <c r="H422" s="10">
        <v>4</v>
      </c>
      <c r="I422" s="13">
        <v>55</v>
      </c>
      <c r="J422" s="56"/>
      <c r="K422" s="57"/>
      <c r="M422" s="14">
        <v>16.75</v>
      </c>
      <c r="N422" s="14"/>
      <c r="O422" s="14"/>
      <c r="P422" s="14"/>
      <c r="Q422" s="14"/>
      <c r="R422" s="14">
        <v>9.2100000000000009</v>
      </c>
      <c r="S422" s="14"/>
      <c r="T422" s="70"/>
      <c r="U422" s="76" t="s">
        <v>54</v>
      </c>
      <c r="V422" s="76"/>
      <c r="W422" s="76" t="s">
        <v>54</v>
      </c>
      <c r="X422" s="76"/>
      <c r="Y422" s="97"/>
      <c r="Z422" s="87">
        <v>55</v>
      </c>
      <c r="AA422" s="79" t="s">
        <v>64</v>
      </c>
      <c r="AB422" s="79" t="s">
        <v>37</v>
      </c>
      <c r="AC422" s="79" t="s">
        <v>37</v>
      </c>
      <c r="AD422" s="79"/>
      <c r="AE422" s="79"/>
      <c r="AF422" s="79"/>
      <c r="AG422" s="79"/>
      <c r="AH422" s="79"/>
      <c r="AI422" s="53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</row>
    <row r="423" spans="1:110" ht="20.399999999999999" x14ac:dyDescent="0.25">
      <c r="A423" s="24">
        <v>1207006</v>
      </c>
      <c r="B423" s="26" t="s">
        <v>657</v>
      </c>
      <c r="C423" s="25" t="s">
        <v>755</v>
      </c>
      <c r="D423" s="26" t="s">
        <v>756</v>
      </c>
      <c r="E423" s="10" t="s">
        <v>757</v>
      </c>
      <c r="F423" s="10" t="s">
        <v>34</v>
      </c>
      <c r="G423" s="55" t="str">
        <f t="shared" si="12"/>
        <v>Obsolete</v>
      </c>
      <c r="H423" s="10">
        <v>4</v>
      </c>
      <c r="I423" s="13">
        <v>55</v>
      </c>
      <c r="J423" s="56"/>
      <c r="K423" s="57"/>
      <c r="M423" s="14">
        <v>11.47</v>
      </c>
      <c r="N423" s="14">
        <v>9.56</v>
      </c>
      <c r="O423" s="14">
        <v>8.31</v>
      </c>
      <c r="P423" s="14"/>
      <c r="Q423" s="14"/>
      <c r="R423" s="14"/>
      <c r="S423" s="14"/>
      <c r="T423" s="70"/>
      <c r="U423" s="76" t="s">
        <v>54</v>
      </c>
      <c r="V423" s="76"/>
      <c r="W423" s="76" t="s">
        <v>54</v>
      </c>
      <c r="X423" s="76"/>
      <c r="Y423" s="97"/>
      <c r="Z423" s="87">
        <v>55</v>
      </c>
      <c r="AA423" s="79" t="s">
        <v>64</v>
      </c>
      <c r="AB423" s="79" t="s">
        <v>37</v>
      </c>
      <c r="AC423" s="79" t="s">
        <v>37</v>
      </c>
      <c r="AD423" s="79"/>
      <c r="AE423" s="79" t="s">
        <v>758</v>
      </c>
      <c r="AF423" s="79" t="s">
        <v>759</v>
      </c>
      <c r="AG423" s="79" t="s">
        <v>760</v>
      </c>
      <c r="AH423" s="79"/>
      <c r="AI423" s="53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</row>
    <row r="424" spans="1:110" ht="20.399999999999999" x14ac:dyDescent="0.25">
      <c r="A424" s="24">
        <v>1207007</v>
      </c>
      <c r="B424" s="26" t="s">
        <v>657</v>
      </c>
      <c r="C424" s="25" t="s">
        <v>761</v>
      </c>
      <c r="D424" s="26" t="s">
        <v>756</v>
      </c>
      <c r="E424" s="10" t="s">
        <v>757</v>
      </c>
      <c r="F424" s="10" t="s">
        <v>34</v>
      </c>
      <c r="G424" s="55" t="str">
        <f t="shared" si="12"/>
        <v>Obsolete</v>
      </c>
      <c r="H424" s="10">
        <v>4</v>
      </c>
      <c r="I424" s="13">
        <v>55</v>
      </c>
      <c r="J424" s="56"/>
      <c r="K424" s="57"/>
      <c r="M424" s="14">
        <v>11.71</v>
      </c>
      <c r="N424" s="14">
        <v>9.8000000000000007</v>
      </c>
      <c r="O424" s="14">
        <v>8.5500000000000007</v>
      </c>
      <c r="P424" s="14"/>
      <c r="Q424" s="14"/>
      <c r="R424" s="14"/>
      <c r="S424" s="14"/>
      <c r="T424" s="70"/>
      <c r="U424" s="76" t="s">
        <v>54</v>
      </c>
      <c r="V424" s="76"/>
      <c r="W424" s="76" t="s">
        <v>54</v>
      </c>
      <c r="X424" s="76"/>
      <c r="Y424" s="97"/>
      <c r="Z424" s="87">
        <v>55</v>
      </c>
      <c r="AA424" s="79" t="s">
        <v>64</v>
      </c>
      <c r="AB424" s="79" t="s">
        <v>37</v>
      </c>
      <c r="AC424" s="79" t="s">
        <v>37</v>
      </c>
      <c r="AD424" s="79"/>
      <c r="AE424" s="79" t="s">
        <v>758</v>
      </c>
      <c r="AF424" s="79" t="s">
        <v>759</v>
      </c>
      <c r="AG424" s="79" t="s">
        <v>760</v>
      </c>
      <c r="AH424" s="79"/>
      <c r="AI424" s="53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</row>
    <row r="425" spans="1:110" ht="20.399999999999999" x14ac:dyDescent="0.25">
      <c r="A425" s="24">
        <v>1207008</v>
      </c>
      <c r="B425" s="26" t="s">
        <v>657</v>
      </c>
      <c r="C425" s="25" t="s">
        <v>762</v>
      </c>
      <c r="D425" s="26" t="s">
        <v>756</v>
      </c>
      <c r="E425" s="10" t="s">
        <v>757</v>
      </c>
      <c r="F425" s="10" t="s">
        <v>34</v>
      </c>
      <c r="G425" s="55" t="str">
        <f t="shared" si="12"/>
        <v>Obsolete</v>
      </c>
      <c r="H425" s="10">
        <v>4</v>
      </c>
      <c r="I425" s="13">
        <v>55</v>
      </c>
      <c r="J425" s="56"/>
      <c r="K425" s="57"/>
      <c r="M425" s="14">
        <v>11.36</v>
      </c>
      <c r="N425" s="14">
        <v>9.4499999999999993</v>
      </c>
      <c r="O425" s="14">
        <v>8.1999999999999993</v>
      </c>
      <c r="P425" s="14"/>
      <c r="Q425" s="14"/>
      <c r="R425" s="14"/>
      <c r="S425" s="14"/>
      <c r="T425" s="70"/>
      <c r="U425" s="76" t="s">
        <v>54</v>
      </c>
      <c r="V425" s="76"/>
      <c r="W425" s="76" t="s">
        <v>54</v>
      </c>
      <c r="X425" s="76"/>
      <c r="Y425" s="97"/>
      <c r="Z425" s="87">
        <v>55</v>
      </c>
      <c r="AA425" s="79" t="s">
        <v>64</v>
      </c>
      <c r="AB425" s="79" t="s">
        <v>37</v>
      </c>
      <c r="AC425" s="79" t="s">
        <v>37</v>
      </c>
      <c r="AD425" s="79"/>
      <c r="AE425" s="79" t="s">
        <v>758</v>
      </c>
      <c r="AF425" s="79" t="s">
        <v>759</v>
      </c>
      <c r="AG425" s="79" t="s">
        <v>760</v>
      </c>
      <c r="AH425" s="79"/>
      <c r="AI425" s="53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</row>
    <row r="426" spans="1:110" ht="20.399999999999999" x14ac:dyDescent="0.25">
      <c r="A426" s="24">
        <v>1207009</v>
      </c>
      <c r="B426" s="26" t="s">
        <v>657</v>
      </c>
      <c r="C426" s="25" t="s">
        <v>763</v>
      </c>
      <c r="D426" s="26" t="s">
        <v>756</v>
      </c>
      <c r="E426" s="10" t="s">
        <v>757</v>
      </c>
      <c r="F426" s="10" t="s">
        <v>34</v>
      </c>
      <c r="G426" s="55" t="str">
        <f t="shared" si="12"/>
        <v>Obsolete</v>
      </c>
      <c r="H426" s="10">
        <v>4</v>
      </c>
      <c r="I426" s="13">
        <v>55</v>
      </c>
      <c r="J426" s="56"/>
      <c r="K426" s="57"/>
      <c r="M426" s="14">
        <v>11.39</v>
      </c>
      <c r="N426" s="14">
        <v>9.48</v>
      </c>
      <c r="O426" s="14">
        <v>8.23</v>
      </c>
      <c r="P426" s="14"/>
      <c r="Q426" s="14"/>
      <c r="R426" s="14"/>
      <c r="S426" s="14"/>
      <c r="T426" s="70"/>
      <c r="U426" s="76" t="s">
        <v>54</v>
      </c>
      <c r="V426" s="76"/>
      <c r="W426" s="76" t="s">
        <v>54</v>
      </c>
      <c r="X426" s="76"/>
      <c r="Y426" s="97"/>
      <c r="Z426" s="87">
        <v>55</v>
      </c>
      <c r="AA426" s="79" t="s">
        <v>64</v>
      </c>
      <c r="AB426" s="79" t="s">
        <v>37</v>
      </c>
      <c r="AC426" s="79" t="s">
        <v>37</v>
      </c>
      <c r="AD426" s="79"/>
      <c r="AE426" s="79" t="s">
        <v>758</v>
      </c>
      <c r="AF426" s="79" t="s">
        <v>759</v>
      </c>
      <c r="AG426" s="79" t="s">
        <v>760</v>
      </c>
      <c r="AH426" s="79"/>
      <c r="AI426" s="53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</row>
    <row r="427" spans="1:110" ht="20.399999999999999" x14ac:dyDescent="0.25">
      <c r="A427" s="24">
        <v>1207010</v>
      </c>
      <c r="B427" s="26" t="s">
        <v>657</v>
      </c>
      <c r="C427" s="25" t="s">
        <v>764</v>
      </c>
      <c r="D427" s="26" t="s">
        <v>756</v>
      </c>
      <c r="E427" s="10" t="s">
        <v>757</v>
      </c>
      <c r="F427" s="10" t="s">
        <v>34</v>
      </c>
      <c r="G427" s="55" t="str">
        <f t="shared" si="12"/>
        <v>Obsolete</v>
      </c>
      <c r="H427" s="10">
        <v>4</v>
      </c>
      <c r="I427" s="13">
        <v>55</v>
      </c>
      <c r="J427" s="56"/>
      <c r="K427" s="57"/>
      <c r="M427" s="14">
        <v>11.71</v>
      </c>
      <c r="N427" s="14">
        <v>9.8000000000000007</v>
      </c>
      <c r="O427" s="14">
        <v>8.5500000000000007</v>
      </c>
      <c r="P427" s="14"/>
      <c r="Q427" s="14"/>
      <c r="R427" s="14"/>
      <c r="S427" s="14"/>
      <c r="T427" s="70"/>
      <c r="U427" s="76" t="s">
        <v>54</v>
      </c>
      <c r="V427" s="76"/>
      <c r="W427" s="76" t="s">
        <v>54</v>
      </c>
      <c r="X427" s="76"/>
      <c r="Y427" s="97"/>
      <c r="Z427" s="87">
        <v>55</v>
      </c>
      <c r="AA427" s="79" t="s">
        <v>64</v>
      </c>
      <c r="AB427" s="79" t="s">
        <v>37</v>
      </c>
      <c r="AC427" s="79" t="s">
        <v>37</v>
      </c>
      <c r="AD427" s="79"/>
      <c r="AE427" s="79" t="s">
        <v>758</v>
      </c>
      <c r="AF427" s="79" t="s">
        <v>759</v>
      </c>
      <c r="AG427" s="79" t="s">
        <v>760</v>
      </c>
      <c r="AH427" s="79"/>
      <c r="AI427" s="53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</row>
    <row r="428" spans="1:110" ht="13.8" x14ac:dyDescent="0.25">
      <c r="A428" s="24">
        <v>1207011</v>
      </c>
      <c r="B428" s="26" t="s">
        <v>657</v>
      </c>
      <c r="C428" s="25" t="s">
        <v>765</v>
      </c>
      <c r="D428" s="26"/>
      <c r="E428" s="10" t="s">
        <v>757</v>
      </c>
      <c r="F428" s="10" t="s">
        <v>34</v>
      </c>
      <c r="G428" s="55" t="str">
        <f t="shared" si="12"/>
        <v>Obsolete</v>
      </c>
      <c r="H428" s="10"/>
      <c r="I428" s="13">
        <v>50</v>
      </c>
      <c r="J428" s="56"/>
      <c r="K428" s="57"/>
      <c r="M428" s="14">
        <v>13.19</v>
      </c>
      <c r="N428" s="14"/>
      <c r="O428" s="14"/>
      <c r="P428" s="14"/>
      <c r="Q428" s="14"/>
      <c r="R428" s="14"/>
      <c r="S428" s="14"/>
      <c r="T428" s="70"/>
      <c r="U428" s="76" t="s">
        <v>54</v>
      </c>
      <c r="V428" s="76"/>
      <c r="W428" s="76" t="s">
        <v>54</v>
      </c>
      <c r="X428" s="76"/>
      <c r="Y428" s="97"/>
      <c r="Z428" s="87"/>
      <c r="AA428" s="79" t="s">
        <v>64</v>
      </c>
      <c r="AB428" s="79" t="s">
        <v>37</v>
      </c>
      <c r="AC428" s="79" t="s">
        <v>37</v>
      </c>
      <c r="AD428" s="79"/>
      <c r="AE428" s="79" t="s">
        <v>758</v>
      </c>
      <c r="AF428" s="79" t="s">
        <v>759</v>
      </c>
      <c r="AG428" s="79" t="s">
        <v>760</v>
      </c>
      <c r="AH428" s="79"/>
      <c r="AI428" s="53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</row>
    <row r="429" spans="1:110" ht="20.399999999999999" x14ac:dyDescent="0.25">
      <c r="A429" s="24">
        <v>1207012</v>
      </c>
      <c r="B429" s="26" t="s">
        <v>657</v>
      </c>
      <c r="C429" s="25" t="s">
        <v>766</v>
      </c>
      <c r="D429" s="26"/>
      <c r="E429" s="10" t="s">
        <v>132</v>
      </c>
      <c r="F429" s="10" t="s">
        <v>34</v>
      </c>
      <c r="G429" s="55" t="str">
        <f t="shared" si="12"/>
        <v>Obsolete</v>
      </c>
      <c r="H429" s="10"/>
      <c r="I429" s="13">
        <v>55</v>
      </c>
      <c r="J429" s="56"/>
      <c r="K429" s="57"/>
      <c r="M429" s="14">
        <v>1.1399999999999999</v>
      </c>
      <c r="N429" s="14"/>
      <c r="O429" s="14"/>
      <c r="P429" s="14"/>
      <c r="Q429" s="14"/>
      <c r="R429" s="14"/>
      <c r="S429" s="14"/>
      <c r="T429" s="70"/>
      <c r="U429" s="76" t="s">
        <v>54</v>
      </c>
      <c r="V429" s="76"/>
      <c r="W429" s="76" t="s">
        <v>54</v>
      </c>
      <c r="X429" s="76"/>
      <c r="Y429" s="97"/>
      <c r="Z429" s="87">
        <v>55</v>
      </c>
      <c r="AA429" s="79" t="s">
        <v>292</v>
      </c>
      <c r="AB429" s="79" t="s">
        <v>37</v>
      </c>
      <c r="AC429" s="79" t="s">
        <v>37</v>
      </c>
      <c r="AD429" s="79"/>
      <c r="AE429" s="79" t="s">
        <v>133</v>
      </c>
      <c r="AF429" s="79" t="s">
        <v>134</v>
      </c>
      <c r="AG429" s="90" t="s">
        <v>135</v>
      </c>
      <c r="AH429" s="79"/>
      <c r="AI429" s="53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</row>
    <row r="430" spans="1:110" ht="20.399999999999999" x14ac:dyDescent="0.25">
      <c r="A430" s="24">
        <v>1207013</v>
      </c>
      <c r="B430" s="26" t="s">
        <v>657</v>
      </c>
      <c r="C430" s="25" t="s">
        <v>767</v>
      </c>
      <c r="D430" s="26"/>
      <c r="E430" s="10" t="s">
        <v>768</v>
      </c>
      <c r="F430" s="10" t="s">
        <v>34</v>
      </c>
      <c r="G430" s="55">
        <f t="shared" si="12"/>
        <v>9.49</v>
      </c>
      <c r="H430" s="10">
        <v>8</v>
      </c>
      <c r="I430" s="13">
        <v>55</v>
      </c>
      <c r="J430" s="56"/>
      <c r="K430" s="57"/>
      <c r="M430" s="14">
        <v>7.62</v>
      </c>
      <c r="N430" s="14">
        <v>5.22</v>
      </c>
      <c r="O430" s="14"/>
      <c r="P430" s="14"/>
      <c r="Q430" s="14"/>
      <c r="R430" s="14"/>
      <c r="S430" s="14"/>
      <c r="T430" s="70"/>
      <c r="U430" s="76">
        <v>7.62</v>
      </c>
      <c r="V430" s="76">
        <v>1.87</v>
      </c>
      <c r="W430" s="76">
        <v>6.1</v>
      </c>
      <c r="X430" s="76">
        <v>1.87</v>
      </c>
      <c r="Y430" s="77" t="s">
        <v>37</v>
      </c>
      <c r="Z430" s="87">
        <v>55</v>
      </c>
      <c r="AA430" s="79" t="s">
        <v>36</v>
      </c>
      <c r="AB430" s="79" t="s">
        <v>35</v>
      </c>
      <c r="AC430" s="79" t="s">
        <v>37</v>
      </c>
      <c r="AD430" s="79" t="s">
        <v>38</v>
      </c>
      <c r="AE430" s="79" t="s">
        <v>769</v>
      </c>
      <c r="AF430" s="79" t="s">
        <v>770</v>
      </c>
      <c r="AG430" s="105" t="s">
        <v>771</v>
      </c>
      <c r="AH430" s="79"/>
      <c r="AI430" s="53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</row>
    <row r="431" spans="1:110" ht="20.399999999999999" x14ac:dyDescent="0.25">
      <c r="A431" s="24">
        <v>1207014</v>
      </c>
      <c r="B431" s="26" t="s">
        <v>657</v>
      </c>
      <c r="C431" s="25" t="s">
        <v>772</v>
      </c>
      <c r="D431" s="26" t="s">
        <v>773</v>
      </c>
      <c r="E431" s="10" t="s">
        <v>757</v>
      </c>
      <c r="F431" s="10" t="s">
        <v>34</v>
      </c>
      <c r="G431" s="55" t="str">
        <f t="shared" si="12"/>
        <v>Obsolete</v>
      </c>
      <c r="H431" s="10"/>
      <c r="I431" s="13"/>
      <c r="J431" s="56"/>
      <c r="K431" s="57"/>
      <c r="M431" s="14">
        <v>11.88</v>
      </c>
      <c r="N431" s="14">
        <v>9.9600000000000009</v>
      </c>
      <c r="O431" s="14">
        <v>8.7200000000000006</v>
      </c>
      <c r="P431" s="14"/>
      <c r="Q431" s="14"/>
      <c r="R431" s="14"/>
      <c r="S431" s="14"/>
      <c r="T431" s="70"/>
      <c r="U431" s="76" t="s">
        <v>54</v>
      </c>
      <c r="V431" s="76"/>
      <c r="W431" s="76" t="s">
        <v>54</v>
      </c>
      <c r="X431" s="76"/>
      <c r="Y431" s="97"/>
      <c r="Z431" s="87"/>
      <c r="AA431" s="79" t="s">
        <v>64</v>
      </c>
      <c r="AB431" s="79" t="s">
        <v>37</v>
      </c>
      <c r="AC431" s="79" t="s">
        <v>37</v>
      </c>
      <c r="AD431" s="79"/>
      <c r="AE431" s="79" t="s">
        <v>758</v>
      </c>
      <c r="AF431" s="79" t="s">
        <v>759</v>
      </c>
      <c r="AG431" s="79" t="s">
        <v>760</v>
      </c>
      <c r="AH431" s="79"/>
      <c r="AI431" s="35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</row>
    <row r="432" spans="1:110" ht="20.399999999999999" x14ac:dyDescent="0.25">
      <c r="A432" s="24">
        <v>1207015</v>
      </c>
      <c r="B432" s="26" t="s">
        <v>657</v>
      </c>
      <c r="C432" s="25" t="s">
        <v>774</v>
      </c>
      <c r="D432" s="26"/>
      <c r="E432" s="10" t="s">
        <v>757</v>
      </c>
      <c r="F432" s="10" t="s">
        <v>34</v>
      </c>
      <c r="G432" s="55" t="str">
        <f t="shared" si="12"/>
        <v>Obsolete</v>
      </c>
      <c r="H432" s="10"/>
      <c r="I432" s="13"/>
      <c r="J432" s="56"/>
      <c r="K432" s="57"/>
      <c r="M432" s="14"/>
      <c r="N432" s="14"/>
      <c r="O432" s="14"/>
      <c r="P432" s="14"/>
      <c r="Q432" s="14"/>
      <c r="R432" s="14"/>
      <c r="S432" s="14"/>
      <c r="T432" s="70"/>
      <c r="U432" s="76" t="s">
        <v>54</v>
      </c>
      <c r="V432" s="76"/>
      <c r="W432" s="76" t="s">
        <v>54</v>
      </c>
      <c r="X432" s="76"/>
      <c r="Y432" s="97"/>
      <c r="Z432" s="87"/>
      <c r="AA432" s="79" t="s">
        <v>64</v>
      </c>
      <c r="AB432" s="79" t="s">
        <v>37</v>
      </c>
      <c r="AC432" s="79" t="s">
        <v>37</v>
      </c>
      <c r="AD432" s="79"/>
      <c r="AE432" s="79" t="s">
        <v>758</v>
      </c>
      <c r="AF432" s="79" t="s">
        <v>759</v>
      </c>
      <c r="AG432" s="79" t="s">
        <v>760</v>
      </c>
      <c r="AH432" s="79"/>
      <c r="AI432" s="53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</row>
    <row r="433" spans="1:110" ht="20.399999999999999" x14ac:dyDescent="0.25">
      <c r="A433" s="24">
        <v>1207016</v>
      </c>
      <c r="B433" s="26" t="s">
        <v>657</v>
      </c>
      <c r="C433" s="25" t="s">
        <v>775</v>
      </c>
      <c r="D433" s="26" t="s">
        <v>776</v>
      </c>
      <c r="E433" s="10" t="s">
        <v>757</v>
      </c>
      <c r="F433" s="10" t="s">
        <v>34</v>
      </c>
      <c r="G433" s="55" t="str">
        <f t="shared" si="12"/>
        <v>Obsolete</v>
      </c>
      <c r="H433" s="10"/>
      <c r="I433" s="13">
        <v>55</v>
      </c>
      <c r="J433" s="56"/>
      <c r="K433" s="57"/>
      <c r="M433" s="14">
        <v>12.32</v>
      </c>
      <c r="N433" s="14">
        <v>10.41</v>
      </c>
      <c r="O433" s="14">
        <v>9.16</v>
      </c>
      <c r="P433" s="14"/>
      <c r="Q433" s="14"/>
      <c r="R433" s="14"/>
      <c r="S433" s="14"/>
      <c r="T433" s="70"/>
      <c r="U433" s="76" t="s">
        <v>54</v>
      </c>
      <c r="V433" s="76"/>
      <c r="W433" s="76" t="s">
        <v>54</v>
      </c>
      <c r="X433" s="76"/>
      <c r="Y433" s="97"/>
      <c r="Z433" s="87"/>
      <c r="AA433" s="79" t="s">
        <v>64</v>
      </c>
      <c r="AB433" s="79" t="s">
        <v>37</v>
      </c>
      <c r="AC433" s="79" t="s">
        <v>37</v>
      </c>
      <c r="AD433" s="79"/>
      <c r="AE433" s="79" t="s">
        <v>758</v>
      </c>
      <c r="AF433" s="79" t="s">
        <v>759</v>
      </c>
      <c r="AG433" s="79" t="s">
        <v>760</v>
      </c>
      <c r="AH433" s="79"/>
      <c r="AI433" s="53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</row>
    <row r="434" spans="1:110" ht="20.399999999999999" x14ac:dyDescent="0.25">
      <c r="A434" s="24">
        <v>1207017</v>
      </c>
      <c r="B434" s="26" t="s">
        <v>657</v>
      </c>
      <c r="C434" s="25" t="s">
        <v>777</v>
      </c>
      <c r="D434" s="26" t="s">
        <v>776</v>
      </c>
      <c r="E434" s="10" t="s">
        <v>757</v>
      </c>
      <c r="F434" s="10" t="s">
        <v>34</v>
      </c>
      <c r="G434" s="55" t="str">
        <f t="shared" si="12"/>
        <v>Obsolete</v>
      </c>
      <c r="H434" s="10"/>
      <c r="I434" s="13">
        <v>55</v>
      </c>
      <c r="J434" s="56"/>
      <c r="K434" s="57"/>
      <c r="M434" s="14">
        <v>11.83</v>
      </c>
      <c r="N434" s="14">
        <v>9.92</v>
      </c>
      <c r="O434" s="14">
        <v>8.67</v>
      </c>
      <c r="P434" s="14"/>
      <c r="Q434" s="14"/>
      <c r="R434" s="14"/>
      <c r="S434" s="14"/>
      <c r="T434" s="70"/>
      <c r="U434" s="76" t="s">
        <v>54</v>
      </c>
      <c r="V434" s="76"/>
      <c r="W434" s="76" t="s">
        <v>54</v>
      </c>
      <c r="X434" s="76"/>
      <c r="Y434" s="97"/>
      <c r="Z434" s="87"/>
      <c r="AA434" s="79" t="s">
        <v>64</v>
      </c>
      <c r="AB434" s="79" t="s">
        <v>37</v>
      </c>
      <c r="AC434" s="79" t="s">
        <v>37</v>
      </c>
      <c r="AD434" s="79"/>
      <c r="AE434" s="79" t="s">
        <v>758</v>
      </c>
      <c r="AF434" s="79" t="s">
        <v>759</v>
      </c>
      <c r="AG434" s="79" t="s">
        <v>760</v>
      </c>
      <c r="AH434" s="79"/>
      <c r="AI434" s="53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</row>
    <row r="435" spans="1:110" ht="13.8" x14ac:dyDescent="0.25">
      <c r="A435" s="24">
        <v>1207018</v>
      </c>
      <c r="B435" s="26" t="s">
        <v>657</v>
      </c>
      <c r="C435" s="25" t="s">
        <v>778</v>
      </c>
      <c r="D435" s="26"/>
      <c r="E435" s="10" t="s">
        <v>132</v>
      </c>
      <c r="F435" s="10" t="s">
        <v>34</v>
      </c>
      <c r="G435" s="55">
        <f t="shared" si="12"/>
        <v>0</v>
      </c>
      <c r="H435" s="10">
        <v>10</v>
      </c>
      <c r="I435" s="13">
        <v>55</v>
      </c>
      <c r="J435" s="56"/>
      <c r="K435" s="57"/>
      <c r="M435" s="14"/>
      <c r="N435" s="14"/>
      <c r="O435" s="14"/>
      <c r="P435" s="14"/>
      <c r="Q435" s="14"/>
      <c r="R435" s="14"/>
      <c r="S435" s="14"/>
      <c r="T435" s="70"/>
      <c r="U435" s="76"/>
      <c r="V435" s="76">
        <v>0</v>
      </c>
      <c r="W435" s="76"/>
      <c r="X435" s="76">
        <v>0</v>
      </c>
      <c r="Y435" s="77" t="s">
        <v>37</v>
      </c>
      <c r="Z435" s="87">
        <v>55</v>
      </c>
      <c r="AA435" s="79" t="s">
        <v>36</v>
      </c>
      <c r="AB435" s="79" t="s">
        <v>35</v>
      </c>
      <c r="AC435" s="79" t="s">
        <v>37</v>
      </c>
      <c r="AD435" s="79" t="s">
        <v>38</v>
      </c>
      <c r="AE435" s="79" t="s">
        <v>133</v>
      </c>
      <c r="AF435" s="79" t="s">
        <v>134</v>
      </c>
      <c r="AG435" s="90" t="s">
        <v>135</v>
      </c>
      <c r="AH435" s="79"/>
      <c r="AI435" s="53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</row>
    <row r="436" spans="1:110" ht="20.399999999999999" x14ac:dyDescent="0.25">
      <c r="A436" s="24">
        <v>1207019</v>
      </c>
      <c r="B436" s="26" t="s">
        <v>657</v>
      </c>
      <c r="C436" s="25" t="s">
        <v>779</v>
      </c>
      <c r="D436" s="26" t="s">
        <v>776</v>
      </c>
      <c r="E436" s="10" t="s">
        <v>757</v>
      </c>
      <c r="F436" s="10" t="s">
        <v>34</v>
      </c>
      <c r="G436" s="55" t="str">
        <f t="shared" si="12"/>
        <v>Obsolete</v>
      </c>
      <c r="H436" s="10"/>
      <c r="I436" s="13"/>
      <c r="J436" s="56"/>
      <c r="K436" s="57"/>
      <c r="M436" s="14">
        <v>11.64</v>
      </c>
      <c r="N436" s="14">
        <v>9.73</v>
      </c>
      <c r="O436" s="14">
        <v>8.48</v>
      </c>
      <c r="P436" s="14"/>
      <c r="Q436" s="14"/>
      <c r="R436" s="14"/>
      <c r="S436" s="14"/>
      <c r="T436" s="70"/>
      <c r="U436" s="76" t="s">
        <v>54</v>
      </c>
      <c r="V436" s="76"/>
      <c r="W436" s="76" t="s">
        <v>54</v>
      </c>
      <c r="X436" s="76"/>
      <c r="Y436" s="97"/>
      <c r="Z436" s="87"/>
      <c r="AA436" s="79"/>
      <c r="AB436" s="79" t="s">
        <v>37</v>
      </c>
      <c r="AC436" s="79" t="s">
        <v>37</v>
      </c>
      <c r="AD436" s="79"/>
      <c r="AE436" s="79" t="s">
        <v>758</v>
      </c>
      <c r="AF436" s="79" t="s">
        <v>759</v>
      </c>
      <c r="AG436" s="79" t="s">
        <v>760</v>
      </c>
      <c r="AH436" s="79"/>
      <c r="AI436" s="53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</row>
    <row r="437" spans="1:110" ht="13.8" x14ac:dyDescent="0.25">
      <c r="A437" s="24">
        <v>1207020</v>
      </c>
      <c r="B437" s="26" t="s">
        <v>657</v>
      </c>
      <c r="C437" s="25" t="s">
        <v>780</v>
      </c>
      <c r="D437" s="26" t="s">
        <v>776</v>
      </c>
      <c r="E437" s="10" t="s">
        <v>768</v>
      </c>
      <c r="F437" s="10" t="s">
        <v>34</v>
      </c>
      <c r="G437" s="55" t="str">
        <f t="shared" si="12"/>
        <v>Obsolete</v>
      </c>
      <c r="H437" s="10"/>
      <c r="I437" s="13"/>
      <c r="J437" s="56"/>
      <c r="K437" s="57"/>
      <c r="M437" s="14"/>
      <c r="N437" s="14"/>
      <c r="O437" s="14"/>
      <c r="P437" s="14"/>
      <c r="Q437" s="14"/>
      <c r="R437" s="14"/>
      <c r="S437" s="14"/>
      <c r="T437" s="70"/>
      <c r="U437" s="76" t="s">
        <v>54</v>
      </c>
      <c r="V437" s="76">
        <v>0</v>
      </c>
      <c r="W437" s="76" t="s">
        <v>54</v>
      </c>
      <c r="X437" s="76">
        <v>0</v>
      </c>
      <c r="Y437" s="77" t="s">
        <v>37</v>
      </c>
      <c r="Z437" s="87">
        <v>50</v>
      </c>
      <c r="AA437" s="79" t="s">
        <v>64</v>
      </c>
      <c r="AB437" s="79" t="s">
        <v>37</v>
      </c>
      <c r="AC437" s="79" t="s">
        <v>37</v>
      </c>
      <c r="AD437" s="91" t="s">
        <v>57</v>
      </c>
      <c r="AE437" s="79" t="s">
        <v>769</v>
      </c>
      <c r="AF437" s="79" t="s">
        <v>770</v>
      </c>
      <c r="AG437" s="105" t="s">
        <v>771</v>
      </c>
      <c r="AH437" s="79"/>
      <c r="AI437" s="53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</row>
    <row r="438" spans="1:110" ht="20.399999999999999" x14ac:dyDescent="0.25">
      <c r="A438" s="24">
        <v>1207021</v>
      </c>
      <c r="B438" s="26" t="s">
        <v>657</v>
      </c>
      <c r="C438" s="25" t="s">
        <v>781</v>
      </c>
      <c r="D438" s="26" t="s">
        <v>776</v>
      </c>
      <c r="E438" s="10" t="s">
        <v>757</v>
      </c>
      <c r="F438" s="10" t="s">
        <v>34</v>
      </c>
      <c r="G438" s="55" t="str">
        <f t="shared" si="12"/>
        <v>Obsolete</v>
      </c>
      <c r="H438" s="10"/>
      <c r="I438" s="13"/>
      <c r="J438" s="56"/>
      <c r="K438" s="57"/>
      <c r="M438" s="14">
        <v>12.56</v>
      </c>
      <c r="N438" s="14"/>
      <c r="O438" s="14"/>
      <c r="P438" s="14"/>
      <c r="Q438" s="14"/>
      <c r="R438" s="14"/>
      <c r="S438" s="14"/>
      <c r="T438" s="70"/>
      <c r="U438" s="76" t="s">
        <v>54</v>
      </c>
      <c r="V438" s="76"/>
      <c r="W438" s="76" t="s">
        <v>54</v>
      </c>
      <c r="X438" s="76"/>
      <c r="Y438" s="97"/>
      <c r="Z438" s="87"/>
      <c r="AA438" s="79" t="s">
        <v>64</v>
      </c>
      <c r="AB438" s="79" t="s">
        <v>37</v>
      </c>
      <c r="AC438" s="79" t="s">
        <v>37</v>
      </c>
      <c r="AD438" s="79"/>
      <c r="AE438" s="79" t="s">
        <v>758</v>
      </c>
      <c r="AF438" s="79" t="s">
        <v>759</v>
      </c>
      <c r="AG438" s="105" t="s">
        <v>760</v>
      </c>
      <c r="AH438" s="79"/>
      <c r="AI438" s="53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</row>
    <row r="439" spans="1:110" ht="13.8" x14ac:dyDescent="0.25">
      <c r="A439" s="24">
        <v>1207022</v>
      </c>
      <c r="B439" s="10" t="s">
        <v>657</v>
      </c>
      <c r="C439" s="16" t="s">
        <v>782</v>
      </c>
      <c r="D439" s="26"/>
      <c r="E439" s="10" t="s">
        <v>757</v>
      </c>
      <c r="F439" s="10" t="s">
        <v>34</v>
      </c>
      <c r="G439" s="55" t="str">
        <f t="shared" si="12"/>
        <v>Obsolete</v>
      </c>
      <c r="H439" s="10"/>
      <c r="I439" s="13"/>
      <c r="J439" s="56"/>
      <c r="K439" s="57"/>
      <c r="M439" s="14">
        <v>12.74</v>
      </c>
      <c r="N439" s="14">
        <v>10.92</v>
      </c>
      <c r="O439" s="14">
        <v>9.36</v>
      </c>
      <c r="P439" s="14"/>
      <c r="Q439" s="14"/>
      <c r="R439" s="14"/>
      <c r="S439" s="14"/>
      <c r="T439" s="70"/>
      <c r="U439" s="76" t="s">
        <v>54</v>
      </c>
      <c r="V439" s="76"/>
      <c r="W439" s="76" t="s">
        <v>54</v>
      </c>
      <c r="X439" s="76"/>
      <c r="Y439" s="97"/>
      <c r="Z439" s="87"/>
      <c r="AA439" s="79" t="s">
        <v>206</v>
      </c>
      <c r="AB439" s="79" t="s">
        <v>37</v>
      </c>
      <c r="AC439" s="79" t="s">
        <v>37</v>
      </c>
      <c r="AD439" s="79"/>
      <c r="AE439" s="79" t="s">
        <v>758</v>
      </c>
      <c r="AF439" s="79" t="s">
        <v>759</v>
      </c>
      <c r="AG439" s="79" t="s">
        <v>760</v>
      </c>
      <c r="AH439" s="79"/>
      <c r="AI439" s="53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</row>
    <row r="440" spans="1:110" ht="13.8" x14ac:dyDescent="0.25">
      <c r="A440" s="24">
        <v>1207030</v>
      </c>
      <c r="B440" s="26" t="s">
        <v>657</v>
      </c>
      <c r="C440" s="25" t="s">
        <v>783</v>
      </c>
      <c r="D440" s="26" t="s">
        <v>776</v>
      </c>
      <c r="E440" s="10" t="s">
        <v>768</v>
      </c>
      <c r="F440" s="10" t="s">
        <v>34</v>
      </c>
      <c r="G440" s="55" t="str">
        <f t="shared" si="12"/>
        <v>Obsolete</v>
      </c>
      <c r="H440" s="10"/>
      <c r="I440" s="13"/>
      <c r="J440" s="56"/>
      <c r="K440" s="57"/>
      <c r="M440" s="14"/>
      <c r="N440" s="14"/>
      <c r="O440" s="14"/>
      <c r="P440" s="14"/>
      <c r="Q440" s="14"/>
      <c r="R440" s="14"/>
      <c r="S440" s="14"/>
      <c r="T440" s="70"/>
      <c r="U440" s="76" t="s">
        <v>54</v>
      </c>
      <c r="V440" s="76">
        <v>0</v>
      </c>
      <c r="W440" s="76" t="s">
        <v>54</v>
      </c>
      <c r="X440" s="76">
        <v>0</v>
      </c>
      <c r="Y440" s="77" t="s">
        <v>37</v>
      </c>
      <c r="Z440" s="87">
        <v>50</v>
      </c>
      <c r="AA440" s="79" t="s">
        <v>64</v>
      </c>
      <c r="AB440" s="79" t="s">
        <v>37</v>
      </c>
      <c r="AC440" s="79" t="s">
        <v>37</v>
      </c>
      <c r="AD440" s="91" t="s">
        <v>57</v>
      </c>
      <c r="AE440" s="79" t="s">
        <v>769</v>
      </c>
      <c r="AF440" s="79" t="s">
        <v>770</v>
      </c>
      <c r="AG440" s="105" t="s">
        <v>771</v>
      </c>
      <c r="AH440" s="79"/>
      <c r="AI440" s="53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</row>
    <row r="441" spans="1:110" ht="20.399999999999999" x14ac:dyDescent="0.25">
      <c r="A441" s="24">
        <v>1207031</v>
      </c>
      <c r="B441" s="26" t="s">
        <v>657</v>
      </c>
      <c r="C441" s="25" t="s">
        <v>784</v>
      </c>
      <c r="D441" s="26" t="s">
        <v>773</v>
      </c>
      <c r="E441" s="10" t="s">
        <v>785</v>
      </c>
      <c r="F441" s="10" t="s">
        <v>34</v>
      </c>
      <c r="G441" s="55" t="str">
        <f t="shared" si="12"/>
        <v>Obsolete</v>
      </c>
      <c r="H441" s="10">
        <v>4</v>
      </c>
      <c r="I441" s="13">
        <v>55</v>
      </c>
      <c r="J441" s="56"/>
      <c r="K441" s="57"/>
      <c r="M441" s="14">
        <v>5.03</v>
      </c>
      <c r="N441" s="14"/>
      <c r="O441" s="14"/>
      <c r="P441" s="14"/>
      <c r="Q441" s="14"/>
      <c r="R441" s="14"/>
      <c r="S441" s="14"/>
      <c r="T441" s="70"/>
      <c r="U441" s="76" t="s">
        <v>54</v>
      </c>
      <c r="V441" s="76"/>
      <c r="W441" s="76" t="s">
        <v>54</v>
      </c>
      <c r="X441" s="76"/>
      <c r="Y441" s="97"/>
      <c r="Z441" s="87">
        <v>55</v>
      </c>
      <c r="AA441" s="79" t="s">
        <v>64</v>
      </c>
      <c r="AB441" s="79" t="s">
        <v>37</v>
      </c>
      <c r="AC441" s="79" t="s">
        <v>37</v>
      </c>
      <c r="AD441" s="79"/>
      <c r="AE441" s="79" t="s">
        <v>786</v>
      </c>
      <c r="AF441" s="79" t="s">
        <v>787</v>
      </c>
      <c r="AG441" s="79" t="s">
        <v>788</v>
      </c>
      <c r="AH441" s="79"/>
      <c r="AI441" s="53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</row>
    <row r="442" spans="1:110" ht="20.399999999999999" x14ac:dyDescent="0.25">
      <c r="A442" s="24">
        <v>1207032</v>
      </c>
      <c r="B442" s="26" t="s">
        <v>657</v>
      </c>
      <c r="C442" s="25" t="s">
        <v>789</v>
      </c>
      <c r="D442" s="26" t="s">
        <v>773</v>
      </c>
      <c r="E442" s="10" t="s">
        <v>757</v>
      </c>
      <c r="F442" s="10" t="s">
        <v>34</v>
      </c>
      <c r="G442" s="55" t="str">
        <f t="shared" si="12"/>
        <v>Obsolete</v>
      </c>
      <c r="H442" s="10">
        <v>4</v>
      </c>
      <c r="I442" s="13">
        <v>55</v>
      </c>
      <c r="J442" s="56"/>
      <c r="K442" s="57"/>
      <c r="M442" s="14">
        <v>11.48</v>
      </c>
      <c r="N442" s="14">
        <v>9.57</v>
      </c>
      <c r="O442" s="14">
        <v>8.32</v>
      </c>
      <c r="P442" s="14"/>
      <c r="Q442" s="14"/>
      <c r="R442" s="14"/>
      <c r="S442" s="14"/>
      <c r="T442" s="70"/>
      <c r="U442" s="76" t="s">
        <v>54</v>
      </c>
      <c r="V442" s="76"/>
      <c r="W442" s="76" t="s">
        <v>54</v>
      </c>
      <c r="X442" s="76"/>
      <c r="Y442" s="97"/>
      <c r="Z442" s="87">
        <v>55</v>
      </c>
      <c r="AA442" s="79" t="s">
        <v>64</v>
      </c>
      <c r="AB442" s="79" t="s">
        <v>37</v>
      </c>
      <c r="AC442" s="79" t="s">
        <v>37</v>
      </c>
      <c r="AD442" s="79"/>
      <c r="AE442" s="79" t="s">
        <v>758</v>
      </c>
      <c r="AF442" s="79" t="s">
        <v>759</v>
      </c>
      <c r="AG442" s="79" t="s">
        <v>760</v>
      </c>
      <c r="AH442" s="79"/>
      <c r="AI442" s="53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</row>
    <row r="443" spans="1:110" ht="20.399999999999999" x14ac:dyDescent="0.25">
      <c r="A443" s="24">
        <v>1207033</v>
      </c>
      <c r="B443" s="26" t="s">
        <v>657</v>
      </c>
      <c r="C443" s="25" t="s">
        <v>790</v>
      </c>
      <c r="D443" s="26"/>
      <c r="E443" s="10" t="s">
        <v>757</v>
      </c>
      <c r="F443" s="10" t="s">
        <v>34</v>
      </c>
      <c r="G443" s="55" t="str">
        <f t="shared" si="12"/>
        <v>Obsolete</v>
      </c>
      <c r="H443" s="10">
        <v>4</v>
      </c>
      <c r="I443" s="13">
        <v>55</v>
      </c>
      <c r="J443" s="56"/>
      <c r="K443" s="57"/>
      <c r="M443" s="14">
        <v>11.33</v>
      </c>
      <c r="N443" s="14">
        <v>9.42</v>
      </c>
      <c r="O443" s="14">
        <v>8.17</v>
      </c>
      <c r="P443" s="14"/>
      <c r="Q443" s="14"/>
      <c r="R443" s="14"/>
      <c r="S443" s="14"/>
      <c r="T443" s="70"/>
      <c r="U443" s="76" t="s">
        <v>54</v>
      </c>
      <c r="V443" s="76"/>
      <c r="W443" s="76" t="s">
        <v>54</v>
      </c>
      <c r="X443" s="76"/>
      <c r="Y443" s="97"/>
      <c r="Z443" s="87">
        <v>55</v>
      </c>
      <c r="AA443" s="79" t="s">
        <v>64</v>
      </c>
      <c r="AB443" s="79" t="s">
        <v>37</v>
      </c>
      <c r="AC443" s="79" t="s">
        <v>37</v>
      </c>
      <c r="AD443" s="79"/>
      <c r="AE443" s="79" t="s">
        <v>758</v>
      </c>
      <c r="AF443" s="79" t="s">
        <v>759</v>
      </c>
      <c r="AG443" s="79" t="s">
        <v>760</v>
      </c>
      <c r="AH443" s="79"/>
      <c r="AI443" s="53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</row>
    <row r="444" spans="1:110" ht="20.399999999999999" x14ac:dyDescent="0.25">
      <c r="A444" s="24">
        <v>1207034</v>
      </c>
      <c r="B444" s="26" t="s">
        <v>657</v>
      </c>
      <c r="C444" s="25" t="s">
        <v>791</v>
      </c>
      <c r="D444" s="26" t="s">
        <v>773</v>
      </c>
      <c r="E444" s="10" t="s">
        <v>757</v>
      </c>
      <c r="F444" s="10" t="s">
        <v>34</v>
      </c>
      <c r="G444" s="55" t="str">
        <f t="shared" si="12"/>
        <v>Obsolete</v>
      </c>
      <c r="H444" s="10">
        <v>4</v>
      </c>
      <c r="I444" s="13">
        <v>55</v>
      </c>
      <c r="J444" s="56"/>
      <c r="K444" s="57"/>
      <c r="M444" s="14">
        <v>11.36</v>
      </c>
      <c r="N444" s="14">
        <v>9.4499999999999993</v>
      </c>
      <c r="O444" s="14">
        <v>8.1999999999999993</v>
      </c>
      <c r="P444" s="14"/>
      <c r="Q444" s="14"/>
      <c r="R444" s="14"/>
      <c r="S444" s="14"/>
      <c r="T444" s="70"/>
      <c r="U444" s="76" t="s">
        <v>54</v>
      </c>
      <c r="V444" s="76"/>
      <c r="W444" s="76" t="s">
        <v>54</v>
      </c>
      <c r="X444" s="76"/>
      <c r="Y444" s="97"/>
      <c r="Z444" s="87">
        <v>55</v>
      </c>
      <c r="AA444" s="79" t="s">
        <v>64</v>
      </c>
      <c r="AB444" s="79" t="s">
        <v>37</v>
      </c>
      <c r="AC444" s="79" t="s">
        <v>37</v>
      </c>
      <c r="AD444" s="79"/>
      <c r="AE444" s="79" t="s">
        <v>758</v>
      </c>
      <c r="AF444" s="79" t="s">
        <v>759</v>
      </c>
      <c r="AG444" s="79" t="s">
        <v>760</v>
      </c>
      <c r="AH444" s="79"/>
      <c r="AI444" s="53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</row>
    <row r="445" spans="1:110" ht="20.399999999999999" x14ac:dyDescent="0.25">
      <c r="A445" s="24">
        <v>1207035</v>
      </c>
      <c r="B445" s="26" t="s">
        <v>657</v>
      </c>
      <c r="C445" s="25" t="s">
        <v>792</v>
      </c>
      <c r="D445" s="26"/>
      <c r="E445" s="10" t="s">
        <v>757</v>
      </c>
      <c r="F445" s="10" t="s">
        <v>34</v>
      </c>
      <c r="G445" s="55" t="str">
        <f t="shared" si="12"/>
        <v>Obsolete</v>
      </c>
      <c r="H445" s="10">
        <v>4</v>
      </c>
      <c r="I445" s="13">
        <v>55</v>
      </c>
      <c r="J445" s="56"/>
      <c r="K445" s="57"/>
      <c r="M445" s="14">
        <v>11.59</v>
      </c>
      <c r="N445" s="14">
        <v>9.68</v>
      </c>
      <c r="O445" s="14">
        <v>8.43</v>
      </c>
      <c r="P445" s="14"/>
      <c r="Q445" s="14"/>
      <c r="R445" s="14"/>
      <c r="S445" s="14"/>
      <c r="T445" s="70"/>
      <c r="U445" s="76" t="s">
        <v>54</v>
      </c>
      <c r="V445" s="76"/>
      <c r="W445" s="76" t="s">
        <v>54</v>
      </c>
      <c r="X445" s="76"/>
      <c r="Y445" s="97"/>
      <c r="Z445" s="87">
        <v>55</v>
      </c>
      <c r="AA445" s="79" t="s">
        <v>64</v>
      </c>
      <c r="AB445" s="79" t="s">
        <v>37</v>
      </c>
      <c r="AC445" s="79" t="s">
        <v>37</v>
      </c>
      <c r="AD445" s="79"/>
      <c r="AE445" s="79" t="s">
        <v>758</v>
      </c>
      <c r="AF445" s="79" t="s">
        <v>759</v>
      </c>
      <c r="AG445" s="79" t="s">
        <v>760</v>
      </c>
      <c r="AH445" s="79"/>
      <c r="AI445" s="53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</row>
    <row r="446" spans="1:110" ht="13.8" x14ac:dyDescent="0.25">
      <c r="A446" s="24">
        <v>1207036</v>
      </c>
      <c r="B446" s="26" t="s">
        <v>657</v>
      </c>
      <c r="C446" s="25" t="s">
        <v>793</v>
      </c>
      <c r="D446" s="26" t="s">
        <v>756</v>
      </c>
      <c r="E446" s="10" t="s">
        <v>794</v>
      </c>
      <c r="F446" s="10" t="s">
        <v>34</v>
      </c>
      <c r="G446" s="55" t="str">
        <f t="shared" si="12"/>
        <v>Obsolete</v>
      </c>
      <c r="H446" s="10">
        <v>5</v>
      </c>
      <c r="I446" s="13">
        <v>55</v>
      </c>
      <c r="J446" s="56"/>
      <c r="K446" s="57"/>
      <c r="M446" s="14">
        <v>21.43</v>
      </c>
      <c r="N446" s="14">
        <v>16.46</v>
      </c>
      <c r="O446" s="14"/>
      <c r="P446" s="14"/>
      <c r="Q446" s="14"/>
      <c r="R446" s="14"/>
      <c r="S446" s="14"/>
      <c r="T446" s="70"/>
      <c r="U446" s="76" t="s">
        <v>54</v>
      </c>
      <c r="V446" s="76"/>
      <c r="W446" s="76" t="s">
        <v>54</v>
      </c>
      <c r="X446" s="76"/>
      <c r="Y446" s="97"/>
      <c r="Z446" s="87">
        <v>55</v>
      </c>
      <c r="AA446" s="79" t="s">
        <v>64</v>
      </c>
      <c r="AB446" s="79" t="s">
        <v>37</v>
      </c>
      <c r="AC446" s="79" t="s">
        <v>37</v>
      </c>
      <c r="AD446" s="79"/>
      <c r="AE446" s="79"/>
      <c r="AF446" s="79"/>
      <c r="AG446" s="79"/>
      <c r="AH446" s="79"/>
      <c r="AI446" s="53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</row>
    <row r="447" spans="1:110" ht="13.8" x14ac:dyDescent="0.25">
      <c r="A447" s="24">
        <v>1207037</v>
      </c>
      <c r="B447" s="26" t="s">
        <v>657</v>
      </c>
      <c r="C447" s="25" t="s">
        <v>795</v>
      </c>
      <c r="D447" s="26" t="s">
        <v>756</v>
      </c>
      <c r="E447" s="10" t="s">
        <v>794</v>
      </c>
      <c r="F447" s="10" t="s">
        <v>34</v>
      </c>
      <c r="G447" s="55" t="str">
        <f t="shared" si="12"/>
        <v>Obsolete</v>
      </c>
      <c r="H447" s="10">
        <v>5</v>
      </c>
      <c r="I447" s="13">
        <v>55</v>
      </c>
      <c r="J447" s="56"/>
      <c r="K447" s="57"/>
      <c r="M447" s="14">
        <v>21.43</v>
      </c>
      <c r="N447" s="14">
        <v>16.46</v>
      </c>
      <c r="O447" s="14"/>
      <c r="P447" s="14"/>
      <c r="Q447" s="14"/>
      <c r="R447" s="14"/>
      <c r="S447" s="14"/>
      <c r="T447" s="70"/>
      <c r="U447" s="76" t="s">
        <v>54</v>
      </c>
      <c r="V447" s="76"/>
      <c r="W447" s="76" t="s">
        <v>54</v>
      </c>
      <c r="X447" s="76"/>
      <c r="Y447" s="97"/>
      <c r="Z447" s="87">
        <v>55</v>
      </c>
      <c r="AA447" s="79" t="s">
        <v>64</v>
      </c>
      <c r="AB447" s="79" t="s">
        <v>37</v>
      </c>
      <c r="AC447" s="79" t="s">
        <v>37</v>
      </c>
      <c r="AD447" s="79"/>
      <c r="AE447" s="79"/>
      <c r="AF447" s="79"/>
      <c r="AG447" s="79"/>
      <c r="AH447" s="79"/>
      <c r="AI447" s="53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</row>
    <row r="448" spans="1:110" ht="13.8" x14ac:dyDescent="0.25">
      <c r="A448" s="24">
        <v>1207038</v>
      </c>
      <c r="B448" s="26" t="s">
        <v>657</v>
      </c>
      <c r="C448" s="37" t="s">
        <v>796</v>
      </c>
      <c r="D448" s="10" t="s">
        <v>773</v>
      </c>
      <c r="E448" s="10" t="s">
        <v>797</v>
      </c>
      <c r="F448" s="10" t="s">
        <v>34</v>
      </c>
      <c r="G448" s="55" t="str">
        <f t="shared" si="12"/>
        <v>Obsolete</v>
      </c>
      <c r="H448" s="10">
        <v>4</v>
      </c>
      <c r="I448" s="13">
        <v>55</v>
      </c>
      <c r="J448" s="56"/>
      <c r="K448" s="57"/>
      <c r="M448" s="14">
        <v>3.3</v>
      </c>
      <c r="N448" s="14">
        <v>3.3</v>
      </c>
      <c r="O448" s="14"/>
      <c r="P448" s="14"/>
      <c r="Q448" s="14"/>
      <c r="R448" s="14"/>
      <c r="S448" s="14"/>
      <c r="T448" s="70"/>
      <c r="U448" s="76" t="s">
        <v>54</v>
      </c>
      <c r="V448" s="76"/>
      <c r="W448" s="76" t="s">
        <v>54</v>
      </c>
      <c r="X448" s="76"/>
      <c r="Y448" s="97"/>
      <c r="Z448" s="87"/>
      <c r="AA448" s="79"/>
      <c r="AB448" s="79" t="s">
        <v>37</v>
      </c>
      <c r="AC448" s="79" t="s">
        <v>37</v>
      </c>
      <c r="AD448" s="79"/>
      <c r="AE448" s="79"/>
      <c r="AF448" s="79"/>
      <c r="AG448" s="79"/>
      <c r="AH448" s="79"/>
      <c r="AI448" s="53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</row>
    <row r="449" spans="1:110" ht="13.8" x14ac:dyDescent="0.25">
      <c r="A449" s="24">
        <v>1207039</v>
      </c>
      <c r="B449" s="26" t="s">
        <v>657</v>
      </c>
      <c r="C449" s="16" t="s">
        <v>798</v>
      </c>
      <c r="D449" s="10" t="s">
        <v>773</v>
      </c>
      <c r="E449" s="10" t="s">
        <v>797</v>
      </c>
      <c r="F449" s="10" t="s">
        <v>34</v>
      </c>
      <c r="G449" s="55" t="str">
        <f t="shared" si="12"/>
        <v>Obsolete</v>
      </c>
      <c r="H449" s="10">
        <v>4</v>
      </c>
      <c r="I449" s="13">
        <v>55</v>
      </c>
      <c r="J449" s="56"/>
      <c r="K449" s="57"/>
      <c r="M449" s="14">
        <v>3.5</v>
      </c>
      <c r="N449" s="14"/>
      <c r="O449" s="14"/>
      <c r="P449" s="14"/>
      <c r="Q449" s="14"/>
      <c r="R449" s="14"/>
      <c r="S449" s="14"/>
      <c r="T449" s="70"/>
      <c r="U449" s="76" t="s">
        <v>54</v>
      </c>
      <c r="V449" s="76"/>
      <c r="W449" s="76" t="s">
        <v>54</v>
      </c>
      <c r="X449" s="76"/>
      <c r="Y449" s="97"/>
      <c r="Z449" s="87"/>
      <c r="AA449" s="79"/>
      <c r="AB449" s="79" t="s">
        <v>37</v>
      </c>
      <c r="AC449" s="79" t="s">
        <v>37</v>
      </c>
      <c r="AD449" s="79"/>
      <c r="AE449" s="79"/>
      <c r="AF449" s="79"/>
      <c r="AG449" s="79"/>
      <c r="AH449" s="79"/>
      <c r="AI449" s="53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</row>
    <row r="450" spans="1:110" ht="13.8" x14ac:dyDescent="0.25">
      <c r="A450" s="24">
        <v>1207040</v>
      </c>
      <c r="B450" s="26" t="s">
        <v>657</v>
      </c>
      <c r="C450" s="16" t="s">
        <v>799</v>
      </c>
      <c r="D450" s="10" t="s">
        <v>776</v>
      </c>
      <c r="E450" s="10" t="s">
        <v>768</v>
      </c>
      <c r="F450" s="10" t="s">
        <v>34</v>
      </c>
      <c r="G450" s="55" t="str">
        <f t="shared" si="12"/>
        <v>Obsolete</v>
      </c>
      <c r="H450" s="10"/>
      <c r="I450" s="13"/>
      <c r="J450" s="56"/>
      <c r="K450" s="57"/>
      <c r="M450" s="14"/>
      <c r="N450" s="14"/>
      <c r="O450" s="14"/>
      <c r="P450" s="14"/>
      <c r="Q450" s="14"/>
      <c r="R450" s="14"/>
      <c r="S450" s="14"/>
      <c r="T450" s="70"/>
      <c r="U450" s="76" t="s">
        <v>54</v>
      </c>
      <c r="V450" s="76">
        <v>0</v>
      </c>
      <c r="W450" s="76" t="s">
        <v>54</v>
      </c>
      <c r="X450" s="76">
        <v>0</v>
      </c>
      <c r="Y450" s="77" t="s">
        <v>37</v>
      </c>
      <c r="Z450" s="87">
        <v>50</v>
      </c>
      <c r="AA450" s="79" t="s">
        <v>64</v>
      </c>
      <c r="AB450" s="79" t="s">
        <v>37</v>
      </c>
      <c r="AC450" s="79" t="s">
        <v>37</v>
      </c>
      <c r="AD450" s="91" t="s">
        <v>57</v>
      </c>
      <c r="AE450" s="79" t="s">
        <v>769</v>
      </c>
      <c r="AF450" s="79" t="s">
        <v>770</v>
      </c>
      <c r="AG450" s="105" t="s">
        <v>771</v>
      </c>
      <c r="AH450" s="79"/>
      <c r="AI450" s="53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</row>
    <row r="451" spans="1:110" ht="13.8" x14ac:dyDescent="0.25">
      <c r="A451" s="24">
        <v>1207041</v>
      </c>
      <c r="B451" s="26" t="s">
        <v>657</v>
      </c>
      <c r="C451" s="16" t="s">
        <v>800</v>
      </c>
      <c r="D451" s="10"/>
      <c r="E451" s="10" t="s">
        <v>757</v>
      </c>
      <c r="F451" s="10" t="s">
        <v>34</v>
      </c>
      <c r="G451" s="55" t="str">
        <f t="shared" si="12"/>
        <v>Obsolete</v>
      </c>
      <c r="H451" s="10">
        <v>4</v>
      </c>
      <c r="I451" s="13">
        <v>55</v>
      </c>
      <c r="J451" s="56"/>
      <c r="K451" s="57"/>
      <c r="M451" s="14"/>
      <c r="N451" s="14"/>
      <c r="O451" s="14"/>
      <c r="P451" s="14"/>
      <c r="Q451" s="14"/>
      <c r="R451" s="14"/>
      <c r="S451" s="14"/>
      <c r="T451" s="70"/>
      <c r="U451" s="76" t="s">
        <v>54</v>
      </c>
      <c r="V451" s="76"/>
      <c r="W451" s="76" t="s">
        <v>54</v>
      </c>
      <c r="X451" s="76"/>
      <c r="Y451" s="97"/>
      <c r="Z451" s="87">
        <v>55</v>
      </c>
      <c r="AA451" s="79" t="s">
        <v>206</v>
      </c>
      <c r="AB451" s="79" t="s">
        <v>37</v>
      </c>
      <c r="AC451" s="79" t="s">
        <v>37</v>
      </c>
      <c r="AD451" s="79"/>
      <c r="AE451" s="79"/>
      <c r="AF451" s="79"/>
      <c r="AG451" s="79"/>
      <c r="AH451" s="79"/>
      <c r="AI451" s="53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</row>
    <row r="452" spans="1:110" ht="13.8" x14ac:dyDescent="0.25">
      <c r="A452" s="24">
        <v>1207042</v>
      </c>
      <c r="B452" s="26" t="s">
        <v>657</v>
      </c>
      <c r="C452" s="16" t="s">
        <v>801</v>
      </c>
      <c r="D452" s="10" t="s">
        <v>776</v>
      </c>
      <c r="E452" s="10" t="s">
        <v>768</v>
      </c>
      <c r="F452" s="10" t="s">
        <v>34</v>
      </c>
      <c r="G452" s="55">
        <f t="shared" si="12"/>
        <v>22.693200000000001</v>
      </c>
      <c r="H452" s="10">
        <v>5</v>
      </c>
      <c r="I452" s="13">
        <v>50</v>
      </c>
      <c r="J452" s="56"/>
      <c r="K452" s="57"/>
      <c r="M452" s="14">
        <v>21.92</v>
      </c>
      <c r="N452" s="14">
        <v>14.57</v>
      </c>
      <c r="O452" s="14">
        <v>13.66</v>
      </c>
      <c r="P452" s="14">
        <v>12.58</v>
      </c>
      <c r="Q452" s="14"/>
      <c r="R452" s="14">
        <v>12.43</v>
      </c>
      <c r="S452" s="14"/>
      <c r="T452" s="70"/>
      <c r="U452" s="76">
        <v>21.92</v>
      </c>
      <c r="V452" s="76">
        <v>0.7732</v>
      </c>
      <c r="W452" s="76">
        <v>21.92</v>
      </c>
      <c r="X452" s="76">
        <v>0.7732</v>
      </c>
      <c r="Y452" s="77" t="s">
        <v>35</v>
      </c>
      <c r="Z452" s="87">
        <v>50</v>
      </c>
      <c r="AA452" s="79" t="s">
        <v>36</v>
      </c>
      <c r="AB452" s="79" t="s">
        <v>35</v>
      </c>
      <c r="AC452" s="79" t="s">
        <v>37</v>
      </c>
      <c r="AD452" s="79" t="s">
        <v>38</v>
      </c>
      <c r="AE452" s="79" t="s">
        <v>769</v>
      </c>
      <c r="AF452" s="79" t="s">
        <v>770</v>
      </c>
      <c r="AG452" s="105" t="s">
        <v>771</v>
      </c>
      <c r="AH452" s="79"/>
      <c r="AI452" s="53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</row>
    <row r="453" spans="1:110" ht="13.8" x14ac:dyDescent="0.25">
      <c r="A453" s="24">
        <v>1207043</v>
      </c>
      <c r="B453" s="26" t="s">
        <v>657</v>
      </c>
      <c r="C453" s="16" t="s">
        <v>802</v>
      </c>
      <c r="D453" s="10" t="s">
        <v>776</v>
      </c>
      <c r="E453" s="10" t="s">
        <v>768</v>
      </c>
      <c r="F453" s="10" t="s">
        <v>34</v>
      </c>
      <c r="G453" s="55">
        <f t="shared" si="12"/>
        <v>22.693200000000001</v>
      </c>
      <c r="H453" s="10">
        <v>5</v>
      </c>
      <c r="I453" s="13">
        <v>50</v>
      </c>
      <c r="J453" s="56"/>
      <c r="K453" s="57"/>
      <c r="M453" s="14">
        <v>21.92</v>
      </c>
      <c r="N453" s="14">
        <v>14.57</v>
      </c>
      <c r="O453" s="14">
        <v>13.66</v>
      </c>
      <c r="P453" s="14">
        <v>12.58</v>
      </c>
      <c r="Q453" s="14"/>
      <c r="R453" s="14">
        <v>12.43</v>
      </c>
      <c r="S453" s="14"/>
      <c r="T453" s="70"/>
      <c r="U453" s="76">
        <v>21.92</v>
      </c>
      <c r="V453" s="76">
        <v>0.7732</v>
      </c>
      <c r="W453" s="76">
        <v>21.92</v>
      </c>
      <c r="X453" s="76">
        <v>0.7732</v>
      </c>
      <c r="Y453" s="77" t="s">
        <v>35</v>
      </c>
      <c r="Z453" s="87">
        <v>50</v>
      </c>
      <c r="AA453" s="79" t="s">
        <v>36</v>
      </c>
      <c r="AB453" s="79" t="s">
        <v>35</v>
      </c>
      <c r="AC453" s="79" t="s">
        <v>37</v>
      </c>
      <c r="AD453" s="79" t="s">
        <v>38</v>
      </c>
      <c r="AE453" s="79" t="s">
        <v>769</v>
      </c>
      <c r="AF453" s="79" t="s">
        <v>770</v>
      </c>
      <c r="AG453" s="105" t="s">
        <v>771</v>
      </c>
      <c r="AH453" s="79"/>
      <c r="AI453" s="53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</row>
    <row r="454" spans="1:110" ht="13.8" x14ac:dyDescent="0.25">
      <c r="A454" s="24">
        <v>1207044</v>
      </c>
      <c r="B454" s="26" t="s">
        <v>657</v>
      </c>
      <c r="C454" s="16" t="s">
        <v>803</v>
      </c>
      <c r="D454" s="10"/>
      <c r="E454" s="10" t="s">
        <v>768</v>
      </c>
      <c r="F454" s="10" t="s">
        <v>34</v>
      </c>
      <c r="G454" s="55" t="str">
        <f t="shared" si="12"/>
        <v>Obsolete</v>
      </c>
      <c r="H454" s="10">
        <v>4</v>
      </c>
      <c r="I454" s="13">
        <v>55</v>
      </c>
      <c r="J454" s="56"/>
      <c r="K454" s="57"/>
      <c r="M454" s="14">
        <v>30.33</v>
      </c>
      <c r="N454" s="14"/>
      <c r="O454" s="14"/>
      <c r="P454" s="14"/>
      <c r="Q454" s="14"/>
      <c r="R454" s="14"/>
      <c r="S454" s="14"/>
      <c r="T454" s="70"/>
      <c r="U454" s="76" t="s">
        <v>54</v>
      </c>
      <c r="V454" s="76">
        <v>0</v>
      </c>
      <c r="W454" s="76" t="s">
        <v>54</v>
      </c>
      <c r="X454" s="76">
        <v>0</v>
      </c>
      <c r="Y454" s="77" t="s">
        <v>37</v>
      </c>
      <c r="Z454" s="87">
        <v>55</v>
      </c>
      <c r="AA454" s="79" t="s">
        <v>64</v>
      </c>
      <c r="AB454" s="79" t="s">
        <v>37</v>
      </c>
      <c r="AC454" s="79" t="s">
        <v>37</v>
      </c>
      <c r="AD454" s="91" t="s">
        <v>57</v>
      </c>
      <c r="AE454" s="79" t="s">
        <v>769</v>
      </c>
      <c r="AF454" s="79" t="s">
        <v>770</v>
      </c>
      <c r="AG454" s="105" t="s">
        <v>771</v>
      </c>
      <c r="AH454" s="79"/>
      <c r="AI454" s="53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</row>
    <row r="455" spans="1:110" ht="13.8" x14ac:dyDescent="0.25">
      <c r="A455" s="24">
        <v>1207045</v>
      </c>
      <c r="B455" s="26" t="s">
        <v>657</v>
      </c>
      <c r="C455" s="16" t="s">
        <v>804</v>
      </c>
      <c r="D455" s="10"/>
      <c r="E455" s="10" t="s">
        <v>768</v>
      </c>
      <c r="F455" s="10" t="s">
        <v>34</v>
      </c>
      <c r="G455" s="55" t="str">
        <f t="shared" si="12"/>
        <v>Obsolete</v>
      </c>
      <c r="H455" s="10">
        <v>4</v>
      </c>
      <c r="I455" s="13">
        <v>55</v>
      </c>
      <c r="J455" s="56"/>
      <c r="K455" s="57"/>
      <c r="M455" s="14">
        <v>63.53</v>
      </c>
      <c r="N455" s="14">
        <v>28.816718323268873</v>
      </c>
      <c r="O455" s="14"/>
      <c r="P455" s="14"/>
      <c r="Q455" s="14"/>
      <c r="R455" s="14"/>
      <c r="S455" s="14"/>
      <c r="T455" s="70"/>
      <c r="U455" s="76" t="s">
        <v>54</v>
      </c>
      <c r="V455" s="76">
        <v>0</v>
      </c>
      <c r="W455" s="76" t="s">
        <v>54</v>
      </c>
      <c r="X455" s="76">
        <v>0</v>
      </c>
      <c r="Y455" s="77" t="s">
        <v>37</v>
      </c>
      <c r="Z455" s="87">
        <v>55</v>
      </c>
      <c r="AA455" s="79" t="s">
        <v>64</v>
      </c>
      <c r="AB455" s="79" t="s">
        <v>37</v>
      </c>
      <c r="AC455" s="79" t="s">
        <v>37</v>
      </c>
      <c r="AD455" s="91" t="s">
        <v>57</v>
      </c>
      <c r="AE455" s="79" t="s">
        <v>769</v>
      </c>
      <c r="AF455" s="79" t="s">
        <v>770</v>
      </c>
      <c r="AG455" s="105" t="s">
        <v>771</v>
      </c>
      <c r="AH455" s="79"/>
      <c r="AI455" s="53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</row>
    <row r="456" spans="1:110" ht="13.8" x14ac:dyDescent="0.25">
      <c r="A456" s="24">
        <v>1207046</v>
      </c>
      <c r="B456" s="26" t="s">
        <v>657</v>
      </c>
      <c r="C456" s="16" t="s">
        <v>805</v>
      </c>
      <c r="D456" s="10"/>
      <c r="E456" s="10" t="s">
        <v>768</v>
      </c>
      <c r="F456" s="10" t="s">
        <v>34</v>
      </c>
      <c r="G456" s="55" t="str">
        <f t="shared" si="12"/>
        <v>Obsolete</v>
      </c>
      <c r="H456" s="10"/>
      <c r="I456" s="13"/>
      <c r="J456" s="56"/>
      <c r="K456" s="57"/>
      <c r="M456" s="14"/>
      <c r="N456" s="14"/>
      <c r="O456" s="14"/>
      <c r="P456" s="14"/>
      <c r="Q456" s="14"/>
      <c r="R456" s="14"/>
      <c r="S456" s="14"/>
      <c r="T456" s="70"/>
      <c r="U456" s="76" t="s">
        <v>54</v>
      </c>
      <c r="V456" s="76">
        <v>0</v>
      </c>
      <c r="W456" s="76" t="s">
        <v>54</v>
      </c>
      <c r="X456" s="76">
        <v>0</v>
      </c>
      <c r="Y456" s="77" t="s">
        <v>37</v>
      </c>
      <c r="Z456" s="87">
        <v>55</v>
      </c>
      <c r="AA456" s="79" t="s">
        <v>806</v>
      </c>
      <c r="AB456" s="79" t="s">
        <v>37</v>
      </c>
      <c r="AC456" s="79" t="s">
        <v>37</v>
      </c>
      <c r="AD456" s="91" t="s">
        <v>57</v>
      </c>
      <c r="AE456" s="79" t="s">
        <v>769</v>
      </c>
      <c r="AF456" s="79" t="s">
        <v>770</v>
      </c>
      <c r="AG456" s="105" t="s">
        <v>771</v>
      </c>
      <c r="AH456" s="79"/>
      <c r="AI456" s="53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</row>
    <row r="457" spans="1:110" ht="13.8" x14ac:dyDescent="0.25">
      <c r="A457" s="24">
        <v>1207047</v>
      </c>
      <c r="B457" s="26" t="s">
        <v>657</v>
      </c>
      <c r="C457" s="16" t="s">
        <v>807</v>
      </c>
      <c r="D457" s="10"/>
      <c r="E457" s="10" t="s">
        <v>768</v>
      </c>
      <c r="F457" s="10" t="s">
        <v>34</v>
      </c>
      <c r="G457" s="55" t="str">
        <f t="shared" si="12"/>
        <v>Obsolete</v>
      </c>
      <c r="H457" s="10"/>
      <c r="I457" s="13"/>
      <c r="J457" s="56"/>
      <c r="K457" s="57"/>
      <c r="M457" s="14"/>
      <c r="N457" s="14"/>
      <c r="O457" s="14"/>
      <c r="P457" s="14"/>
      <c r="Q457" s="14"/>
      <c r="R457" s="14"/>
      <c r="S457" s="14"/>
      <c r="T457" s="70"/>
      <c r="U457" s="76" t="s">
        <v>54</v>
      </c>
      <c r="V457" s="76">
        <v>0</v>
      </c>
      <c r="W457" s="76" t="s">
        <v>54</v>
      </c>
      <c r="X457" s="76">
        <v>0</v>
      </c>
      <c r="Y457" s="77" t="s">
        <v>37</v>
      </c>
      <c r="Z457" s="87">
        <v>55</v>
      </c>
      <c r="AA457" s="79" t="s">
        <v>806</v>
      </c>
      <c r="AB457" s="79" t="s">
        <v>37</v>
      </c>
      <c r="AC457" s="79" t="s">
        <v>37</v>
      </c>
      <c r="AD457" s="91" t="s">
        <v>57</v>
      </c>
      <c r="AE457" s="79" t="s">
        <v>769</v>
      </c>
      <c r="AF457" s="79" t="s">
        <v>770</v>
      </c>
      <c r="AG457" s="105" t="s">
        <v>771</v>
      </c>
      <c r="AH457" s="79"/>
      <c r="AI457" s="53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</row>
    <row r="458" spans="1:110" ht="13.8" x14ac:dyDescent="0.25">
      <c r="A458" s="24">
        <v>1207048</v>
      </c>
      <c r="B458" s="26" t="s">
        <v>657</v>
      </c>
      <c r="C458" s="16" t="s">
        <v>808</v>
      </c>
      <c r="D458" s="10"/>
      <c r="E458" s="10" t="s">
        <v>768</v>
      </c>
      <c r="F458" s="10" t="s">
        <v>34</v>
      </c>
      <c r="G458" s="55" t="str">
        <f t="shared" si="12"/>
        <v>Obsolete</v>
      </c>
      <c r="H458" s="10"/>
      <c r="I458" s="13"/>
      <c r="J458" s="56"/>
      <c r="K458" s="57"/>
      <c r="M458" s="14"/>
      <c r="N458" s="14"/>
      <c r="O458" s="14"/>
      <c r="P458" s="14"/>
      <c r="Q458" s="14"/>
      <c r="R458" s="14"/>
      <c r="S458" s="14"/>
      <c r="T458" s="70"/>
      <c r="U458" s="76" t="s">
        <v>54</v>
      </c>
      <c r="V458" s="76">
        <v>0</v>
      </c>
      <c r="W458" s="76" t="s">
        <v>54</v>
      </c>
      <c r="X458" s="76">
        <v>0</v>
      </c>
      <c r="Y458" s="77" t="s">
        <v>37</v>
      </c>
      <c r="Z458" s="87">
        <v>55</v>
      </c>
      <c r="AA458" s="79" t="s">
        <v>806</v>
      </c>
      <c r="AB458" s="79" t="s">
        <v>37</v>
      </c>
      <c r="AC458" s="79" t="s">
        <v>37</v>
      </c>
      <c r="AD458" s="91" t="s">
        <v>57</v>
      </c>
      <c r="AE458" s="79" t="s">
        <v>769</v>
      </c>
      <c r="AF458" s="79" t="s">
        <v>770</v>
      </c>
      <c r="AG458" s="105" t="s">
        <v>771</v>
      </c>
      <c r="AH458" s="79"/>
      <c r="AI458" s="53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</row>
    <row r="459" spans="1:110" ht="13.8" x14ac:dyDescent="0.25">
      <c r="A459" s="24">
        <v>1207049</v>
      </c>
      <c r="B459" s="26" t="s">
        <v>657</v>
      </c>
      <c r="C459" s="16" t="s">
        <v>809</v>
      </c>
      <c r="D459" s="10"/>
      <c r="E459" s="10" t="s">
        <v>768</v>
      </c>
      <c r="F459" s="10" t="s">
        <v>34</v>
      </c>
      <c r="G459" s="55">
        <f t="shared" si="12"/>
        <v>16.71</v>
      </c>
      <c r="H459" s="10">
        <v>4</v>
      </c>
      <c r="I459" s="13">
        <v>50</v>
      </c>
      <c r="J459" s="56"/>
      <c r="K459" s="57"/>
      <c r="M459" s="14">
        <v>14.84</v>
      </c>
      <c r="N459" s="14">
        <v>6.68</v>
      </c>
      <c r="O459" s="14">
        <v>6.1</v>
      </c>
      <c r="P459" s="14"/>
      <c r="Q459" s="14"/>
      <c r="R459" s="14"/>
      <c r="S459" s="14"/>
      <c r="T459" s="70"/>
      <c r="U459" s="76">
        <v>14.84</v>
      </c>
      <c r="V459" s="76">
        <v>1.87</v>
      </c>
      <c r="W459" s="76">
        <v>8.34</v>
      </c>
      <c r="X459" s="76">
        <v>1.87</v>
      </c>
      <c r="Y459" s="77" t="s">
        <v>37</v>
      </c>
      <c r="Z459" s="87">
        <v>50</v>
      </c>
      <c r="AA459" s="79" t="s">
        <v>44</v>
      </c>
      <c r="AB459" s="79" t="s">
        <v>35</v>
      </c>
      <c r="AC459" s="79" t="s">
        <v>37</v>
      </c>
      <c r="AD459" s="79" t="s">
        <v>38</v>
      </c>
      <c r="AE459" s="79" t="s">
        <v>769</v>
      </c>
      <c r="AF459" s="79" t="s">
        <v>770</v>
      </c>
      <c r="AG459" s="105" t="s">
        <v>771</v>
      </c>
      <c r="AH459" s="79"/>
      <c r="AI459" s="53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</row>
    <row r="460" spans="1:110" ht="13.8" x14ac:dyDescent="0.25">
      <c r="A460" s="24">
        <v>1207050</v>
      </c>
      <c r="B460" s="26" t="s">
        <v>657</v>
      </c>
      <c r="C460" s="16" t="s">
        <v>810</v>
      </c>
      <c r="D460" s="10" t="s">
        <v>776</v>
      </c>
      <c r="E460" s="10" t="s">
        <v>797</v>
      </c>
      <c r="F460" s="10" t="s">
        <v>34</v>
      </c>
      <c r="G460" s="55" t="str">
        <f t="shared" si="12"/>
        <v>Obsolete</v>
      </c>
      <c r="H460" s="10">
        <v>4</v>
      </c>
      <c r="I460" s="13">
        <v>55</v>
      </c>
      <c r="J460" s="56"/>
      <c r="K460" s="57"/>
      <c r="M460" s="14"/>
      <c r="N460" s="14"/>
      <c r="O460" s="14"/>
      <c r="P460" s="14"/>
      <c r="Q460" s="14"/>
      <c r="R460" s="14"/>
      <c r="S460" s="14"/>
      <c r="T460" s="70"/>
      <c r="U460" s="76" t="s">
        <v>54</v>
      </c>
      <c r="V460" s="76"/>
      <c r="W460" s="76" t="s">
        <v>54</v>
      </c>
      <c r="X460" s="76"/>
      <c r="Y460" s="97"/>
      <c r="Z460" s="87"/>
      <c r="AA460" s="79" t="s">
        <v>806</v>
      </c>
      <c r="AB460" s="79" t="s">
        <v>37</v>
      </c>
      <c r="AC460" s="79" t="s">
        <v>37</v>
      </c>
      <c r="AD460" s="79"/>
      <c r="AE460" s="79" t="s">
        <v>811</v>
      </c>
      <c r="AF460" s="79"/>
      <c r="AG460" s="79"/>
      <c r="AH460" s="79"/>
      <c r="AI460" s="53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</row>
    <row r="461" spans="1:110" ht="13.8" x14ac:dyDescent="0.25">
      <c r="A461" s="24">
        <v>1207051</v>
      </c>
      <c r="B461" s="26" t="s">
        <v>657</v>
      </c>
      <c r="C461" s="16" t="s">
        <v>812</v>
      </c>
      <c r="D461" s="10" t="s">
        <v>776</v>
      </c>
      <c r="E461" s="10" t="s">
        <v>797</v>
      </c>
      <c r="F461" s="10" t="s">
        <v>34</v>
      </c>
      <c r="G461" s="55" t="str">
        <f t="shared" si="12"/>
        <v>Obsolete</v>
      </c>
      <c r="H461" s="10">
        <v>4</v>
      </c>
      <c r="I461" s="13">
        <v>55</v>
      </c>
      <c r="J461" s="56"/>
      <c r="K461" s="57"/>
      <c r="M461" s="14"/>
      <c r="N461" s="14"/>
      <c r="O461" s="14"/>
      <c r="P461" s="14"/>
      <c r="Q461" s="14"/>
      <c r="R461" s="14"/>
      <c r="S461" s="14"/>
      <c r="T461" s="70"/>
      <c r="U461" s="76" t="s">
        <v>54</v>
      </c>
      <c r="V461" s="76"/>
      <c r="W461" s="76" t="s">
        <v>54</v>
      </c>
      <c r="X461" s="76"/>
      <c r="Y461" s="97"/>
      <c r="Z461" s="87"/>
      <c r="AA461" s="79" t="s">
        <v>806</v>
      </c>
      <c r="AB461" s="79" t="s">
        <v>37</v>
      </c>
      <c r="AC461" s="79" t="s">
        <v>37</v>
      </c>
      <c r="AD461" s="79"/>
      <c r="AE461" s="79" t="s">
        <v>811</v>
      </c>
      <c r="AF461" s="79"/>
      <c r="AG461" s="79"/>
      <c r="AH461" s="79"/>
      <c r="AI461" s="53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</row>
    <row r="462" spans="1:110" ht="13.8" x14ac:dyDescent="0.25">
      <c r="A462" s="24">
        <v>1207052</v>
      </c>
      <c r="B462" s="26" t="s">
        <v>657</v>
      </c>
      <c r="C462" s="16" t="s">
        <v>813</v>
      </c>
      <c r="D462" s="10" t="s">
        <v>776</v>
      </c>
      <c r="E462" s="10" t="s">
        <v>757</v>
      </c>
      <c r="F462" s="10" t="s">
        <v>34</v>
      </c>
      <c r="G462" s="55" t="str">
        <f t="shared" si="12"/>
        <v>Obsolete</v>
      </c>
      <c r="H462" s="10">
        <v>4</v>
      </c>
      <c r="I462" s="13">
        <v>55</v>
      </c>
      <c r="J462" s="56"/>
      <c r="K462" s="57"/>
      <c r="M462" s="14">
        <v>12.56</v>
      </c>
      <c r="N462" s="14"/>
      <c r="O462" s="14"/>
      <c r="P462" s="14"/>
      <c r="Q462" s="14"/>
      <c r="R462" s="14"/>
      <c r="S462" s="14"/>
      <c r="T462" s="70"/>
      <c r="U462" s="76" t="s">
        <v>54</v>
      </c>
      <c r="V462" s="76"/>
      <c r="W462" s="76" t="s">
        <v>54</v>
      </c>
      <c r="X462" s="76"/>
      <c r="Y462" s="97"/>
      <c r="Z462" s="87"/>
      <c r="AA462" s="79" t="s">
        <v>64</v>
      </c>
      <c r="AB462" s="79" t="s">
        <v>37</v>
      </c>
      <c r="AC462" s="79" t="s">
        <v>37</v>
      </c>
      <c r="AD462" s="79"/>
      <c r="AE462" s="79" t="s">
        <v>814</v>
      </c>
      <c r="AF462" s="79" t="s">
        <v>759</v>
      </c>
      <c r="AG462" s="79" t="s">
        <v>760</v>
      </c>
      <c r="AH462" s="79"/>
      <c r="AI462" s="53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</row>
    <row r="463" spans="1:110" ht="13.8" x14ac:dyDescent="0.25">
      <c r="A463" s="24">
        <v>1207053</v>
      </c>
      <c r="B463" s="26" t="s">
        <v>657</v>
      </c>
      <c r="C463" s="16" t="s">
        <v>1620</v>
      </c>
      <c r="D463" s="10"/>
      <c r="E463" s="10" t="s">
        <v>1621</v>
      </c>
      <c r="F463" s="10" t="s">
        <v>34</v>
      </c>
      <c r="G463" s="55">
        <f t="shared" si="12"/>
        <v>0</v>
      </c>
      <c r="H463" s="10"/>
      <c r="I463" s="13"/>
      <c r="J463" s="56"/>
      <c r="K463" s="57"/>
      <c r="M463" s="14"/>
      <c r="N463" s="14"/>
      <c r="O463" s="14"/>
      <c r="P463" s="14"/>
      <c r="Q463" s="14"/>
      <c r="R463" s="14"/>
      <c r="S463" s="14"/>
      <c r="T463" s="70"/>
      <c r="U463" s="76">
        <v>0</v>
      </c>
      <c r="V463" s="76">
        <v>0</v>
      </c>
      <c r="W463" s="76">
        <v>0</v>
      </c>
      <c r="X463" s="76">
        <v>0</v>
      </c>
      <c r="Y463" s="97" t="s">
        <v>37</v>
      </c>
      <c r="Z463" s="87">
        <v>50</v>
      </c>
      <c r="AA463" s="79" t="s">
        <v>468</v>
      </c>
      <c r="AB463" s="79" t="s">
        <v>35</v>
      </c>
      <c r="AC463" s="79" t="s">
        <v>37</v>
      </c>
      <c r="AD463" s="79" t="s">
        <v>38</v>
      </c>
      <c r="AE463" s="79"/>
      <c r="AF463" s="79"/>
      <c r="AG463" s="79"/>
      <c r="AH463" s="79"/>
      <c r="AI463" s="53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</row>
    <row r="464" spans="1:110" ht="20.399999999999999" x14ac:dyDescent="0.25">
      <c r="A464" s="24">
        <v>1207060</v>
      </c>
      <c r="B464" s="26" t="s">
        <v>657</v>
      </c>
      <c r="C464" s="38" t="s">
        <v>815</v>
      </c>
      <c r="D464" s="10"/>
      <c r="E464" s="10" t="s">
        <v>757</v>
      </c>
      <c r="F464" s="10" t="s">
        <v>34</v>
      </c>
      <c r="G464" s="55" t="str">
        <f t="shared" si="12"/>
        <v>Obsolete</v>
      </c>
      <c r="H464" s="10">
        <v>4</v>
      </c>
      <c r="I464" s="13">
        <v>50</v>
      </c>
      <c r="J464" s="56"/>
      <c r="K464" s="57"/>
      <c r="M464" s="14">
        <v>10.46</v>
      </c>
      <c r="N464" s="14"/>
      <c r="O464" s="14"/>
      <c r="P464" s="14"/>
      <c r="Q464" s="14"/>
      <c r="R464" s="14"/>
      <c r="S464" s="14"/>
      <c r="T464" s="70"/>
      <c r="U464" s="76" t="s">
        <v>54</v>
      </c>
      <c r="V464" s="76"/>
      <c r="W464" s="76" t="s">
        <v>54</v>
      </c>
      <c r="X464" s="76"/>
      <c r="Y464" s="77" t="s">
        <v>37</v>
      </c>
      <c r="Z464" s="87">
        <v>50</v>
      </c>
      <c r="AA464" s="79" t="s">
        <v>517</v>
      </c>
      <c r="AB464" s="79" t="s">
        <v>37</v>
      </c>
      <c r="AC464" s="79" t="s">
        <v>35</v>
      </c>
      <c r="AD464" s="79"/>
      <c r="AE464" s="79" t="s">
        <v>814</v>
      </c>
      <c r="AF464" s="79" t="s">
        <v>759</v>
      </c>
      <c r="AG464" s="79" t="s">
        <v>760</v>
      </c>
      <c r="AH464" s="79"/>
      <c r="AI464" s="53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</row>
    <row r="465" spans="1:110" ht="20.399999999999999" x14ac:dyDescent="0.25">
      <c r="A465" s="24">
        <v>1207061</v>
      </c>
      <c r="B465" s="26" t="s">
        <v>657</v>
      </c>
      <c r="C465" s="38" t="s">
        <v>816</v>
      </c>
      <c r="D465" s="10"/>
      <c r="E465" s="10" t="s">
        <v>757</v>
      </c>
      <c r="F465" s="10" t="s">
        <v>34</v>
      </c>
      <c r="G465" s="55" t="str">
        <f t="shared" si="12"/>
        <v>Obsolete</v>
      </c>
      <c r="H465" s="10">
        <v>4</v>
      </c>
      <c r="I465" s="13">
        <v>50</v>
      </c>
      <c r="J465" s="56"/>
      <c r="K465" s="57"/>
      <c r="M465" s="14">
        <v>10.52</v>
      </c>
      <c r="N465" s="14"/>
      <c r="O465" s="14"/>
      <c r="P465" s="14"/>
      <c r="Q465" s="14"/>
      <c r="R465" s="14"/>
      <c r="S465" s="14"/>
      <c r="T465" s="70"/>
      <c r="U465" s="76" t="s">
        <v>54</v>
      </c>
      <c r="V465" s="76"/>
      <c r="W465" s="76" t="s">
        <v>54</v>
      </c>
      <c r="X465" s="76"/>
      <c r="Y465" s="77" t="s">
        <v>37</v>
      </c>
      <c r="Z465" s="87">
        <v>50</v>
      </c>
      <c r="AA465" s="79" t="s">
        <v>517</v>
      </c>
      <c r="AB465" s="79" t="s">
        <v>37</v>
      </c>
      <c r="AC465" s="79" t="s">
        <v>35</v>
      </c>
      <c r="AD465" s="79"/>
      <c r="AE465" s="79" t="s">
        <v>814</v>
      </c>
      <c r="AF465" s="79" t="s">
        <v>759</v>
      </c>
      <c r="AG465" s="79" t="s">
        <v>760</v>
      </c>
      <c r="AH465" s="79"/>
      <c r="AI465" s="53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</row>
    <row r="466" spans="1:110" ht="13.8" x14ac:dyDescent="0.25">
      <c r="A466" s="24">
        <v>1207062</v>
      </c>
      <c r="B466" s="26" t="s">
        <v>657</v>
      </c>
      <c r="C466" s="16" t="s">
        <v>817</v>
      </c>
      <c r="D466" s="10" t="s">
        <v>818</v>
      </c>
      <c r="E466" s="10" t="s">
        <v>819</v>
      </c>
      <c r="F466" s="10" t="s">
        <v>34</v>
      </c>
      <c r="G466" s="55" t="str">
        <f t="shared" si="12"/>
        <v>Obsolete</v>
      </c>
      <c r="H466" s="10"/>
      <c r="I466" s="13"/>
      <c r="J466" s="56"/>
      <c r="K466" s="57"/>
      <c r="M466" s="14"/>
      <c r="N466" s="14"/>
      <c r="O466" s="14"/>
      <c r="P466" s="14"/>
      <c r="Q466" s="14"/>
      <c r="R466" s="14"/>
      <c r="S466" s="14"/>
      <c r="T466" s="70"/>
      <c r="U466" s="76" t="s">
        <v>54</v>
      </c>
      <c r="V466" s="76"/>
      <c r="W466" s="76" t="s">
        <v>54</v>
      </c>
      <c r="X466" s="76"/>
      <c r="Y466" s="97"/>
      <c r="Z466" s="87"/>
      <c r="AA466" s="79"/>
      <c r="AB466" s="79" t="s">
        <v>37</v>
      </c>
      <c r="AC466" s="79" t="s">
        <v>37</v>
      </c>
      <c r="AD466" s="79"/>
      <c r="AE466" s="79"/>
      <c r="AF466" s="79"/>
      <c r="AG466" s="79"/>
      <c r="AH466" s="79"/>
      <c r="AI466" s="53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</row>
    <row r="467" spans="1:110" ht="13.8" x14ac:dyDescent="0.25">
      <c r="A467" s="24">
        <v>1207063</v>
      </c>
      <c r="B467" s="26" t="s">
        <v>657</v>
      </c>
      <c r="C467" s="16" t="s">
        <v>820</v>
      </c>
      <c r="D467" s="10" t="s">
        <v>821</v>
      </c>
      <c r="E467" s="10" t="s">
        <v>74</v>
      </c>
      <c r="F467" s="10" t="s">
        <v>34</v>
      </c>
      <c r="G467" s="55" t="str">
        <f t="shared" si="12"/>
        <v>Obsolete</v>
      </c>
      <c r="H467" s="10"/>
      <c r="I467" s="13"/>
      <c r="J467" s="56"/>
      <c r="K467" s="57"/>
      <c r="M467" s="14"/>
      <c r="N467" s="14"/>
      <c r="O467" s="14"/>
      <c r="P467" s="14"/>
      <c r="Q467" s="14"/>
      <c r="R467" s="14"/>
      <c r="S467" s="14"/>
      <c r="T467" s="70"/>
      <c r="U467" s="76" t="s">
        <v>54</v>
      </c>
      <c r="V467" s="76"/>
      <c r="W467" s="76" t="s">
        <v>54</v>
      </c>
      <c r="X467" s="76"/>
      <c r="Y467" s="97"/>
      <c r="Z467" s="87"/>
      <c r="AA467" s="79"/>
      <c r="AB467" s="79" t="s">
        <v>37</v>
      </c>
      <c r="AC467" s="79" t="s">
        <v>37</v>
      </c>
      <c r="AD467" s="79"/>
      <c r="AE467" s="79"/>
      <c r="AF467" s="79"/>
      <c r="AG467" s="79"/>
      <c r="AH467" s="79"/>
      <c r="AI467" s="53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</row>
    <row r="468" spans="1:110" ht="13.8" x14ac:dyDescent="0.25">
      <c r="A468" s="24">
        <v>1207064</v>
      </c>
      <c r="B468" s="26" t="s">
        <v>657</v>
      </c>
      <c r="C468" s="16" t="s">
        <v>822</v>
      </c>
      <c r="D468" s="10"/>
      <c r="E468" s="17" t="s">
        <v>57</v>
      </c>
      <c r="F468" s="10" t="s">
        <v>34</v>
      </c>
      <c r="G468" s="55" t="str">
        <f t="shared" si="12"/>
        <v>Obsolete</v>
      </c>
      <c r="H468" s="10"/>
      <c r="I468" s="13"/>
      <c r="J468" s="56"/>
      <c r="K468" s="57"/>
      <c r="M468" s="14"/>
      <c r="N468" s="14"/>
      <c r="O468" s="14"/>
      <c r="P468" s="14"/>
      <c r="Q468" s="14"/>
      <c r="R468" s="14"/>
      <c r="S468" s="14"/>
      <c r="T468" s="70"/>
      <c r="U468" s="76" t="s">
        <v>54</v>
      </c>
      <c r="V468" s="76"/>
      <c r="W468" s="76" t="s">
        <v>54</v>
      </c>
      <c r="X468" s="76"/>
      <c r="Y468" s="97"/>
      <c r="Z468" s="87"/>
      <c r="AA468" s="79"/>
      <c r="AB468" s="79" t="s">
        <v>37</v>
      </c>
      <c r="AC468" s="79"/>
      <c r="AD468" s="79"/>
      <c r="AE468" s="79"/>
      <c r="AF468" s="79"/>
      <c r="AG468" s="79"/>
      <c r="AH468" s="79"/>
      <c r="AI468" s="35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</row>
    <row r="469" spans="1:110" ht="13.8" x14ac:dyDescent="0.25">
      <c r="A469" s="24">
        <v>1207065</v>
      </c>
      <c r="B469" s="26" t="s">
        <v>657</v>
      </c>
      <c r="C469" s="16" t="s">
        <v>1524</v>
      </c>
      <c r="D469" s="10" t="s">
        <v>1502</v>
      </c>
      <c r="E469" s="17" t="s">
        <v>1503</v>
      </c>
      <c r="F469" s="10" t="s">
        <v>34</v>
      </c>
      <c r="G469" s="55">
        <f t="shared" si="12"/>
        <v>12.9</v>
      </c>
      <c r="H469" s="10">
        <v>2</v>
      </c>
      <c r="I469" s="13">
        <v>25</v>
      </c>
      <c r="J469" s="56"/>
      <c r="K469" s="57"/>
      <c r="M469" s="14"/>
      <c r="N469" s="14"/>
      <c r="O469" s="14"/>
      <c r="P469" s="14"/>
      <c r="Q469" s="14"/>
      <c r="R469" s="14"/>
      <c r="S469" s="14"/>
      <c r="T469" s="70"/>
      <c r="U469" s="76">
        <v>12.9</v>
      </c>
      <c r="V469" s="76">
        <v>0</v>
      </c>
      <c r="W469" s="76">
        <v>12.9</v>
      </c>
      <c r="X469" s="76">
        <v>0</v>
      </c>
      <c r="Y469" s="97" t="s">
        <v>35</v>
      </c>
      <c r="Z469" s="87">
        <v>25</v>
      </c>
      <c r="AA469" s="79" t="s">
        <v>468</v>
      </c>
      <c r="AB469" s="79" t="s">
        <v>35</v>
      </c>
      <c r="AC469" s="79" t="s">
        <v>37</v>
      </c>
      <c r="AD469" s="79" t="s">
        <v>38</v>
      </c>
      <c r="AE469" s="79" t="s">
        <v>1504</v>
      </c>
      <c r="AF469" s="79" t="s">
        <v>1505</v>
      </c>
      <c r="AG469" s="79" t="s">
        <v>1506</v>
      </c>
      <c r="AH469" s="79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  <c r="BE469" s="53"/>
      <c r="BF469" s="53"/>
      <c r="BG469" s="53"/>
      <c r="BH469" s="53"/>
      <c r="BI469" s="53"/>
      <c r="BJ469" s="53"/>
      <c r="BK469" s="53"/>
      <c r="BL469" s="53"/>
      <c r="BM469" s="53"/>
      <c r="BN469" s="53"/>
      <c r="BO469" s="53"/>
      <c r="BP469" s="53"/>
      <c r="BQ469" s="53"/>
      <c r="BR469" s="53"/>
      <c r="BS469" s="53"/>
      <c r="BT469" s="53"/>
      <c r="BU469" s="53"/>
      <c r="BV469" s="53"/>
      <c r="BW469" s="53"/>
      <c r="BX469" s="53"/>
      <c r="BY469" s="53"/>
      <c r="BZ469" s="53"/>
      <c r="CA469" s="53"/>
      <c r="CB469" s="53"/>
      <c r="CC469" s="53"/>
      <c r="CD469" s="53"/>
      <c r="CE469" s="53"/>
      <c r="CF469" s="53"/>
      <c r="CG469" s="53"/>
      <c r="CH469" s="53"/>
      <c r="CI469" s="53"/>
      <c r="CJ469" s="53"/>
      <c r="CK469" s="53"/>
      <c r="CL469" s="53"/>
      <c r="CM469" s="53"/>
      <c r="CN469" s="53"/>
      <c r="CO469" s="53"/>
      <c r="CP469" s="53"/>
      <c r="CQ469" s="53"/>
      <c r="CR469" s="53"/>
      <c r="CS469" s="53"/>
      <c r="CT469" s="53"/>
      <c r="CU469" s="53"/>
      <c r="CV469" s="53"/>
      <c r="CW469" s="53"/>
      <c r="CX469" s="53"/>
      <c r="CY469" s="53"/>
      <c r="CZ469" s="53"/>
      <c r="DA469" s="53"/>
      <c r="DB469" s="53"/>
      <c r="DC469" s="53"/>
      <c r="DD469" s="53"/>
      <c r="DE469" s="53"/>
      <c r="DF469" s="53"/>
    </row>
    <row r="470" spans="1:110" ht="13.8" x14ac:dyDescent="0.25">
      <c r="A470" s="24">
        <v>1207070</v>
      </c>
      <c r="B470" s="26" t="s">
        <v>657</v>
      </c>
      <c r="C470" s="16" t="s">
        <v>823</v>
      </c>
      <c r="D470" s="10" t="s">
        <v>756</v>
      </c>
      <c r="E470" s="10" t="s">
        <v>824</v>
      </c>
      <c r="F470" s="10" t="s">
        <v>34</v>
      </c>
      <c r="G470" s="55" t="str">
        <f t="shared" si="12"/>
        <v>Obsolete</v>
      </c>
      <c r="H470" s="10">
        <v>4</v>
      </c>
      <c r="I470" s="13">
        <v>50</v>
      </c>
      <c r="J470" s="56"/>
      <c r="K470" s="57"/>
      <c r="M470" s="14"/>
      <c r="N470" s="14"/>
      <c r="O470" s="14"/>
      <c r="P470" s="14"/>
      <c r="Q470" s="14"/>
      <c r="R470" s="14"/>
      <c r="S470" s="14"/>
      <c r="T470" s="70"/>
      <c r="U470" s="76" t="s">
        <v>54</v>
      </c>
      <c r="V470" s="76"/>
      <c r="W470" s="76" t="s">
        <v>54</v>
      </c>
      <c r="X470" s="76"/>
      <c r="Y470" s="77" t="s">
        <v>37</v>
      </c>
      <c r="Z470" s="78">
        <v>25</v>
      </c>
      <c r="AA470" s="79"/>
      <c r="AB470" s="79" t="s">
        <v>35</v>
      </c>
      <c r="AC470" s="79" t="s">
        <v>37</v>
      </c>
      <c r="AD470" s="79" t="s">
        <v>38</v>
      </c>
      <c r="AE470" s="79"/>
      <c r="AF470" s="79"/>
      <c r="AG470" s="79"/>
      <c r="AH470" s="79"/>
      <c r="AI470" s="53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</row>
    <row r="471" spans="1:110" ht="13.8" x14ac:dyDescent="0.25">
      <c r="A471" s="24">
        <v>1207071</v>
      </c>
      <c r="B471" s="26" t="s">
        <v>657</v>
      </c>
      <c r="C471" s="16" t="s">
        <v>826</v>
      </c>
      <c r="D471" s="10" t="s">
        <v>756</v>
      </c>
      <c r="E471" s="10" t="s">
        <v>824</v>
      </c>
      <c r="F471" s="10" t="s">
        <v>34</v>
      </c>
      <c r="G471" s="55" t="str">
        <f t="shared" si="12"/>
        <v>Obsolete</v>
      </c>
      <c r="H471" s="10">
        <v>4</v>
      </c>
      <c r="I471" s="13">
        <v>50</v>
      </c>
      <c r="J471" s="56"/>
      <c r="K471" s="57"/>
      <c r="M471" s="14"/>
      <c r="N471" s="14"/>
      <c r="O471" s="14"/>
      <c r="P471" s="14"/>
      <c r="Q471" s="14"/>
      <c r="R471" s="14"/>
      <c r="S471" s="14"/>
      <c r="T471" s="70"/>
      <c r="U471" s="76" t="s">
        <v>54</v>
      </c>
      <c r="V471" s="76"/>
      <c r="W471" s="76" t="s">
        <v>54</v>
      </c>
      <c r="X471" s="76"/>
      <c r="Y471" s="77" t="s">
        <v>37</v>
      </c>
      <c r="Z471" s="78"/>
      <c r="AA471" s="79" t="s">
        <v>242</v>
      </c>
      <c r="AB471" s="79" t="s">
        <v>37</v>
      </c>
      <c r="AC471" s="79" t="s">
        <v>37</v>
      </c>
      <c r="AD471" s="79" t="s">
        <v>38</v>
      </c>
      <c r="AE471" s="79" t="s">
        <v>499</v>
      </c>
      <c r="AF471" s="79" t="s">
        <v>825</v>
      </c>
      <c r="AG471" s="79" t="s">
        <v>501</v>
      </c>
      <c r="AH471" s="79"/>
      <c r="AI471" s="53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</row>
    <row r="472" spans="1:110" ht="13.8" x14ac:dyDescent="0.25">
      <c r="A472" s="24">
        <v>1207072</v>
      </c>
      <c r="B472" s="26" t="s">
        <v>657</v>
      </c>
      <c r="C472" s="16" t="s">
        <v>827</v>
      </c>
      <c r="D472" s="10" t="s">
        <v>756</v>
      </c>
      <c r="E472" s="10" t="s">
        <v>824</v>
      </c>
      <c r="F472" s="10" t="s">
        <v>34</v>
      </c>
      <c r="G472" s="55" t="str">
        <f t="shared" si="12"/>
        <v>Obsolete</v>
      </c>
      <c r="H472" s="10">
        <v>4</v>
      </c>
      <c r="I472" s="13">
        <v>50</v>
      </c>
      <c r="J472" s="56"/>
      <c r="K472" s="57"/>
      <c r="M472" s="14"/>
      <c r="N472" s="14"/>
      <c r="O472" s="14"/>
      <c r="P472" s="14"/>
      <c r="Q472" s="14"/>
      <c r="R472" s="14"/>
      <c r="S472" s="14"/>
      <c r="T472" s="70"/>
      <c r="U472" s="76" t="s">
        <v>54</v>
      </c>
      <c r="V472" s="76"/>
      <c r="W472" s="76" t="s">
        <v>54</v>
      </c>
      <c r="X472" s="76"/>
      <c r="Y472" s="77" t="s">
        <v>37</v>
      </c>
      <c r="Z472" s="78"/>
      <c r="AA472" s="79" t="s">
        <v>242</v>
      </c>
      <c r="AB472" s="79" t="s">
        <v>37</v>
      </c>
      <c r="AC472" s="79" t="s">
        <v>37</v>
      </c>
      <c r="AD472" s="79" t="s">
        <v>38</v>
      </c>
      <c r="AE472" s="79" t="s">
        <v>499</v>
      </c>
      <c r="AF472" s="79" t="s">
        <v>825</v>
      </c>
      <c r="AG472" s="79" t="s">
        <v>501</v>
      </c>
      <c r="AH472" s="79"/>
      <c r="AI472" s="53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</row>
    <row r="473" spans="1:110" ht="13.8" x14ac:dyDescent="0.25">
      <c r="A473" s="24">
        <v>1207073</v>
      </c>
      <c r="B473" s="26" t="s">
        <v>657</v>
      </c>
      <c r="C473" s="16" t="s">
        <v>828</v>
      </c>
      <c r="D473" s="10" t="s">
        <v>416</v>
      </c>
      <c r="E473" s="10" t="s">
        <v>824</v>
      </c>
      <c r="F473" s="10" t="s">
        <v>34</v>
      </c>
      <c r="G473" s="55">
        <f t="shared" si="12"/>
        <v>45.63</v>
      </c>
      <c r="H473" s="10">
        <v>4</v>
      </c>
      <c r="I473" s="13">
        <v>50</v>
      </c>
      <c r="J473" s="56"/>
      <c r="K473" s="57"/>
      <c r="M473" s="14">
        <v>45.63</v>
      </c>
      <c r="N473" s="14"/>
      <c r="O473" s="14">
        <v>20.63</v>
      </c>
      <c r="P473" s="14">
        <v>20.53</v>
      </c>
      <c r="Q473" s="14"/>
      <c r="R473" s="14"/>
      <c r="S473" s="14">
        <v>20.48</v>
      </c>
      <c r="T473" s="70">
        <v>20.46</v>
      </c>
      <c r="U473" s="76">
        <v>45.63</v>
      </c>
      <c r="V473" s="76"/>
      <c r="W473" s="76">
        <v>45.63</v>
      </c>
      <c r="X473" s="76"/>
      <c r="Y473" s="97" t="s">
        <v>35</v>
      </c>
      <c r="Z473" s="78">
        <v>50</v>
      </c>
      <c r="AA473" s="79" t="s">
        <v>36</v>
      </c>
      <c r="AB473" s="79" t="s">
        <v>35</v>
      </c>
      <c r="AC473" s="79" t="s">
        <v>37</v>
      </c>
      <c r="AD473" s="79" t="s">
        <v>38</v>
      </c>
      <c r="AE473" s="79" t="s">
        <v>499</v>
      </c>
      <c r="AF473" s="79" t="s">
        <v>825</v>
      </c>
      <c r="AG473" s="79" t="s">
        <v>501</v>
      </c>
      <c r="AH473" s="79"/>
      <c r="AI473" s="53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</row>
    <row r="474" spans="1:110" ht="13.8" x14ac:dyDescent="0.25">
      <c r="A474" s="24">
        <v>1207074</v>
      </c>
      <c r="B474" s="26" t="s">
        <v>657</v>
      </c>
      <c r="C474" s="16" t="s">
        <v>829</v>
      </c>
      <c r="D474" s="10" t="s">
        <v>416</v>
      </c>
      <c r="E474" s="10" t="s">
        <v>824</v>
      </c>
      <c r="F474" s="10" t="s">
        <v>34</v>
      </c>
      <c r="G474" s="55">
        <f t="shared" si="12"/>
        <v>37.953200000000002</v>
      </c>
      <c r="H474" s="10">
        <v>4</v>
      </c>
      <c r="I474" s="13">
        <v>25</v>
      </c>
      <c r="J474" s="56"/>
      <c r="K474" s="57"/>
      <c r="M474" s="15"/>
      <c r="N474" s="15"/>
      <c r="O474" s="15"/>
      <c r="P474" s="15"/>
      <c r="Q474" s="15"/>
      <c r="R474" s="15"/>
      <c r="S474" s="15"/>
      <c r="T474" s="71"/>
      <c r="U474" s="77">
        <v>37.18</v>
      </c>
      <c r="V474" s="76">
        <v>0.7732</v>
      </c>
      <c r="W474" s="77">
        <v>37.18</v>
      </c>
      <c r="X474" s="77">
        <v>0.7732</v>
      </c>
      <c r="Y474" s="77" t="s">
        <v>37</v>
      </c>
      <c r="Z474" s="87">
        <v>25</v>
      </c>
      <c r="AA474" s="79" t="s">
        <v>36</v>
      </c>
      <c r="AB474" s="79" t="s">
        <v>37</v>
      </c>
      <c r="AC474" s="79" t="s">
        <v>37</v>
      </c>
      <c r="AD474" s="79" t="s">
        <v>38</v>
      </c>
      <c r="AE474" s="79" t="s">
        <v>499</v>
      </c>
      <c r="AF474" s="79" t="s">
        <v>825</v>
      </c>
      <c r="AG474" s="79" t="s">
        <v>501</v>
      </c>
      <c r="AH474" s="79"/>
      <c r="AI474" s="53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</row>
    <row r="475" spans="1:110" ht="13.8" x14ac:dyDescent="0.25">
      <c r="A475" s="24">
        <v>1207075</v>
      </c>
      <c r="B475" s="26" t="s">
        <v>657</v>
      </c>
      <c r="C475" s="16" t="s">
        <v>830</v>
      </c>
      <c r="D475" s="10" t="s">
        <v>66</v>
      </c>
      <c r="E475" s="10" t="s">
        <v>824</v>
      </c>
      <c r="F475" s="10" t="s">
        <v>34</v>
      </c>
      <c r="G475" s="55" t="str">
        <f t="shared" si="12"/>
        <v>Obsolete</v>
      </c>
      <c r="H475" s="10">
        <v>4</v>
      </c>
      <c r="I475" s="13">
        <v>50</v>
      </c>
      <c r="J475" s="56"/>
      <c r="K475" s="57"/>
      <c r="M475" s="15"/>
      <c r="N475" s="15"/>
      <c r="O475" s="15"/>
      <c r="P475" s="15"/>
      <c r="Q475" s="15"/>
      <c r="R475" s="15"/>
      <c r="S475" s="15"/>
      <c r="T475" s="71"/>
      <c r="U475" s="77" t="s">
        <v>54</v>
      </c>
      <c r="V475" s="76">
        <v>0.7732</v>
      </c>
      <c r="W475" s="77" t="s">
        <v>54</v>
      </c>
      <c r="X475" s="77">
        <v>0.7732</v>
      </c>
      <c r="Y475" s="77" t="s">
        <v>37</v>
      </c>
      <c r="Z475" s="87">
        <v>55</v>
      </c>
      <c r="AA475" s="79" t="s">
        <v>36</v>
      </c>
      <c r="AB475" s="79" t="s">
        <v>37</v>
      </c>
      <c r="AC475" s="79" t="s">
        <v>37</v>
      </c>
      <c r="AD475" s="79" t="s">
        <v>38</v>
      </c>
      <c r="AE475" s="79" t="s">
        <v>499</v>
      </c>
      <c r="AF475" s="79" t="s">
        <v>825</v>
      </c>
      <c r="AG475" s="79" t="s">
        <v>501</v>
      </c>
      <c r="AH475" s="79"/>
      <c r="AI475" s="53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</row>
    <row r="476" spans="1:110" ht="13.8" x14ac:dyDescent="0.25">
      <c r="A476" s="24">
        <v>1207080</v>
      </c>
      <c r="B476" s="26" t="s">
        <v>657</v>
      </c>
      <c r="C476" s="16" t="s">
        <v>831</v>
      </c>
      <c r="D476" s="10" t="s">
        <v>146</v>
      </c>
      <c r="E476" s="10" t="s">
        <v>1622</v>
      </c>
      <c r="F476" s="10" t="s">
        <v>34</v>
      </c>
      <c r="G476" s="55">
        <f>IF(U476="Obsolete",U476,U476+V476)</f>
        <v>6.4329999999999998</v>
      </c>
      <c r="H476" s="10">
        <v>4</v>
      </c>
      <c r="I476" s="13">
        <v>50</v>
      </c>
      <c r="J476" s="56">
        <v>44435</v>
      </c>
      <c r="K476" s="57">
        <v>3.8730000000000002</v>
      </c>
      <c r="M476" s="14">
        <v>5.54</v>
      </c>
      <c r="N476" s="14"/>
      <c r="O476" s="14"/>
      <c r="P476" s="14"/>
      <c r="Q476" s="14"/>
      <c r="R476" s="14"/>
      <c r="S476" s="14"/>
      <c r="T476" s="70"/>
      <c r="U476" s="76">
        <v>5.54</v>
      </c>
      <c r="V476" s="76">
        <v>0.89300000000000002</v>
      </c>
      <c r="W476" s="76">
        <v>5.54</v>
      </c>
      <c r="X476" s="76">
        <v>0.89300000000000002</v>
      </c>
      <c r="Y476" s="77" t="s">
        <v>35</v>
      </c>
      <c r="Z476" s="87" t="s">
        <v>38</v>
      </c>
      <c r="AA476" s="79" t="s">
        <v>358</v>
      </c>
      <c r="AB476" s="79" t="s">
        <v>35</v>
      </c>
      <c r="AC476" s="79" t="s">
        <v>37</v>
      </c>
      <c r="AD476" s="79" t="s">
        <v>38</v>
      </c>
      <c r="AE476" s="79" t="s">
        <v>832</v>
      </c>
      <c r="AF476" s="83" t="s">
        <v>833</v>
      </c>
      <c r="AG476" s="79" t="s">
        <v>834</v>
      </c>
      <c r="AH476" s="79"/>
      <c r="AI476" s="53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</row>
    <row r="477" spans="1:110" ht="13.8" x14ac:dyDescent="0.25">
      <c r="A477" s="24">
        <v>1207081</v>
      </c>
      <c r="B477" s="26" t="s">
        <v>657</v>
      </c>
      <c r="C477" s="16" t="s">
        <v>835</v>
      </c>
      <c r="D477" s="10" t="s">
        <v>146</v>
      </c>
      <c r="E477" s="10" t="s">
        <v>836</v>
      </c>
      <c r="F477" s="10" t="s">
        <v>34</v>
      </c>
      <c r="G477" s="55">
        <f>IF(U477="Obsolete",U477,U477+V477)</f>
        <v>15.123199999999999</v>
      </c>
      <c r="H477" s="10">
        <v>4</v>
      </c>
      <c r="I477" s="13">
        <v>50</v>
      </c>
      <c r="J477" s="56"/>
      <c r="K477" s="57"/>
      <c r="M477" s="14">
        <v>20.350000000000001</v>
      </c>
      <c r="N477" s="14"/>
      <c r="O477" s="14">
        <v>12.91</v>
      </c>
      <c r="P477" s="14"/>
      <c r="Q477" s="14"/>
      <c r="R477" s="14"/>
      <c r="S477" s="14"/>
      <c r="T477" s="70"/>
      <c r="U477" s="76">
        <v>14.35</v>
      </c>
      <c r="V477" s="76">
        <v>0.7732</v>
      </c>
      <c r="W477" s="76">
        <v>14.35</v>
      </c>
      <c r="X477" s="76">
        <v>0.7732</v>
      </c>
      <c r="Y477" s="77" t="s">
        <v>35</v>
      </c>
      <c r="Z477" s="87">
        <v>50</v>
      </c>
      <c r="AA477" s="79" t="s">
        <v>358</v>
      </c>
      <c r="AB477" s="79" t="s">
        <v>35</v>
      </c>
      <c r="AC477" s="79" t="s">
        <v>37</v>
      </c>
      <c r="AD477" s="79" t="s">
        <v>38</v>
      </c>
      <c r="AE477" s="79" t="s">
        <v>837</v>
      </c>
      <c r="AF477" s="83" t="s">
        <v>838</v>
      </c>
      <c r="AG477" s="79" t="s">
        <v>839</v>
      </c>
      <c r="AH477" s="79"/>
      <c r="AI477" s="53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</row>
    <row r="478" spans="1:110" ht="13.8" x14ac:dyDescent="0.25">
      <c r="A478" s="122">
        <v>1207082</v>
      </c>
      <c r="B478" s="26" t="s">
        <v>657</v>
      </c>
      <c r="C478" s="16" t="s">
        <v>1634</v>
      </c>
      <c r="D478" s="10" t="s">
        <v>1632</v>
      </c>
      <c r="E478" s="10" t="s">
        <v>1625</v>
      </c>
      <c r="F478" s="10" t="s">
        <v>34</v>
      </c>
      <c r="G478" s="55">
        <v>0</v>
      </c>
      <c r="H478" s="10"/>
      <c r="I478" s="13"/>
      <c r="J478" s="56"/>
      <c r="K478" s="57"/>
      <c r="M478" s="14"/>
      <c r="N478" s="14"/>
      <c r="O478" s="14"/>
      <c r="P478" s="14"/>
      <c r="Q478" s="14"/>
      <c r="R478" s="14"/>
      <c r="S478" s="14"/>
      <c r="T478" s="70"/>
      <c r="U478" s="76"/>
      <c r="V478" s="76"/>
      <c r="W478" s="76"/>
      <c r="X478" s="76"/>
      <c r="Y478" s="77"/>
      <c r="Z478" s="87"/>
      <c r="AA478" s="79"/>
      <c r="AB478" s="79"/>
      <c r="AC478" s="79"/>
      <c r="AD478" s="79"/>
      <c r="AE478" s="79"/>
      <c r="AF478" s="83"/>
      <c r="AG478" s="79"/>
      <c r="AH478" s="79"/>
      <c r="AI478" s="53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</row>
    <row r="479" spans="1:110" ht="20.399999999999999" x14ac:dyDescent="0.25">
      <c r="A479" s="24">
        <v>1208001</v>
      </c>
      <c r="B479" s="26"/>
      <c r="C479" s="25" t="s">
        <v>840</v>
      </c>
      <c r="D479" s="26"/>
      <c r="E479" s="10" t="s">
        <v>684</v>
      </c>
      <c r="F479" s="10" t="s">
        <v>557</v>
      </c>
      <c r="G479" s="55" t="str">
        <f t="shared" ref="G479:G537" si="13">IF(U479="Obsolete",U479,U479+V479)</f>
        <v>Obsolete</v>
      </c>
      <c r="H479" s="10"/>
      <c r="I479" s="13"/>
      <c r="J479" s="56"/>
      <c r="K479" s="57"/>
      <c r="M479" s="14"/>
      <c r="N479" s="14"/>
      <c r="O479" s="14"/>
      <c r="P479" s="14"/>
      <c r="Q479" s="14"/>
      <c r="R479" s="14"/>
      <c r="S479" s="14"/>
      <c r="T479" s="70"/>
      <c r="U479" s="76" t="s">
        <v>54</v>
      </c>
      <c r="V479" s="76"/>
      <c r="W479" s="76" t="s">
        <v>54</v>
      </c>
      <c r="X479" s="76"/>
      <c r="Y479" s="97"/>
      <c r="Z479" s="87"/>
      <c r="AA479" s="79" t="s">
        <v>36</v>
      </c>
      <c r="AB479" s="79" t="s">
        <v>37</v>
      </c>
      <c r="AC479" s="79" t="s">
        <v>37</v>
      </c>
      <c r="AD479" s="79"/>
      <c r="AE479" s="79" t="s">
        <v>685</v>
      </c>
      <c r="AF479" s="79" t="s">
        <v>686</v>
      </c>
      <c r="AG479" s="79" t="s">
        <v>687</v>
      </c>
      <c r="AH479" s="79"/>
      <c r="AI479" s="53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</row>
    <row r="480" spans="1:110" ht="13.8" x14ac:dyDescent="0.25">
      <c r="A480" s="24">
        <v>1209001</v>
      </c>
      <c r="B480" s="26" t="s">
        <v>657</v>
      </c>
      <c r="C480" s="12" t="s">
        <v>841</v>
      </c>
      <c r="D480" s="11"/>
      <c r="E480" s="10" t="s">
        <v>382</v>
      </c>
      <c r="F480" s="10" t="s">
        <v>34</v>
      </c>
      <c r="G480" s="55" t="str">
        <f t="shared" si="13"/>
        <v>Obsolete</v>
      </c>
      <c r="H480" s="10">
        <v>4</v>
      </c>
      <c r="I480" s="13"/>
      <c r="J480" s="56"/>
      <c r="K480" s="57"/>
      <c r="M480" s="14"/>
      <c r="N480" s="14"/>
      <c r="O480" s="14"/>
      <c r="P480" s="14"/>
      <c r="Q480" s="14"/>
      <c r="R480" s="14"/>
      <c r="S480" s="14"/>
      <c r="T480" s="70"/>
      <c r="U480" s="76" t="s">
        <v>54</v>
      </c>
      <c r="V480" s="76"/>
      <c r="W480" s="76" t="s">
        <v>54</v>
      </c>
      <c r="X480" s="76"/>
      <c r="Y480" s="97"/>
      <c r="Z480" s="78"/>
      <c r="AA480" s="79" t="s">
        <v>382</v>
      </c>
      <c r="AB480" s="79" t="s">
        <v>37</v>
      </c>
      <c r="AC480" s="79" t="s">
        <v>37</v>
      </c>
      <c r="AD480" s="91" t="s">
        <v>57</v>
      </c>
      <c r="AE480" s="91" t="s">
        <v>57</v>
      </c>
      <c r="AF480" s="91" t="s">
        <v>57</v>
      </c>
      <c r="AG480" s="79" t="s">
        <v>57</v>
      </c>
      <c r="AH480" s="79"/>
      <c r="AI480" s="53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</row>
    <row r="481" spans="1:110" ht="13.8" x14ac:dyDescent="0.25">
      <c r="A481" s="122">
        <v>1209002</v>
      </c>
      <c r="B481" s="26" t="s">
        <v>657</v>
      </c>
      <c r="C481" s="12" t="s">
        <v>842</v>
      </c>
      <c r="D481" s="11" t="s">
        <v>843</v>
      </c>
      <c r="E481" s="10" t="s">
        <v>768</v>
      </c>
      <c r="F481" s="10" t="s">
        <v>34</v>
      </c>
      <c r="G481" s="55">
        <f t="shared" si="13"/>
        <v>47.589999999999996</v>
      </c>
      <c r="H481" s="10">
        <v>4</v>
      </c>
      <c r="I481" s="13">
        <v>25</v>
      </c>
      <c r="J481" s="56">
        <v>44616</v>
      </c>
      <c r="K481" s="57">
        <v>40.39</v>
      </c>
      <c r="M481" s="22">
        <v>33.17</v>
      </c>
      <c r="N481" s="14"/>
      <c r="O481" s="14">
        <v>22.57</v>
      </c>
      <c r="P481" s="14"/>
      <c r="Q481" s="14"/>
      <c r="R481" s="14"/>
      <c r="S481" s="14"/>
      <c r="T481" s="70"/>
      <c r="U481" s="76">
        <v>45.72</v>
      </c>
      <c r="V481" s="76">
        <v>1.87</v>
      </c>
      <c r="W481" s="76">
        <v>45.72</v>
      </c>
      <c r="X481" s="76">
        <v>1.87</v>
      </c>
      <c r="Y481" s="77" t="s">
        <v>37</v>
      </c>
      <c r="Z481" s="87">
        <v>55</v>
      </c>
      <c r="AA481" s="79" t="s">
        <v>36</v>
      </c>
      <c r="AB481" s="79" t="s">
        <v>35</v>
      </c>
      <c r="AC481" s="79" t="s">
        <v>37</v>
      </c>
      <c r="AD481" s="79" t="s">
        <v>38</v>
      </c>
      <c r="AE481" s="79" t="s">
        <v>769</v>
      </c>
      <c r="AF481" s="79" t="s">
        <v>770</v>
      </c>
      <c r="AG481" s="79" t="s">
        <v>771</v>
      </c>
      <c r="AH481" s="79"/>
      <c r="AI481" s="53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</row>
    <row r="482" spans="1:110" ht="13.8" x14ac:dyDescent="0.25">
      <c r="A482" s="24">
        <v>1209003</v>
      </c>
      <c r="B482" s="26" t="s">
        <v>657</v>
      </c>
      <c r="C482" s="12" t="s">
        <v>844</v>
      </c>
      <c r="D482" s="11" t="s">
        <v>843</v>
      </c>
      <c r="E482" s="10" t="s">
        <v>757</v>
      </c>
      <c r="F482" s="10" t="s">
        <v>34</v>
      </c>
      <c r="G482" s="55" t="str">
        <f t="shared" si="13"/>
        <v>Obsolete</v>
      </c>
      <c r="H482" s="10"/>
      <c r="I482" s="13">
        <v>50</v>
      </c>
      <c r="J482" s="56"/>
      <c r="K482" s="57"/>
      <c r="M482" s="22">
        <v>13.58</v>
      </c>
      <c r="N482" s="14">
        <v>6.55</v>
      </c>
      <c r="O482" s="14">
        <v>6.14</v>
      </c>
      <c r="P482" s="14">
        <v>5.85</v>
      </c>
      <c r="Q482" s="14"/>
      <c r="R482" s="14"/>
      <c r="S482" s="14">
        <v>5.76</v>
      </c>
      <c r="T482" s="70"/>
      <c r="U482" s="76" t="s">
        <v>54</v>
      </c>
      <c r="V482" s="76"/>
      <c r="W482" s="76" t="s">
        <v>54</v>
      </c>
      <c r="X482" s="76"/>
      <c r="Y482" s="97"/>
      <c r="Z482" s="78"/>
      <c r="AA482" s="79" t="s">
        <v>102</v>
      </c>
      <c r="AB482" s="79" t="s">
        <v>37</v>
      </c>
      <c r="AC482" s="79" t="s">
        <v>35</v>
      </c>
      <c r="AD482" s="79"/>
      <c r="AE482" s="79" t="s">
        <v>845</v>
      </c>
      <c r="AF482" s="79" t="s">
        <v>759</v>
      </c>
      <c r="AG482" s="79" t="s">
        <v>846</v>
      </c>
      <c r="AH482" s="79"/>
      <c r="AI482" s="53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</row>
    <row r="483" spans="1:110" ht="13.8" x14ac:dyDescent="0.25">
      <c r="A483" s="24">
        <v>1209004</v>
      </c>
      <c r="B483" s="26" t="s">
        <v>657</v>
      </c>
      <c r="C483" s="12" t="s">
        <v>847</v>
      </c>
      <c r="D483" s="11" t="s">
        <v>843</v>
      </c>
      <c r="E483" s="10" t="s">
        <v>169</v>
      </c>
      <c r="F483" s="10" t="s">
        <v>34</v>
      </c>
      <c r="G483" s="55">
        <f t="shared" si="13"/>
        <v>2.0499999999999998</v>
      </c>
      <c r="H483" s="10"/>
      <c r="I483" s="13"/>
      <c r="J483" s="56"/>
      <c r="K483" s="57"/>
      <c r="M483" s="22"/>
      <c r="N483" s="14"/>
      <c r="O483" s="14"/>
      <c r="P483" s="14"/>
      <c r="Q483" s="14"/>
      <c r="R483" s="14"/>
      <c r="S483" s="14"/>
      <c r="T483" s="70"/>
      <c r="U483" s="76">
        <v>2.0499999999999998</v>
      </c>
      <c r="V483" s="76">
        <v>0</v>
      </c>
      <c r="W483" s="76">
        <v>2.0499999999999998</v>
      </c>
      <c r="X483" s="76">
        <v>0</v>
      </c>
      <c r="Y483" s="97" t="s">
        <v>37</v>
      </c>
      <c r="Z483" s="78"/>
      <c r="AA483" s="79" t="s">
        <v>36</v>
      </c>
      <c r="AB483" s="79" t="s">
        <v>35</v>
      </c>
      <c r="AC483" s="79" t="s">
        <v>37</v>
      </c>
      <c r="AD483" s="79" t="s">
        <v>38</v>
      </c>
      <c r="AE483" s="79" t="s">
        <v>313</v>
      </c>
      <c r="AF483" s="79" t="s">
        <v>452</v>
      </c>
      <c r="AG483" s="79" t="s">
        <v>453</v>
      </c>
      <c r="AH483" s="79"/>
      <c r="AI483" s="53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</row>
    <row r="484" spans="1:110" ht="13.8" x14ac:dyDescent="0.25">
      <c r="A484" s="24">
        <v>1209005</v>
      </c>
      <c r="B484" s="26" t="s">
        <v>657</v>
      </c>
      <c r="C484" s="12" t="s">
        <v>848</v>
      </c>
      <c r="D484" s="11" t="s">
        <v>146</v>
      </c>
      <c r="E484" s="10" t="s">
        <v>329</v>
      </c>
      <c r="F484" s="10" t="s">
        <v>34</v>
      </c>
      <c r="G484" s="55">
        <f t="shared" si="13"/>
        <v>0.01</v>
      </c>
      <c r="H484" s="10"/>
      <c r="I484" s="13"/>
      <c r="J484" s="56"/>
      <c r="K484" s="57"/>
      <c r="M484" s="22"/>
      <c r="N484" s="14"/>
      <c r="O484" s="14"/>
      <c r="P484" s="14"/>
      <c r="Q484" s="14"/>
      <c r="R484" s="14"/>
      <c r="S484" s="14"/>
      <c r="T484" s="70"/>
      <c r="U484" s="76">
        <v>0</v>
      </c>
      <c r="V484" s="76">
        <v>0.01</v>
      </c>
      <c r="W484" s="76">
        <v>0</v>
      </c>
      <c r="X484" s="76">
        <v>0.01</v>
      </c>
      <c r="Y484" s="77" t="s">
        <v>37</v>
      </c>
      <c r="Z484" s="99"/>
      <c r="AA484" s="100" t="s">
        <v>329</v>
      </c>
      <c r="AB484" s="79" t="s">
        <v>35</v>
      </c>
      <c r="AC484" s="79"/>
      <c r="AD484" s="79"/>
      <c r="AE484" s="79" t="s">
        <v>330</v>
      </c>
      <c r="AF484" s="83"/>
      <c r="AG484" s="79" t="s">
        <v>331</v>
      </c>
      <c r="AH484" s="79" t="s">
        <v>1603</v>
      </c>
      <c r="AI484" s="53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</row>
    <row r="485" spans="1:110" ht="13.8" x14ac:dyDescent="0.25">
      <c r="A485" s="24">
        <v>1209006</v>
      </c>
      <c r="B485" s="26" t="s">
        <v>657</v>
      </c>
      <c r="C485" s="12" t="s">
        <v>849</v>
      </c>
      <c r="D485" s="11" t="s">
        <v>843</v>
      </c>
      <c r="E485" s="10" t="s">
        <v>1515</v>
      </c>
      <c r="F485" s="10" t="s">
        <v>34</v>
      </c>
      <c r="G485" s="55">
        <f t="shared" si="13"/>
        <v>11.24</v>
      </c>
      <c r="H485" s="10"/>
      <c r="I485" s="13"/>
      <c r="J485" s="56"/>
      <c r="K485" s="57"/>
      <c r="M485" s="15">
        <v>11.244568224909509</v>
      </c>
      <c r="N485" s="15">
        <v>6.6587439105151915</v>
      </c>
      <c r="O485" s="14"/>
      <c r="P485" s="14"/>
      <c r="Q485" s="14"/>
      <c r="R485" s="14"/>
      <c r="S485" s="14"/>
      <c r="T485" s="70"/>
      <c r="U485" s="76">
        <v>11.24</v>
      </c>
      <c r="V485" s="76">
        <v>0</v>
      </c>
      <c r="W485" s="76">
        <v>11.24</v>
      </c>
      <c r="X485" s="76">
        <v>0</v>
      </c>
      <c r="Y485" s="77" t="s">
        <v>37</v>
      </c>
      <c r="Z485" s="99">
        <v>55</v>
      </c>
      <c r="AA485" s="100" t="s">
        <v>468</v>
      </c>
      <c r="AB485" s="79" t="s">
        <v>35</v>
      </c>
      <c r="AC485" s="79" t="s">
        <v>37</v>
      </c>
      <c r="AD485" s="79" t="s">
        <v>38</v>
      </c>
      <c r="AE485" s="79" t="s">
        <v>850</v>
      </c>
      <c r="AF485" s="83" t="s">
        <v>851</v>
      </c>
      <c r="AG485" s="79" t="s">
        <v>852</v>
      </c>
      <c r="AH485" s="79"/>
      <c r="AI485" s="53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</row>
    <row r="486" spans="1:110" ht="13.8" x14ac:dyDescent="0.25">
      <c r="A486" s="24">
        <v>1209007</v>
      </c>
      <c r="B486" s="26" t="s">
        <v>657</v>
      </c>
      <c r="C486" s="12" t="s">
        <v>853</v>
      </c>
      <c r="D486" s="11" t="s">
        <v>131</v>
      </c>
      <c r="E486" s="10" t="s">
        <v>1515</v>
      </c>
      <c r="F486" s="10" t="s">
        <v>34</v>
      </c>
      <c r="G486" s="55">
        <f t="shared" si="13"/>
        <v>13.439957906578005</v>
      </c>
      <c r="H486" s="10"/>
      <c r="I486" s="13"/>
      <c r="J486" s="56"/>
      <c r="K486" s="57"/>
      <c r="M486" s="15">
        <v>13.439957906578005</v>
      </c>
      <c r="N486" s="15">
        <f>22.56/2.20462</f>
        <v>10.233056036868032</v>
      </c>
      <c r="O486" s="14"/>
      <c r="P486" s="14"/>
      <c r="Q486" s="14"/>
      <c r="R486" s="14"/>
      <c r="S486" s="14"/>
      <c r="T486" s="70"/>
      <c r="U486" s="76">
        <v>13.439957906578005</v>
      </c>
      <c r="V486" s="76">
        <v>0</v>
      </c>
      <c r="W486" s="76">
        <v>13.439957906578005</v>
      </c>
      <c r="X486" s="76">
        <v>0</v>
      </c>
      <c r="Y486" s="77" t="s">
        <v>37</v>
      </c>
      <c r="Z486" s="99">
        <v>55</v>
      </c>
      <c r="AA486" s="100" t="s">
        <v>468</v>
      </c>
      <c r="AB486" s="79" t="s">
        <v>35</v>
      </c>
      <c r="AC486" s="79" t="s">
        <v>37</v>
      </c>
      <c r="AD486" s="79" t="s">
        <v>38</v>
      </c>
      <c r="AE486" s="79" t="s">
        <v>850</v>
      </c>
      <c r="AF486" s="83" t="s">
        <v>851</v>
      </c>
      <c r="AG486" s="79" t="s">
        <v>852</v>
      </c>
      <c r="AH486" s="79"/>
      <c r="AI486" s="53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</row>
    <row r="487" spans="1:110" ht="13.8" x14ac:dyDescent="0.25">
      <c r="A487" s="24">
        <v>1209008</v>
      </c>
      <c r="B487" s="26" t="s">
        <v>657</v>
      </c>
      <c r="C487" s="12" t="s">
        <v>854</v>
      </c>
      <c r="D487" s="11" t="s">
        <v>131</v>
      </c>
      <c r="E487" s="10" t="s">
        <v>1515</v>
      </c>
      <c r="F487" s="10" t="s">
        <v>34</v>
      </c>
      <c r="G487" s="55">
        <f t="shared" si="13"/>
        <v>15.667</v>
      </c>
      <c r="H487" s="10">
        <v>2</v>
      </c>
      <c r="I487" s="13"/>
      <c r="J487" s="56"/>
      <c r="K487" s="57"/>
      <c r="M487" s="15"/>
      <c r="N487" s="15"/>
      <c r="O487" s="14"/>
      <c r="P487" s="14"/>
      <c r="Q487" s="14"/>
      <c r="R487" s="14"/>
      <c r="S487" s="14"/>
      <c r="T487" s="70"/>
      <c r="U487" s="76">
        <v>15.667</v>
      </c>
      <c r="V487" s="76">
        <v>0</v>
      </c>
      <c r="W487" s="76">
        <v>15.667</v>
      </c>
      <c r="X487" s="76">
        <v>0</v>
      </c>
      <c r="Y487" s="77" t="s">
        <v>37</v>
      </c>
      <c r="Z487" s="99">
        <v>55</v>
      </c>
      <c r="AA487" s="100" t="s">
        <v>468</v>
      </c>
      <c r="AB487" s="79" t="s">
        <v>35</v>
      </c>
      <c r="AC487" s="79" t="s">
        <v>37</v>
      </c>
      <c r="AD487" s="79" t="s">
        <v>38</v>
      </c>
      <c r="AE487" s="79" t="s">
        <v>850</v>
      </c>
      <c r="AF487" s="83" t="s">
        <v>851</v>
      </c>
      <c r="AG487" s="79" t="s">
        <v>852</v>
      </c>
      <c r="AH487" s="79"/>
      <c r="AI487" s="53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</row>
    <row r="488" spans="1:110" ht="13.8" x14ac:dyDescent="0.25">
      <c r="A488" s="24">
        <v>1209009</v>
      </c>
      <c r="B488" s="26" t="s">
        <v>657</v>
      </c>
      <c r="C488" s="12" t="s">
        <v>855</v>
      </c>
      <c r="D488" s="11" t="s">
        <v>131</v>
      </c>
      <c r="E488" s="10" t="s">
        <v>1515</v>
      </c>
      <c r="F488" s="10" t="s">
        <v>34</v>
      </c>
      <c r="G488" s="55">
        <f t="shared" si="13"/>
        <v>0</v>
      </c>
      <c r="H488" s="10"/>
      <c r="I488" s="13"/>
      <c r="J488" s="56"/>
      <c r="K488" s="57"/>
      <c r="M488" s="15"/>
      <c r="N488" s="15"/>
      <c r="O488" s="14"/>
      <c r="P488" s="14"/>
      <c r="Q488" s="14"/>
      <c r="R488" s="14"/>
      <c r="S488" s="14"/>
      <c r="T488" s="70"/>
      <c r="U488" s="76"/>
      <c r="V488" s="76"/>
      <c r="W488" s="76"/>
      <c r="X488" s="76">
        <v>0</v>
      </c>
      <c r="Y488" s="77" t="s">
        <v>37</v>
      </c>
      <c r="Z488" s="99">
        <v>55</v>
      </c>
      <c r="AA488" s="100" t="s">
        <v>468</v>
      </c>
      <c r="AB488" s="79" t="s">
        <v>35</v>
      </c>
      <c r="AC488" s="79" t="s">
        <v>37</v>
      </c>
      <c r="AD488" s="79" t="s">
        <v>38</v>
      </c>
      <c r="AE488" s="79" t="s">
        <v>850</v>
      </c>
      <c r="AF488" s="83" t="s">
        <v>851</v>
      </c>
      <c r="AG488" s="79" t="s">
        <v>852</v>
      </c>
      <c r="AH488" s="79"/>
      <c r="AI488" s="53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</row>
    <row r="489" spans="1:110" ht="13.8" x14ac:dyDescent="0.25">
      <c r="A489" s="24">
        <v>1209010</v>
      </c>
      <c r="B489" s="26" t="s">
        <v>657</v>
      </c>
      <c r="C489" s="12" t="s">
        <v>856</v>
      </c>
      <c r="D489" s="11" t="s">
        <v>131</v>
      </c>
      <c r="E489" s="10" t="s">
        <v>1640</v>
      </c>
      <c r="F489" s="10" t="s">
        <v>34</v>
      </c>
      <c r="G489" s="55">
        <f t="shared" si="13"/>
        <v>3.9</v>
      </c>
      <c r="H489" s="10">
        <v>16</v>
      </c>
      <c r="I489" s="13">
        <v>55</v>
      </c>
      <c r="J489" s="56">
        <v>44585</v>
      </c>
      <c r="K489" s="57">
        <v>3.27</v>
      </c>
      <c r="M489" s="15"/>
      <c r="N489" s="15"/>
      <c r="O489" s="14"/>
      <c r="P489" s="14"/>
      <c r="Q489" s="14"/>
      <c r="R489" s="14"/>
      <c r="S489" s="14"/>
      <c r="T489" s="70"/>
      <c r="U489" s="76">
        <v>3.9</v>
      </c>
      <c r="V489" s="76"/>
      <c r="W489" s="76">
        <v>3.9</v>
      </c>
      <c r="X489" s="76">
        <v>0</v>
      </c>
      <c r="Y489" s="77"/>
      <c r="Z489" s="99"/>
      <c r="AA489" s="100"/>
      <c r="AB489" s="79"/>
      <c r="AC489" s="79"/>
      <c r="AD489" s="79"/>
      <c r="AE489" s="79"/>
      <c r="AF489" s="83"/>
      <c r="AG489" s="79"/>
      <c r="AH489" s="79"/>
      <c r="AI489" s="53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</row>
    <row r="490" spans="1:110" ht="13.8" x14ac:dyDescent="0.25">
      <c r="A490" s="122">
        <v>1209011</v>
      </c>
      <c r="B490" s="26" t="s">
        <v>657</v>
      </c>
      <c r="C490" s="52" t="s">
        <v>1492</v>
      </c>
      <c r="D490" s="11" t="s">
        <v>131</v>
      </c>
      <c r="E490" s="10" t="s">
        <v>757</v>
      </c>
      <c r="F490" s="10" t="s">
        <v>34</v>
      </c>
      <c r="G490" s="55">
        <f t="shared" si="13"/>
        <v>20.522727272727273</v>
      </c>
      <c r="H490" s="10">
        <v>2</v>
      </c>
      <c r="I490" s="13">
        <v>50</v>
      </c>
      <c r="J490" s="56">
        <v>44616</v>
      </c>
      <c r="K490" s="57">
        <v>17.899999999999999</v>
      </c>
      <c r="M490" s="15">
        <v>18.25</v>
      </c>
      <c r="N490" s="15"/>
      <c r="O490" s="14"/>
      <c r="P490" s="14"/>
      <c r="Q490" s="14"/>
      <c r="R490" s="14"/>
      <c r="S490" s="14"/>
      <c r="T490" s="70"/>
      <c r="U490" s="76">
        <v>18.25</v>
      </c>
      <c r="V490" s="76">
        <f>250/110</f>
        <v>2.2727272727272729</v>
      </c>
      <c r="W490" s="76">
        <v>18.25</v>
      </c>
      <c r="X490" s="76">
        <f>250/110</f>
        <v>2.2727272727272729</v>
      </c>
      <c r="Y490" s="77" t="s">
        <v>35</v>
      </c>
      <c r="Z490" s="99">
        <v>50</v>
      </c>
      <c r="AA490" s="100" t="s">
        <v>468</v>
      </c>
      <c r="AB490" s="79" t="s">
        <v>35</v>
      </c>
      <c r="AC490" s="79" t="s">
        <v>37</v>
      </c>
      <c r="AD490" s="79" t="s">
        <v>38</v>
      </c>
      <c r="AE490" s="79" t="s">
        <v>1530</v>
      </c>
      <c r="AF490" s="83" t="s">
        <v>1531</v>
      </c>
      <c r="AG490" s="79" t="s">
        <v>1532</v>
      </c>
      <c r="AH490" s="79"/>
      <c r="AI490" s="53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</row>
    <row r="491" spans="1:110" ht="11.25" customHeight="1" x14ac:dyDescent="0.25">
      <c r="A491" s="122">
        <v>1209012</v>
      </c>
      <c r="B491" s="26" t="s">
        <v>657</v>
      </c>
      <c r="C491" s="52" t="s">
        <v>1493</v>
      </c>
      <c r="D491" s="11" t="s">
        <v>131</v>
      </c>
      <c r="E491" s="10" t="s">
        <v>757</v>
      </c>
      <c r="F491" s="10" t="s">
        <v>34</v>
      </c>
      <c r="G491" s="55">
        <f t="shared" si="13"/>
        <v>20.642727272727274</v>
      </c>
      <c r="H491" s="10">
        <v>2</v>
      </c>
      <c r="I491" s="13">
        <v>50</v>
      </c>
      <c r="J491" s="56">
        <v>44616</v>
      </c>
      <c r="K491" s="57">
        <v>20.2927</v>
      </c>
      <c r="M491" s="15">
        <v>18.37</v>
      </c>
      <c r="N491" s="15"/>
      <c r="O491" s="14"/>
      <c r="P491" s="14"/>
      <c r="Q491" s="14"/>
      <c r="R491" s="14"/>
      <c r="S491" s="14"/>
      <c r="T491" s="70"/>
      <c r="U491" s="76">
        <v>18.37</v>
      </c>
      <c r="V491" s="76">
        <f>250/110</f>
        <v>2.2727272727272729</v>
      </c>
      <c r="W491" s="76">
        <v>18.37</v>
      </c>
      <c r="X491" s="76">
        <f>250/110</f>
        <v>2.2727272727272729</v>
      </c>
      <c r="Y491" s="77" t="s">
        <v>35</v>
      </c>
      <c r="Z491" s="99">
        <v>50</v>
      </c>
      <c r="AA491" s="100" t="s">
        <v>468</v>
      </c>
      <c r="AB491" s="79" t="s">
        <v>35</v>
      </c>
      <c r="AC491" s="79" t="s">
        <v>37</v>
      </c>
      <c r="AD491" s="79" t="s">
        <v>38</v>
      </c>
      <c r="AE491" s="79" t="s">
        <v>1530</v>
      </c>
      <c r="AF491" s="83" t="s">
        <v>1531</v>
      </c>
      <c r="AG491" s="79" t="s">
        <v>1532</v>
      </c>
      <c r="AH491" s="79"/>
      <c r="AI491" s="53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</row>
    <row r="492" spans="1:110" ht="17.25" customHeight="1" x14ac:dyDescent="0.25">
      <c r="A492" s="122">
        <v>1209013</v>
      </c>
      <c r="B492" s="26" t="s">
        <v>657</v>
      </c>
      <c r="C492" s="12" t="s">
        <v>857</v>
      </c>
      <c r="D492" s="11" t="s">
        <v>131</v>
      </c>
      <c r="E492" s="10" t="s">
        <v>757</v>
      </c>
      <c r="F492" s="10" t="s">
        <v>34</v>
      </c>
      <c r="G492" s="55">
        <f t="shared" si="13"/>
        <v>20.932727272727274</v>
      </c>
      <c r="H492" s="10">
        <v>2</v>
      </c>
      <c r="I492" s="13">
        <v>50</v>
      </c>
      <c r="J492" s="56">
        <v>44616</v>
      </c>
      <c r="K492" s="57">
        <v>18.309999999999999</v>
      </c>
      <c r="M492" s="15">
        <v>18.66</v>
      </c>
      <c r="N492" s="15"/>
      <c r="O492" s="14"/>
      <c r="P492" s="14"/>
      <c r="Q492" s="14"/>
      <c r="R492" s="14"/>
      <c r="S492" s="14"/>
      <c r="T492" s="70"/>
      <c r="U492" s="76">
        <v>18.66</v>
      </c>
      <c r="V492" s="76">
        <f>250/110</f>
        <v>2.2727272727272729</v>
      </c>
      <c r="W492" s="76">
        <v>18.66</v>
      </c>
      <c r="X492" s="76">
        <f>250/110</f>
        <v>2.2727272727272729</v>
      </c>
      <c r="Y492" s="77" t="s">
        <v>35</v>
      </c>
      <c r="Z492" s="99">
        <v>50</v>
      </c>
      <c r="AA492" s="100" t="s">
        <v>468</v>
      </c>
      <c r="AB492" s="79" t="s">
        <v>35</v>
      </c>
      <c r="AC492" s="79" t="s">
        <v>37</v>
      </c>
      <c r="AD492" s="79" t="s">
        <v>38</v>
      </c>
      <c r="AE492" s="79" t="s">
        <v>1530</v>
      </c>
      <c r="AF492" s="83" t="s">
        <v>1531</v>
      </c>
      <c r="AG492" s="79" t="s">
        <v>1532</v>
      </c>
      <c r="AH492" s="79"/>
      <c r="AI492" s="53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</row>
    <row r="493" spans="1:110" ht="13.5" customHeight="1" x14ac:dyDescent="0.25">
      <c r="A493" s="122">
        <v>1209014</v>
      </c>
      <c r="B493" s="26" t="s">
        <v>657</v>
      </c>
      <c r="C493" s="12" t="s">
        <v>858</v>
      </c>
      <c r="D493" s="11" t="s">
        <v>131</v>
      </c>
      <c r="E493" s="10" t="s">
        <v>757</v>
      </c>
      <c r="F493" s="10" t="s">
        <v>34</v>
      </c>
      <c r="G493" s="55">
        <f t="shared" si="13"/>
        <v>12.222727272727273</v>
      </c>
      <c r="H493" s="10">
        <v>2</v>
      </c>
      <c r="I493" s="13">
        <v>50</v>
      </c>
      <c r="J493" s="56">
        <v>44616</v>
      </c>
      <c r="K493" s="57">
        <v>9.6</v>
      </c>
      <c r="M493" s="15">
        <v>9.9499999999999993</v>
      </c>
      <c r="N493" s="15"/>
      <c r="O493" s="14"/>
      <c r="P493" s="14"/>
      <c r="Q493" s="14"/>
      <c r="R493" s="14"/>
      <c r="S493" s="14"/>
      <c r="T493" s="70"/>
      <c r="U493" s="76">
        <v>9.9499999999999993</v>
      </c>
      <c r="V493" s="76">
        <f>250/110</f>
        <v>2.2727272727272729</v>
      </c>
      <c r="W493" s="76">
        <v>9.9499999999999993</v>
      </c>
      <c r="X493" s="76">
        <f>250/110</f>
        <v>2.2727272727272729</v>
      </c>
      <c r="Y493" s="77" t="s">
        <v>37</v>
      </c>
      <c r="Z493" s="99">
        <v>50</v>
      </c>
      <c r="AA493" s="100" t="s">
        <v>468</v>
      </c>
      <c r="AB493" s="79" t="s">
        <v>35</v>
      </c>
      <c r="AC493" s="79" t="s">
        <v>37</v>
      </c>
      <c r="AD493" s="79" t="s">
        <v>38</v>
      </c>
      <c r="AE493" s="79" t="s">
        <v>1530</v>
      </c>
      <c r="AF493" s="83" t="s">
        <v>1531</v>
      </c>
      <c r="AG493" s="79" t="s">
        <v>1532</v>
      </c>
      <c r="AH493" s="79"/>
      <c r="AI493" s="53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</row>
    <row r="494" spans="1:110" ht="13.5" customHeight="1" x14ac:dyDescent="0.25">
      <c r="A494" s="24">
        <v>1209015</v>
      </c>
      <c r="B494" s="26" t="s">
        <v>657</v>
      </c>
      <c r="C494" s="12" t="s">
        <v>1516</v>
      </c>
      <c r="D494" s="11" t="s">
        <v>66</v>
      </c>
      <c r="E494" s="10" t="s">
        <v>1515</v>
      </c>
      <c r="F494" s="10" t="s">
        <v>34</v>
      </c>
      <c r="G494" s="55">
        <f t="shared" si="13"/>
        <v>9.23</v>
      </c>
      <c r="H494" s="10">
        <v>2</v>
      </c>
      <c r="I494" s="13">
        <v>50</v>
      </c>
      <c r="J494" s="56"/>
      <c r="K494" s="57"/>
      <c r="M494" s="15"/>
      <c r="N494" s="15"/>
      <c r="O494" s="14"/>
      <c r="P494" s="14"/>
      <c r="Q494" s="14"/>
      <c r="R494" s="14"/>
      <c r="S494" s="14"/>
      <c r="T494" s="70"/>
      <c r="U494" s="76">
        <v>9.23</v>
      </c>
      <c r="V494" s="76">
        <v>0</v>
      </c>
      <c r="W494" s="76">
        <v>9.23</v>
      </c>
      <c r="X494" s="76">
        <v>0</v>
      </c>
      <c r="Y494" s="77" t="s">
        <v>37</v>
      </c>
      <c r="Z494" s="99">
        <v>50</v>
      </c>
      <c r="AA494" s="100" t="s">
        <v>468</v>
      </c>
      <c r="AB494" s="79" t="s">
        <v>35</v>
      </c>
      <c r="AC494" s="79" t="s">
        <v>37</v>
      </c>
      <c r="AD494" s="79" t="s">
        <v>38</v>
      </c>
      <c r="AE494" s="79" t="s">
        <v>850</v>
      </c>
      <c r="AF494" s="83" t="s">
        <v>851</v>
      </c>
      <c r="AG494" s="79" t="s">
        <v>852</v>
      </c>
      <c r="AH494" s="79"/>
      <c r="AI494" s="53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</row>
    <row r="495" spans="1:110" ht="13.5" customHeight="1" x14ac:dyDescent="0.25">
      <c r="A495" s="24">
        <v>1209016</v>
      </c>
      <c r="B495" s="26" t="s">
        <v>657</v>
      </c>
      <c r="C495" s="12" t="s">
        <v>1573</v>
      </c>
      <c r="D495" s="11" t="s">
        <v>32</v>
      </c>
      <c r="E495" s="10" t="s">
        <v>1515</v>
      </c>
      <c r="F495" s="10" t="s">
        <v>34</v>
      </c>
      <c r="G495" s="55">
        <f t="shared" si="13"/>
        <v>0</v>
      </c>
      <c r="H495" s="10">
        <v>2</v>
      </c>
      <c r="I495" s="13">
        <v>50</v>
      </c>
      <c r="J495" s="56"/>
      <c r="K495" s="57"/>
      <c r="M495" s="15"/>
      <c r="N495" s="15"/>
      <c r="O495" s="14"/>
      <c r="P495" s="14"/>
      <c r="Q495" s="14"/>
      <c r="R495" s="14"/>
      <c r="S495" s="14"/>
      <c r="T495" s="70"/>
      <c r="U495" s="76"/>
      <c r="V495" s="76">
        <v>0</v>
      </c>
      <c r="W495" s="76"/>
      <c r="X495" s="76">
        <v>0</v>
      </c>
      <c r="Y495" s="77" t="s">
        <v>37</v>
      </c>
      <c r="Z495" s="99">
        <v>50</v>
      </c>
      <c r="AA495" s="100" t="s">
        <v>284</v>
      </c>
      <c r="AB495" s="79" t="s">
        <v>35</v>
      </c>
      <c r="AC495" s="79" t="s">
        <v>37</v>
      </c>
      <c r="AD495" s="79" t="s">
        <v>38</v>
      </c>
      <c r="AE495" s="79" t="s">
        <v>850</v>
      </c>
      <c r="AF495" s="83" t="s">
        <v>851</v>
      </c>
      <c r="AG495" s="79" t="s">
        <v>852</v>
      </c>
      <c r="AH495" s="79"/>
      <c r="AI495" s="53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</row>
    <row r="496" spans="1:110" ht="19.95" customHeight="1" x14ac:dyDescent="0.25">
      <c r="A496" s="24">
        <v>1209017</v>
      </c>
      <c r="B496" s="26" t="s">
        <v>657</v>
      </c>
      <c r="C496" s="12" t="s">
        <v>1584</v>
      </c>
      <c r="D496" s="11"/>
      <c r="E496" s="10" t="s">
        <v>1585</v>
      </c>
      <c r="F496" s="10" t="s">
        <v>34</v>
      </c>
      <c r="G496" s="55">
        <f t="shared" si="13"/>
        <v>0</v>
      </c>
      <c r="H496" s="10">
        <v>2</v>
      </c>
      <c r="I496" s="13"/>
      <c r="J496" s="56"/>
      <c r="K496" s="57"/>
      <c r="M496" s="15"/>
      <c r="N496" s="15"/>
      <c r="O496" s="14"/>
      <c r="P496" s="14"/>
      <c r="Q496" s="14"/>
      <c r="R496" s="14"/>
      <c r="S496" s="14"/>
      <c r="T496" s="70"/>
      <c r="U496" s="76">
        <v>0</v>
      </c>
      <c r="V496" s="76">
        <v>0</v>
      </c>
      <c r="W496" s="76">
        <v>0</v>
      </c>
      <c r="X496" s="76">
        <v>0</v>
      </c>
      <c r="Y496" s="77" t="s">
        <v>35</v>
      </c>
      <c r="Z496" s="99"/>
      <c r="AA496" s="100" t="s">
        <v>1588</v>
      </c>
      <c r="AB496" s="79" t="s">
        <v>35</v>
      </c>
      <c r="AC496" s="79" t="s">
        <v>37</v>
      </c>
      <c r="AD496" s="79" t="s">
        <v>38</v>
      </c>
      <c r="AE496" s="79" t="s">
        <v>1589</v>
      </c>
      <c r="AF496" s="83" t="s">
        <v>1590</v>
      </c>
      <c r="AG496" s="79" t="s">
        <v>1591</v>
      </c>
      <c r="AH496" s="79"/>
      <c r="AI496" s="53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</row>
    <row r="497" spans="1:110" ht="19.2" customHeight="1" x14ac:dyDescent="0.25">
      <c r="A497" s="24">
        <v>1209018</v>
      </c>
      <c r="B497" s="26" t="s">
        <v>657</v>
      </c>
      <c r="C497" s="12" t="s">
        <v>1586</v>
      </c>
      <c r="D497" s="11" t="s">
        <v>1587</v>
      </c>
      <c r="E497" s="10" t="s">
        <v>1585</v>
      </c>
      <c r="F497" s="10" t="s">
        <v>34</v>
      </c>
      <c r="G497" s="55">
        <f t="shared" si="13"/>
        <v>0</v>
      </c>
      <c r="H497" s="10">
        <v>2</v>
      </c>
      <c r="I497" s="13"/>
      <c r="J497" s="56"/>
      <c r="K497" s="57"/>
      <c r="M497" s="15"/>
      <c r="N497" s="15"/>
      <c r="O497" s="14"/>
      <c r="P497" s="14"/>
      <c r="Q497" s="14"/>
      <c r="R497" s="14"/>
      <c r="S497" s="14"/>
      <c r="T497" s="70"/>
      <c r="U497" s="76">
        <v>0</v>
      </c>
      <c r="V497" s="76">
        <v>0</v>
      </c>
      <c r="W497" s="76">
        <v>0</v>
      </c>
      <c r="X497" s="76">
        <v>0</v>
      </c>
      <c r="Y497" s="77" t="s">
        <v>35</v>
      </c>
      <c r="Z497" s="99"/>
      <c r="AA497" s="100" t="s">
        <v>1588</v>
      </c>
      <c r="AB497" s="79" t="s">
        <v>35</v>
      </c>
      <c r="AC497" s="79" t="s">
        <v>37</v>
      </c>
      <c r="AD497" s="79" t="s">
        <v>38</v>
      </c>
      <c r="AE497" s="79" t="s">
        <v>1589</v>
      </c>
      <c r="AF497" s="83" t="s">
        <v>1590</v>
      </c>
      <c r="AG497" s="79" t="s">
        <v>1591</v>
      </c>
      <c r="AH497" s="79"/>
      <c r="AI497" s="53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</row>
    <row r="498" spans="1:110" ht="19.2" customHeight="1" x14ac:dyDescent="0.25">
      <c r="A498" s="24">
        <v>1209019</v>
      </c>
      <c r="B498" s="26" t="s">
        <v>657</v>
      </c>
      <c r="C498" s="12" t="s">
        <v>1629</v>
      </c>
      <c r="D498" s="11"/>
      <c r="E498" s="10" t="s">
        <v>1625</v>
      </c>
      <c r="F498" s="10" t="s">
        <v>34</v>
      </c>
      <c r="G498" s="55">
        <v>0</v>
      </c>
      <c r="H498" s="10"/>
      <c r="I498" s="13"/>
      <c r="J498" s="56"/>
      <c r="K498" s="57"/>
      <c r="M498" s="15"/>
      <c r="N498" s="15"/>
      <c r="O498" s="14"/>
      <c r="P498" s="14"/>
      <c r="Q498" s="14"/>
      <c r="R498" s="14"/>
      <c r="S498" s="14"/>
      <c r="T498" s="70"/>
      <c r="U498" s="76"/>
      <c r="V498" s="76"/>
      <c r="W498" s="76"/>
      <c r="X498" s="76"/>
      <c r="Y498" s="77"/>
      <c r="Z498" s="99"/>
      <c r="AA498" s="100"/>
      <c r="AB498" s="79"/>
      <c r="AC498" s="79"/>
      <c r="AD498" s="79"/>
      <c r="AE498" s="79"/>
      <c r="AF498" s="83"/>
      <c r="AG498" s="79"/>
      <c r="AH498" s="79"/>
      <c r="AI498" s="53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</row>
    <row r="499" spans="1:110" ht="19.2" customHeight="1" x14ac:dyDescent="0.25">
      <c r="A499" s="24">
        <v>1209020</v>
      </c>
      <c r="B499" s="26" t="s">
        <v>657</v>
      </c>
      <c r="C499" s="12" t="s">
        <v>1630</v>
      </c>
      <c r="D499" s="11" t="s">
        <v>1502</v>
      </c>
      <c r="E499" s="10" t="s">
        <v>1625</v>
      </c>
      <c r="F499" s="10" t="s">
        <v>34</v>
      </c>
      <c r="G499" s="55">
        <v>0</v>
      </c>
      <c r="H499" s="10"/>
      <c r="I499" s="13"/>
      <c r="J499" s="56"/>
      <c r="K499" s="57"/>
      <c r="M499" s="15"/>
      <c r="N499" s="15"/>
      <c r="O499" s="14"/>
      <c r="P499" s="14"/>
      <c r="Q499" s="14"/>
      <c r="R499" s="14"/>
      <c r="S499" s="14"/>
      <c r="T499" s="70"/>
      <c r="U499" s="76"/>
      <c r="V499" s="76"/>
      <c r="W499" s="76"/>
      <c r="X499" s="76"/>
      <c r="Y499" s="77"/>
      <c r="Z499" s="99"/>
      <c r="AA499" s="100"/>
      <c r="AB499" s="79"/>
      <c r="AC499" s="79"/>
      <c r="AD499" s="79"/>
      <c r="AE499" s="79"/>
      <c r="AF499" s="83"/>
      <c r="AG499" s="79"/>
      <c r="AH499" s="79"/>
      <c r="AI499" s="53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</row>
    <row r="500" spans="1:110" ht="19.2" customHeight="1" x14ac:dyDescent="0.25">
      <c r="A500" s="122">
        <v>1209021</v>
      </c>
      <c r="B500" s="26" t="s">
        <v>657</v>
      </c>
      <c r="C500" s="12" t="s">
        <v>1633</v>
      </c>
      <c r="D500" s="11" t="s">
        <v>1502</v>
      </c>
      <c r="E500" s="10" t="s">
        <v>1625</v>
      </c>
      <c r="F500" s="10" t="s">
        <v>34</v>
      </c>
      <c r="G500" s="55">
        <v>0</v>
      </c>
      <c r="H500" s="10"/>
      <c r="I500" s="13"/>
      <c r="J500" s="56"/>
      <c r="K500" s="57"/>
      <c r="M500" s="15"/>
      <c r="N500" s="15"/>
      <c r="O500" s="14"/>
      <c r="P500" s="14"/>
      <c r="Q500" s="14"/>
      <c r="R500" s="14"/>
      <c r="S500" s="14"/>
      <c r="T500" s="70"/>
      <c r="U500" s="76"/>
      <c r="V500" s="76"/>
      <c r="W500" s="76"/>
      <c r="X500" s="76"/>
      <c r="Y500" s="77"/>
      <c r="Z500" s="99"/>
      <c r="AA500" s="100"/>
      <c r="AB500" s="79"/>
      <c r="AC500" s="79"/>
      <c r="AD500" s="79"/>
      <c r="AE500" s="79"/>
      <c r="AF500" s="83"/>
      <c r="AG500" s="79"/>
      <c r="AH500" s="79"/>
      <c r="AI500" s="53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</row>
    <row r="501" spans="1:110" ht="19.2" customHeight="1" x14ac:dyDescent="0.25">
      <c r="A501" s="24">
        <v>1209022</v>
      </c>
      <c r="B501" s="26" t="s">
        <v>657</v>
      </c>
      <c r="C501" s="12" t="s">
        <v>1645</v>
      </c>
      <c r="D501" s="11" t="s">
        <v>32</v>
      </c>
      <c r="E501" s="10" t="s">
        <v>1643</v>
      </c>
      <c r="F501" s="10" t="s">
        <v>34</v>
      </c>
      <c r="G501" s="55">
        <v>0</v>
      </c>
      <c r="H501" s="10"/>
      <c r="I501" s="13"/>
      <c r="J501" s="56"/>
      <c r="K501" s="57"/>
      <c r="M501" s="15"/>
      <c r="N501" s="15"/>
      <c r="O501" s="14"/>
      <c r="P501" s="14"/>
      <c r="Q501" s="14"/>
      <c r="R501" s="14"/>
      <c r="S501" s="14"/>
      <c r="T501" s="70"/>
      <c r="U501" s="76"/>
      <c r="V501" s="76"/>
      <c r="W501" s="76"/>
      <c r="X501" s="76"/>
      <c r="Y501" s="77"/>
      <c r="Z501" s="99"/>
      <c r="AA501" s="100"/>
      <c r="AB501" s="79"/>
      <c r="AC501" s="79"/>
      <c r="AD501" s="79"/>
      <c r="AE501" s="79"/>
      <c r="AF501" s="83"/>
      <c r="AG501" s="79"/>
      <c r="AH501" s="79"/>
      <c r="AI501" s="53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</row>
    <row r="502" spans="1:110" ht="19.2" customHeight="1" x14ac:dyDescent="0.25">
      <c r="A502" s="24">
        <v>1209023</v>
      </c>
      <c r="B502" s="26" t="s">
        <v>657</v>
      </c>
      <c r="C502" s="12" t="s">
        <v>1646</v>
      </c>
      <c r="D502" s="11" t="s">
        <v>32</v>
      </c>
      <c r="E502" s="10" t="s">
        <v>1643</v>
      </c>
      <c r="F502" s="10" t="s">
        <v>34</v>
      </c>
      <c r="G502" s="55">
        <v>0</v>
      </c>
      <c r="H502" s="10"/>
      <c r="I502" s="13"/>
      <c r="J502" s="56"/>
      <c r="K502" s="57"/>
      <c r="M502" s="15"/>
      <c r="N502" s="15"/>
      <c r="O502" s="14"/>
      <c r="P502" s="14"/>
      <c r="Q502" s="14"/>
      <c r="R502" s="14"/>
      <c r="S502" s="14"/>
      <c r="T502" s="70"/>
      <c r="U502" s="76"/>
      <c r="V502" s="76"/>
      <c r="W502" s="76"/>
      <c r="X502" s="76"/>
      <c r="Y502" s="77"/>
      <c r="Z502" s="99"/>
      <c r="AA502" s="100"/>
      <c r="AB502" s="79"/>
      <c r="AC502" s="79"/>
      <c r="AD502" s="79"/>
      <c r="AE502" s="79"/>
      <c r="AF502" s="83"/>
      <c r="AG502" s="79"/>
      <c r="AH502" s="79"/>
      <c r="AI502" s="53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</row>
    <row r="503" spans="1:110" ht="15.75" customHeight="1" x14ac:dyDescent="0.25">
      <c r="A503" s="24">
        <v>1301001</v>
      </c>
      <c r="B503" s="26"/>
      <c r="C503" s="25" t="s">
        <v>859</v>
      </c>
      <c r="D503" s="26"/>
      <c r="E503" s="17" t="s">
        <v>57</v>
      </c>
      <c r="F503" s="10" t="s">
        <v>34</v>
      </c>
      <c r="G503" s="55" t="str">
        <f t="shared" si="13"/>
        <v>Obsolete</v>
      </c>
      <c r="H503" s="10"/>
      <c r="I503" s="13"/>
      <c r="J503" s="56"/>
      <c r="K503" s="57"/>
      <c r="M503" s="14"/>
      <c r="N503" s="14"/>
      <c r="O503" s="14"/>
      <c r="P503" s="14"/>
      <c r="Q503" s="14"/>
      <c r="R503" s="14"/>
      <c r="S503" s="14"/>
      <c r="T503" s="70"/>
      <c r="U503" s="76" t="s">
        <v>54</v>
      </c>
      <c r="V503" s="76"/>
      <c r="W503" s="76" t="s">
        <v>54</v>
      </c>
      <c r="X503" s="76"/>
      <c r="Y503" s="97"/>
      <c r="Z503" s="87"/>
      <c r="AA503" s="79"/>
      <c r="AB503" s="79" t="s">
        <v>37</v>
      </c>
      <c r="AC503" s="79" t="s">
        <v>37</v>
      </c>
      <c r="AD503" s="79"/>
      <c r="AE503" s="79"/>
      <c r="AF503" s="79"/>
      <c r="AG503" s="79"/>
      <c r="AH503" s="79"/>
      <c r="AI503" s="53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</row>
    <row r="504" spans="1:110" ht="13.8" x14ac:dyDescent="0.25">
      <c r="A504" s="24">
        <v>1301002</v>
      </c>
      <c r="B504" s="11"/>
      <c r="C504" s="12" t="s">
        <v>860</v>
      </c>
      <c r="D504" s="11"/>
      <c r="E504" s="17" t="s">
        <v>57</v>
      </c>
      <c r="F504" s="10" t="s">
        <v>34</v>
      </c>
      <c r="G504" s="55" t="str">
        <f t="shared" si="13"/>
        <v>Obsolete</v>
      </c>
      <c r="H504" s="10"/>
      <c r="I504" s="13"/>
      <c r="J504" s="56"/>
      <c r="K504" s="57"/>
      <c r="M504" s="14"/>
      <c r="N504" s="14"/>
      <c r="O504" s="14"/>
      <c r="P504" s="14"/>
      <c r="Q504" s="14"/>
      <c r="R504" s="14"/>
      <c r="S504" s="14"/>
      <c r="T504" s="70"/>
      <c r="U504" s="76" t="s">
        <v>54</v>
      </c>
      <c r="V504" s="76"/>
      <c r="W504" s="76" t="s">
        <v>54</v>
      </c>
      <c r="X504" s="76"/>
      <c r="Y504" s="97"/>
      <c r="Z504" s="78"/>
      <c r="AA504" s="79" t="s">
        <v>692</v>
      </c>
      <c r="AB504" s="79" t="s">
        <v>37</v>
      </c>
      <c r="AC504" s="79" t="s">
        <v>37</v>
      </c>
      <c r="AD504" s="79"/>
      <c r="AE504" s="79"/>
      <c r="AF504" s="79"/>
      <c r="AG504" s="79"/>
      <c r="AH504" s="79"/>
      <c r="AI504" s="53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</row>
    <row r="505" spans="1:110" ht="13.8" x14ac:dyDescent="0.25">
      <c r="A505" s="24">
        <v>1301003</v>
      </c>
      <c r="B505" s="26"/>
      <c r="C505" s="25" t="s">
        <v>861</v>
      </c>
      <c r="D505" s="26"/>
      <c r="E505" s="17" t="s">
        <v>57</v>
      </c>
      <c r="F505" s="10" t="s">
        <v>34</v>
      </c>
      <c r="G505" s="55" t="str">
        <f t="shared" si="13"/>
        <v>Obsolete</v>
      </c>
      <c r="H505" s="10"/>
      <c r="I505" s="13"/>
      <c r="J505" s="56"/>
      <c r="K505" s="57"/>
      <c r="M505" s="14"/>
      <c r="N505" s="14"/>
      <c r="O505" s="14"/>
      <c r="P505" s="14"/>
      <c r="Q505" s="14"/>
      <c r="R505" s="14"/>
      <c r="S505" s="14"/>
      <c r="T505" s="70"/>
      <c r="U505" s="76" t="s">
        <v>54</v>
      </c>
      <c r="V505" s="76"/>
      <c r="W505" s="76" t="s">
        <v>54</v>
      </c>
      <c r="X505" s="76"/>
      <c r="Y505" s="97"/>
      <c r="Z505" s="87"/>
      <c r="AA505" s="79"/>
      <c r="AB505" s="79" t="s">
        <v>37</v>
      </c>
      <c r="AC505" s="79" t="s">
        <v>37</v>
      </c>
      <c r="AD505" s="79"/>
      <c r="AE505" s="79"/>
      <c r="AF505" s="79"/>
      <c r="AG505" s="79"/>
      <c r="AH505" s="79"/>
      <c r="AI505" s="53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</row>
    <row r="506" spans="1:110" ht="13.8" x14ac:dyDescent="0.25">
      <c r="A506" s="24">
        <v>1301004</v>
      </c>
      <c r="B506" s="26" t="s">
        <v>600</v>
      </c>
      <c r="C506" s="25" t="s">
        <v>862</v>
      </c>
      <c r="D506" s="26"/>
      <c r="E506" s="17" t="s">
        <v>57</v>
      </c>
      <c r="F506" s="10" t="s">
        <v>34</v>
      </c>
      <c r="G506" s="55" t="str">
        <f t="shared" si="13"/>
        <v>Obsolete</v>
      </c>
      <c r="H506" s="10"/>
      <c r="I506" s="13"/>
      <c r="J506" s="56"/>
      <c r="K506" s="57"/>
      <c r="M506" s="14"/>
      <c r="N506" s="14"/>
      <c r="O506" s="14"/>
      <c r="P506" s="14"/>
      <c r="Q506" s="14"/>
      <c r="R506" s="14"/>
      <c r="S506" s="14"/>
      <c r="T506" s="70"/>
      <c r="U506" s="76" t="s">
        <v>54</v>
      </c>
      <c r="V506" s="76"/>
      <c r="W506" s="76" t="s">
        <v>54</v>
      </c>
      <c r="X506" s="76"/>
      <c r="Y506" s="97"/>
      <c r="Z506" s="87"/>
      <c r="AA506" s="79"/>
      <c r="AB506" s="79" t="s">
        <v>37</v>
      </c>
      <c r="AC506" s="79" t="s">
        <v>37</v>
      </c>
      <c r="AD506" s="79"/>
      <c r="AE506" s="79"/>
      <c r="AF506" s="79"/>
      <c r="AG506" s="79"/>
      <c r="AH506" s="79"/>
      <c r="AI506" s="53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</row>
    <row r="507" spans="1:110" ht="13.8" x14ac:dyDescent="0.25">
      <c r="A507" s="24">
        <v>1301005</v>
      </c>
      <c r="B507" s="26" t="s">
        <v>600</v>
      </c>
      <c r="C507" s="12" t="s">
        <v>863</v>
      </c>
      <c r="D507" s="11"/>
      <c r="E507" s="17" t="s">
        <v>57</v>
      </c>
      <c r="F507" s="10" t="s">
        <v>34</v>
      </c>
      <c r="G507" s="55" t="str">
        <f t="shared" si="13"/>
        <v>Obsolete</v>
      </c>
      <c r="H507" s="10"/>
      <c r="I507" s="13"/>
      <c r="J507" s="56"/>
      <c r="K507" s="57"/>
      <c r="M507" s="14"/>
      <c r="N507" s="14"/>
      <c r="O507" s="14"/>
      <c r="P507" s="14"/>
      <c r="Q507" s="14"/>
      <c r="R507" s="14"/>
      <c r="S507" s="14"/>
      <c r="T507" s="70"/>
      <c r="U507" s="76" t="s">
        <v>54</v>
      </c>
      <c r="V507" s="76"/>
      <c r="W507" s="76" t="s">
        <v>54</v>
      </c>
      <c r="X507" s="76"/>
      <c r="Y507" s="97"/>
      <c r="Z507" s="78"/>
      <c r="AA507" s="79" t="s">
        <v>55</v>
      </c>
      <c r="AB507" s="79" t="s">
        <v>37</v>
      </c>
      <c r="AC507" s="79" t="s">
        <v>37</v>
      </c>
      <c r="AD507" s="79"/>
      <c r="AE507" s="79"/>
      <c r="AF507" s="79"/>
      <c r="AG507" s="79"/>
      <c r="AH507" s="79"/>
      <c r="AI507" s="53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</row>
    <row r="508" spans="1:110" ht="13.8" x14ac:dyDescent="0.25">
      <c r="A508" s="24">
        <v>1301006</v>
      </c>
      <c r="B508" s="26" t="s">
        <v>600</v>
      </c>
      <c r="C508" s="12" t="s">
        <v>864</v>
      </c>
      <c r="D508" s="11"/>
      <c r="E508" s="17" t="s">
        <v>57</v>
      </c>
      <c r="F508" s="10" t="s">
        <v>34</v>
      </c>
      <c r="G508" s="55" t="str">
        <f t="shared" si="13"/>
        <v>Obsolete</v>
      </c>
      <c r="H508" s="10"/>
      <c r="I508" s="13"/>
      <c r="J508" s="56"/>
      <c r="K508" s="57"/>
      <c r="M508" s="14"/>
      <c r="N508" s="14"/>
      <c r="O508" s="14"/>
      <c r="P508" s="14"/>
      <c r="Q508" s="14"/>
      <c r="R508" s="14"/>
      <c r="S508" s="14"/>
      <c r="T508" s="70"/>
      <c r="U508" s="76" t="s">
        <v>54</v>
      </c>
      <c r="V508" s="76"/>
      <c r="W508" s="76" t="s">
        <v>54</v>
      </c>
      <c r="X508" s="76"/>
      <c r="Y508" s="97"/>
      <c r="Z508" s="78"/>
      <c r="AA508" s="79" t="s">
        <v>55</v>
      </c>
      <c r="AB508" s="79" t="s">
        <v>37</v>
      </c>
      <c r="AC508" s="79" t="s">
        <v>37</v>
      </c>
      <c r="AD508" s="79"/>
      <c r="AE508" s="79"/>
      <c r="AF508" s="79"/>
      <c r="AG508" s="79"/>
      <c r="AH508" s="79"/>
      <c r="AI508" s="53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</row>
    <row r="509" spans="1:110" ht="13.8" x14ac:dyDescent="0.25">
      <c r="A509" s="24">
        <v>1301007</v>
      </c>
      <c r="B509" s="26" t="s">
        <v>600</v>
      </c>
      <c r="C509" s="25" t="s">
        <v>865</v>
      </c>
      <c r="D509" s="26"/>
      <c r="E509" s="17" t="s">
        <v>57</v>
      </c>
      <c r="F509" s="10" t="s">
        <v>34</v>
      </c>
      <c r="G509" s="55" t="str">
        <f t="shared" si="13"/>
        <v>Obsolete</v>
      </c>
      <c r="H509" s="10"/>
      <c r="I509" s="13"/>
      <c r="J509" s="56"/>
      <c r="K509" s="57"/>
      <c r="M509" s="14"/>
      <c r="N509" s="14"/>
      <c r="O509" s="14"/>
      <c r="P509" s="14"/>
      <c r="Q509" s="14"/>
      <c r="R509" s="14"/>
      <c r="S509" s="14"/>
      <c r="T509" s="70"/>
      <c r="U509" s="76" t="s">
        <v>54</v>
      </c>
      <c r="V509" s="76"/>
      <c r="W509" s="76" t="s">
        <v>54</v>
      </c>
      <c r="X509" s="76"/>
      <c r="Y509" s="97"/>
      <c r="Z509" s="87"/>
      <c r="AA509" s="79"/>
      <c r="AB509" s="79" t="s">
        <v>37</v>
      </c>
      <c r="AC509" s="79" t="s">
        <v>37</v>
      </c>
      <c r="AD509" s="79"/>
      <c r="AE509" s="79"/>
      <c r="AF509" s="79"/>
      <c r="AG509" s="79"/>
      <c r="AH509" s="79"/>
      <c r="AI509" s="53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</row>
    <row r="510" spans="1:110" ht="13.8" x14ac:dyDescent="0.25">
      <c r="A510" s="24">
        <v>1301008</v>
      </c>
      <c r="B510" s="26" t="s">
        <v>600</v>
      </c>
      <c r="C510" s="12" t="s">
        <v>866</v>
      </c>
      <c r="D510" s="11"/>
      <c r="E510" s="17" t="s">
        <v>57</v>
      </c>
      <c r="F510" s="10" t="s">
        <v>34</v>
      </c>
      <c r="G510" s="55" t="str">
        <f t="shared" si="13"/>
        <v>Obsolete</v>
      </c>
      <c r="H510" s="10"/>
      <c r="I510" s="13"/>
      <c r="J510" s="56"/>
      <c r="K510" s="57"/>
      <c r="M510" s="14"/>
      <c r="N510" s="14"/>
      <c r="O510" s="14"/>
      <c r="P510" s="14"/>
      <c r="Q510" s="14"/>
      <c r="R510" s="14"/>
      <c r="S510" s="14"/>
      <c r="T510" s="70"/>
      <c r="U510" s="76" t="s">
        <v>54</v>
      </c>
      <c r="V510" s="76"/>
      <c r="W510" s="76" t="s">
        <v>54</v>
      </c>
      <c r="X510" s="76"/>
      <c r="Y510" s="97"/>
      <c r="Z510" s="78"/>
      <c r="AA510" s="79" t="s">
        <v>55</v>
      </c>
      <c r="AB510" s="79" t="s">
        <v>37</v>
      </c>
      <c r="AC510" s="79" t="s">
        <v>37</v>
      </c>
      <c r="AD510" s="79"/>
      <c r="AE510" s="79"/>
      <c r="AF510" s="79"/>
      <c r="AG510" s="79"/>
      <c r="AH510" s="79"/>
      <c r="AI510" s="53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</row>
    <row r="511" spans="1:110" ht="13.8" x14ac:dyDescent="0.25">
      <c r="A511" s="24">
        <v>1301009</v>
      </c>
      <c r="B511" s="26" t="s">
        <v>600</v>
      </c>
      <c r="C511" s="12" t="s">
        <v>867</v>
      </c>
      <c r="D511" s="11"/>
      <c r="E511" s="17" t="s">
        <v>57</v>
      </c>
      <c r="F511" s="10" t="s">
        <v>34</v>
      </c>
      <c r="G511" s="55" t="str">
        <f t="shared" si="13"/>
        <v>Obsolete</v>
      </c>
      <c r="H511" s="10"/>
      <c r="I511" s="13"/>
      <c r="J511" s="56"/>
      <c r="K511" s="57"/>
      <c r="M511" s="14"/>
      <c r="N511" s="14"/>
      <c r="O511" s="14"/>
      <c r="P511" s="14"/>
      <c r="Q511" s="14"/>
      <c r="R511" s="14"/>
      <c r="S511" s="14"/>
      <c r="T511" s="70"/>
      <c r="U511" s="76" t="s">
        <v>54</v>
      </c>
      <c r="V511" s="76"/>
      <c r="W511" s="76" t="s">
        <v>54</v>
      </c>
      <c r="X511" s="76"/>
      <c r="Y511" s="97"/>
      <c r="Z511" s="78"/>
      <c r="AA511" s="79" t="s">
        <v>55</v>
      </c>
      <c r="AB511" s="79" t="s">
        <v>37</v>
      </c>
      <c r="AC511" s="79" t="s">
        <v>37</v>
      </c>
      <c r="AD511" s="79"/>
      <c r="AE511" s="79"/>
      <c r="AF511" s="79"/>
      <c r="AG511" s="79"/>
      <c r="AH511" s="79"/>
      <c r="AI511" s="53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</row>
    <row r="512" spans="1:110" ht="13.8" x14ac:dyDescent="0.25">
      <c r="A512" s="24">
        <v>1301010</v>
      </c>
      <c r="B512" s="26" t="s">
        <v>600</v>
      </c>
      <c r="C512" s="12" t="s">
        <v>868</v>
      </c>
      <c r="D512" s="11"/>
      <c r="E512" s="17" t="s">
        <v>57</v>
      </c>
      <c r="F512" s="10" t="s">
        <v>34</v>
      </c>
      <c r="G512" s="55" t="str">
        <f t="shared" si="13"/>
        <v>Obsolete</v>
      </c>
      <c r="H512" s="10"/>
      <c r="I512" s="13"/>
      <c r="J512" s="56"/>
      <c r="K512" s="57"/>
      <c r="M512" s="14"/>
      <c r="N512" s="14"/>
      <c r="O512" s="14"/>
      <c r="P512" s="14"/>
      <c r="Q512" s="14"/>
      <c r="R512" s="14"/>
      <c r="S512" s="14"/>
      <c r="T512" s="70"/>
      <c r="U512" s="76" t="s">
        <v>54</v>
      </c>
      <c r="V512" s="76"/>
      <c r="W512" s="76" t="s">
        <v>54</v>
      </c>
      <c r="X512" s="76"/>
      <c r="Y512" s="97"/>
      <c r="Z512" s="78"/>
      <c r="AA512" s="79" t="s">
        <v>55</v>
      </c>
      <c r="AB512" s="79" t="s">
        <v>37</v>
      </c>
      <c r="AC512" s="79" t="s">
        <v>37</v>
      </c>
      <c r="AD512" s="79"/>
      <c r="AE512" s="79"/>
      <c r="AF512" s="79"/>
      <c r="AG512" s="79"/>
      <c r="AH512" s="79"/>
      <c r="AI512" s="53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</row>
    <row r="513" spans="1:110" ht="13.8" x14ac:dyDescent="0.25">
      <c r="A513" s="24">
        <v>1301012</v>
      </c>
      <c r="B513" s="26" t="s">
        <v>600</v>
      </c>
      <c r="C513" s="12" t="s">
        <v>869</v>
      </c>
      <c r="D513" s="11"/>
      <c r="E513" s="17" t="s">
        <v>57</v>
      </c>
      <c r="F513" s="10" t="s">
        <v>34</v>
      </c>
      <c r="G513" s="55" t="str">
        <f t="shared" si="13"/>
        <v>Obsolete</v>
      </c>
      <c r="H513" s="10"/>
      <c r="I513" s="13"/>
      <c r="J513" s="56"/>
      <c r="K513" s="57"/>
      <c r="M513" s="14"/>
      <c r="N513" s="14"/>
      <c r="O513" s="14"/>
      <c r="P513" s="14"/>
      <c r="Q513" s="14"/>
      <c r="R513" s="14"/>
      <c r="S513" s="14"/>
      <c r="T513" s="70"/>
      <c r="U513" s="76" t="s">
        <v>54</v>
      </c>
      <c r="V513" s="76"/>
      <c r="W513" s="76" t="s">
        <v>54</v>
      </c>
      <c r="X513" s="76"/>
      <c r="Y513" s="97"/>
      <c r="Z513" s="78"/>
      <c r="AA513" s="79" t="s">
        <v>55</v>
      </c>
      <c r="AB513" s="79" t="s">
        <v>37</v>
      </c>
      <c r="AC513" s="79" t="s">
        <v>37</v>
      </c>
      <c r="AD513" s="79"/>
      <c r="AE513" s="79"/>
      <c r="AF513" s="79"/>
      <c r="AG513" s="79"/>
      <c r="AH513" s="79"/>
      <c r="AI513" s="53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</row>
    <row r="514" spans="1:110" ht="13.8" x14ac:dyDescent="0.25">
      <c r="A514" s="24">
        <v>1301013</v>
      </c>
      <c r="B514" s="26" t="s">
        <v>600</v>
      </c>
      <c r="C514" s="12" t="s">
        <v>870</v>
      </c>
      <c r="D514" s="11"/>
      <c r="E514" s="17" t="s">
        <v>57</v>
      </c>
      <c r="F514" s="10" t="s">
        <v>34</v>
      </c>
      <c r="G514" s="55" t="str">
        <f t="shared" si="13"/>
        <v>Obsolete</v>
      </c>
      <c r="H514" s="10"/>
      <c r="I514" s="13"/>
      <c r="J514" s="56"/>
      <c r="K514" s="57"/>
      <c r="M514" s="14"/>
      <c r="N514" s="14"/>
      <c r="O514" s="14"/>
      <c r="P514" s="14"/>
      <c r="Q514" s="14"/>
      <c r="R514" s="14"/>
      <c r="S514" s="14"/>
      <c r="T514" s="70"/>
      <c r="U514" s="76" t="s">
        <v>54</v>
      </c>
      <c r="V514" s="76"/>
      <c r="W514" s="76" t="s">
        <v>54</v>
      </c>
      <c r="X514" s="76"/>
      <c r="Y514" s="97"/>
      <c r="Z514" s="78"/>
      <c r="AA514" s="79" t="s">
        <v>55</v>
      </c>
      <c r="AB514" s="79" t="s">
        <v>37</v>
      </c>
      <c r="AC514" s="79" t="s">
        <v>37</v>
      </c>
      <c r="AD514" s="79"/>
      <c r="AE514" s="79"/>
      <c r="AF514" s="79"/>
      <c r="AG514" s="79"/>
      <c r="AH514" s="79"/>
      <c r="AI514" s="53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</row>
    <row r="515" spans="1:110" ht="13.8" x14ac:dyDescent="0.25">
      <c r="A515" s="24">
        <v>1301014</v>
      </c>
      <c r="B515" s="26" t="s">
        <v>600</v>
      </c>
      <c r="C515" s="12" t="s">
        <v>871</v>
      </c>
      <c r="D515" s="11"/>
      <c r="E515" s="17" t="s">
        <v>57</v>
      </c>
      <c r="F515" s="10" t="s">
        <v>34</v>
      </c>
      <c r="G515" s="55" t="str">
        <f t="shared" si="13"/>
        <v>Obsolete</v>
      </c>
      <c r="H515" s="10"/>
      <c r="I515" s="13"/>
      <c r="J515" s="56"/>
      <c r="K515" s="57"/>
      <c r="M515" s="14"/>
      <c r="N515" s="14"/>
      <c r="O515" s="14"/>
      <c r="P515" s="14"/>
      <c r="Q515" s="14"/>
      <c r="R515" s="14"/>
      <c r="S515" s="14"/>
      <c r="T515" s="70"/>
      <c r="U515" s="76" t="s">
        <v>54</v>
      </c>
      <c r="V515" s="76"/>
      <c r="W515" s="76" t="s">
        <v>54</v>
      </c>
      <c r="X515" s="76"/>
      <c r="Y515" s="97"/>
      <c r="Z515" s="78"/>
      <c r="AA515" s="79" t="s">
        <v>55</v>
      </c>
      <c r="AB515" s="79" t="s">
        <v>37</v>
      </c>
      <c r="AC515" s="79" t="s">
        <v>37</v>
      </c>
      <c r="AD515" s="79"/>
      <c r="AE515" s="79"/>
      <c r="AF515" s="79"/>
      <c r="AG515" s="79"/>
      <c r="AH515" s="79"/>
      <c r="AI515" s="53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</row>
    <row r="516" spans="1:110" ht="13.8" x14ac:dyDescent="0.25">
      <c r="A516" s="24">
        <v>1301015</v>
      </c>
      <c r="B516" s="11"/>
      <c r="C516" s="12" t="s">
        <v>872</v>
      </c>
      <c r="D516" s="11"/>
      <c r="E516" s="10" t="s">
        <v>873</v>
      </c>
      <c r="F516" s="10" t="s">
        <v>34</v>
      </c>
      <c r="G516" s="55" t="str">
        <f t="shared" si="13"/>
        <v>Obsolete</v>
      </c>
      <c r="H516" s="10"/>
      <c r="I516" s="13"/>
      <c r="J516" s="56"/>
      <c r="K516" s="57"/>
      <c r="M516" s="14">
        <v>27.34</v>
      </c>
      <c r="N516" s="14"/>
      <c r="O516" s="14"/>
      <c r="P516" s="14"/>
      <c r="Q516" s="14"/>
      <c r="R516" s="14"/>
      <c r="S516" s="14"/>
      <c r="T516" s="70"/>
      <c r="U516" s="76" t="s">
        <v>54</v>
      </c>
      <c r="V516" s="76"/>
      <c r="W516" s="76" t="s">
        <v>54</v>
      </c>
      <c r="X516" s="76"/>
      <c r="Y516" s="97"/>
      <c r="Z516" s="78"/>
      <c r="AA516" s="79" t="s">
        <v>55</v>
      </c>
      <c r="AB516" s="79" t="s">
        <v>37</v>
      </c>
      <c r="AC516" s="79" t="s">
        <v>37</v>
      </c>
      <c r="AD516" s="79"/>
      <c r="AE516" s="79"/>
      <c r="AF516" s="79"/>
      <c r="AG516" s="79"/>
      <c r="AH516" s="79"/>
      <c r="AI516" s="53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</row>
    <row r="517" spans="1:110" ht="13.8" x14ac:dyDescent="0.25">
      <c r="A517" s="24">
        <v>1301016</v>
      </c>
      <c r="B517" s="26" t="s">
        <v>600</v>
      </c>
      <c r="C517" s="25" t="s">
        <v>874</v>
      </c>
      <c r="D517" s="26"/>
      <c r="E517" s="17" t="s">
        <v>57</v>
      </c>
      <c r="F517" s="10" t="s">
        <v>34</v>
      </c>
      <c r="G517" s="55" t="str">
        <f t="shared" si="13"/>
        <v>Obsolete</v>
      </c>
      <c r="H517" s="10"/>
      <c r="I517" s="13"/>
      <c r="J517" s="56"/>
      <c r="K517" s="57"/>
      <c r="M517" s="14"/>
      <c r="N517" s="14"/>
      <c r="O517" s="14"/>
      <c r="P517" s="14"/>
      <c r="Q517" s="14"/>
      <c r="R517" s="14"/>
      <c r="S517" s="14"/>
      <c r="T517" s="70"/>
      <c r="U517" s="76" t="s">
        <v>54</v>
      </c>
      <c r="V517" s="76"/>
      <c r="W517" s="76" t="s">
        <v>54</v>
      </c>
      <c r="X517" s="76"/>
      <c r="Y517" s="97"/>
      <c r="Z517" s="87"/>
      <c r="AA517" s="79"/>
      <c r="AB517" s="79" t="s">
        <v>37</v>
      </c>
      <c r="AC517" s="79" t="s">
        <v>37</v>
      </c>
      <c r="AD517" s="79"/>
      <c r="AE517" s="79"/>
      <c r="AF517" s="79"/>
      <c r="AG517" s="79"/>
      <c r="AH517" s="79"/>
      <c r="AI517" s="53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</row>
    <row r="518" spans="1:110" ht="13.8" x14ac:dyDescent="0.25">
      <c r="A518" s="24">
        <v>1301017</v>
      </c>
      <c r="B518" s="26" t="s">
        <v>600</v>
      </c>
      <c r="C518" s="25" t="s">
        <v>875</v>
      </c>
      <c r="D518" s="26"/>
      <c r="E518" s="17" t="s">
        <v>57</v>
      </c>
      <c r="F518" s="10" t="s">
        <v>34</v>
      </c>
      <c r="G518" s="55" t="str">
        <f t="shared" si="13"/>
        <v>Obsolete</v>
      </c>
      <c r="H518" s="10"/>
      <c r="I518" s="13"/>
      <c r="J518" s="56"/>
      <c r="K518" s="57"/>
      <c r="M518" s="14"/>
      <c r="N518" s="14"/>
      <c r="O518" s="14"/>
      <c r="P518" s="14"/>
      <c r="Q518" s="14"/>
      <c r="R518" s="14"/>
      <c r="S518" s="14"/>
      <c r="T518" s="70"/>
      <c r="U518" s="76" t="s">
        <v>54</v>
      </c>
      <c r="V518" s="76"/>
      <c r="W518" s="76" t="s">
        <v>54</v>
      </c>
      <c r="X518" s="76"/>
      <c r="Y518" s="97"/>
      <c r="Z518" s="87"/>
      <c r="AA518" s="79"/>
      <c r="AB518" s="79" t="s">
        <v>37</v>
      </c>
      <c r="AC518" s="79" t="s">
        <v>37</v>
      </c>
      <c r="AD518" s="79"/>
      <c r="AE518" s="79"/>
      <c r="AF518" s="79"/>
      <c r="AG518" s="79"/>
      <c r="AH518" s="79"/>
      <c r="AI518" s="53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</row>
    <row r="519" spans="1:110" ht="13.8" x14ac:dyDescent="0.25">
      <c r="A519" s="24">
        <v>1301018</v>
      </c>
      <c r="B519" s="26" t="s">
        <v>600</v>
      </c>
      <c r="C519" s="25" t="s">
        <v>876</v>
      </c>
      <c r="D519" s="26"/>
      <c r="E519" s="17" t="s">
        <v>57</v>
      </c>
      <c r="F519" s="10" t="s">
        <v>34</v>
      </c>
      <c r="G519" s="55" t="str">
        <f t="shared" si="13"/>
        <v>Obsolete</v>
      </c>
      <c r="H519" s="10"/>
      <c r="I519" s="13"/>
      <c r="J519" s="56"/>
      <c r="K519" s="57"/>
      <c r="M519" s="14"/>
      <c r="N519" s="14"/>
      <c r="O519" s="14"/>
      <c r="P519" s="14"/>
      <c r="Q519" s="14"/>
      <c r="R519" s="14"/>
      <c r="S519" s="14"/>
      <c r="T519" s="70"/>
      <c r="U519" s="76" t="s">
        <v>54</v>
      </c>
      <c r="V519" s="76"/>
      <c r="W519" s="76" t="s">
        <v>54</v>
      </c>
      <c r="X519" s="76"/>
      <c r="Y519" s="97"/>
      <c r="Z519" s="87"/>
      <c r="AA519" s="79"/>
      <c r="AB519" s="79" t="s">
        <v>37</v>
      </c>
      <c r="AC519" s="79" t="s">
        <v>37</v>
      </c>
      <c r="AD519" s="79"/>
      <c r="AE519" s="79"/>
      <c r="AF519" s="79"/>
      <c r="AG519" s="79"/>
      <c r="AH519" s="79"/>
      <c r="AI519" s="53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</row>
    <row r="520" spans="1:110" ht="13.8" x14ac:dyDescent="0.25">
      <c r="A520" s="24">
        <v>1301019</v>
      </c>
      <c r="B520" s="26" t="s">
        <v>600</v>
      </c>
      <c r="C520" s="12" t="s">
        <v>877</v>
      </c>
      <c r="D520" s="11"/>
      <c r="E520" s="10" t="s">
        <v>684</v>
      </c>
      <c r="F520" s="10" t="s">
        <v>878</v>
      </c>
      <c r="G520" s="55">
        <f t="shared" si="13"/>
        <v>108.6</v>
      </c>
      <c r="H520" s="10">
        <v>1</v>
      </c>
      <c r="I520" s="13"/>
      <c r="J520" s="56"/>
      <c r="K520" s="57"/>
      <c r="M520" s="14"/>
      <c r="N520" s="14"/>
      <c r="O520" s="14"/>
      <c r="P520" s="14"/>
      <c r="Q520" s="14"/>
      <c r="R520" s="14"/>
      <c r="S520" s="14"/>
      <c r="T520" s="70"/>
      <c r="U520" s="76">
        <v>89.28</v>
      </c>
      <c r="V520" s="76">
        <v>19.32</v>
      </c>
      <c r="W520" s="76">
        <v>89.28</v>
      </c>
      <c r="X520" s="76">
        <v>19.32</v>
      </c>
      <c r="Y520" s="97" t="s">
        <v>37</v>
      </c>
      <c r="Z520" s="78">
        <v>1</v>
      </c>
      <c r="AA520" s="79" t="s">
        <v>36</v>
      </c>
      <c r="AB520" s="79" t="s">
        <v>37</v>
      </c>
      <c r="AC520" s="79" t="s">
        <v>37</v>
      </c>
      <c r="AD520" s="79"/>
      <c r="AE520" s="79" t="s">
        <v>685</v>
      </c>
      <c r="AF520" s="79" t="s">
        <v>686</v>
      </c>
      <c r="AG520" s="79" t="s">
        <v>687</v>
      </c>
      <c r="AH520" s="79"/>
      <c r="AI520" s="53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</row>
    <row r="521" spans="1:110" ht="13.8" x14ac:dyDescent="0.25">
      <c r="A521" s="24">
        <v>1301020</v>
      </c>
      <c r="B521" s="26" t="s">
        <v>600</v>
      </c>
      <c r="C521" s="12" t="s">
        <v>879</v>
      </c>
      <c r="D521" s="11"/>
      <c r="E521" s="10" t="s">
        <v>684</v>
      </c>
      <c r="F521" s="10" t="s">
        <v>607</v>
      </c>
      <c r="G521" s="55" t="str">
        <f t="shared" si="13"/>
        <v>Obsolete</v>
      </c>
      <c r="H521" s="10"/>
      <c r="I521" s="13"/>
      <c r="J521" s="56"/>
      <c r="K521" s="57"/>
      <c r="M521" s="14"/>
      <c r="N521" s="14"/>
      <c r="O521" s="14"/>
      <c r="P521" s="14"/>
      <c r="Q521" s="14"/>
      <c r="R521" s="14"/>
      <c r="S521" s="14"/>
      <c r="T521" s="70"/>
      <c r="U521" s="76" t="s">
        <v>54</v>
      </c>
      <c r="V521" s="76"/>
      <c r="W521" s="76" t="s">
        <v>54</v>
      </c>
      <c r="X521" s="76"/>
      <c r="Y521" s="97"/>
      <c r="Z521" s="78"/>
      <c r="AA521" s="79" t="s">
        <v>36</v>
      </c>
      <c r="AB521" s="79" t="s">
        <v>37</v>
      </c>
      <c r="AC521" s="79" t="s">
        <v>37</v>
      </c>
      <c r="AD521" s="79"/>
      <c r="AE521" s="79" t="s">
        <v>685</v>
      </c>
      <c r="AF521" s="79" t="s">
        <v>686</v>
      </c>
      <c r="AG521" s="79" t="s">
        <v>687</v>
      </c>
      <c r="AH521" s="79"/>
      <c r="AI521" s="53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</row>
    <row r="522" spans="1:110" ht="13.8" x14ac:dyDescent="0.25">
      <c r="A522" s="24">
        <v>1301021</v>
      </c>
      <c r="B522" s="26" t="s">
        <v>600</v>
      </c>
      <c r="C522" s="12" t="s">
        <v>880</v>
      </c>
      <c r="D522" s="11"/>
      <c r="E522" s="10" t="s">
        <v>577</v>
      </c>
      <c r="F522" s="10" t="s">
        <v>34</v>
      </c>
      <c r="G522" s="55" t="str">
        <f t="shared" si="13"/>
        <v>Obsolete</v>
      </c>
      <c r="H522" s="10"/>
      <c r="I522" s="13">
        <v>33</v>
      </c>
      <c r="J522" s="56"/>
      <c r="K522" s="57"/>
      <c r="M522" s="14">
        <v>45.47</v>
      </c>
      <c r="N522" s="14"/>
      <c r="O522" s="14"/>
      <c r="P522" s="14"/>
      <c r="Q522" s="14"/>
      <c r="R522" s="14"/>
      <c r="S522" s="14"/>
      <c r="T522" s="70"/>
      <c r="U522" s="76" t="s">
        <v>54</v>
      </c>
      <c r="V522" s="76"/>
      <c r="W522" s="76" t="s">
        <v>54</v>
      </c>
      <c r="X522" s="76"/>
      <c r="Y522" s="97"/>
      <c r="Z522" s="78" t="s">
        <v>585</v>
      </c>
      <c r="AA522" s="79" t="s">
        <v>64</v>
      </c>
      <c r="AB522" s="79" t="s">
        <v>37</v>
      </c>
      <c r="AC522" s="79" t="s">
        <v>37</v>
      </c>
      <c r="AD522" s="79"/>
      <c r="AE522" s="79" t="s">
        <v>579</v>
      </c>
      <c r="AF522" s="79" t="s">
        <v>580</v>
      </c>
      <c r="AG522" s="105" t="s">
        <v>581</v>
      </c>
      <c r="AH522" s="79"/>
      <c r="AI522" s="53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</row>
    <row r="523" spans="1:110" ht="13.8" x14ac:dyDescent="0.25">
      <c r="A523" s="24">
        <v>1301022</v>
      </c>
      <c r="B523" s="11" t="s">
        <v>600</v>
      </c>
      <c r="C523" s="12" t="s">
        <v>881</v>
      </c>
      <c r="D523" s="11"/>
      <c r="E523" s="10" t="s">
        <v>584</v>
      </c>
      <c r="F523" s="10" t="s">
        <v>607</v>
      </c>
      <c r="G523" s="55">
        <f t="shared" si="13"/>
        <v>30.51</v>
      </c>
      <c r="H523" s="10">
        <v>4</v>
      </c>
      <c r="I523" s="13" t="s">
        <v>608</v>
      </c>
      <c r="J523" s="56"/>
      <c r="K523" s="57"/>
      <c r="M523" s="14">
        <v>7.84</v>
      </c>
      <c r="N523" s="14"/>
      <c r="O523" s="14"/>
      <c r="P523" s="14"/>
      <c r="Q523" s="14"/>
      <c r="R523" s="14"/>
      <c r="S523" s="14"/>
      <c r="T523" s="70"/>
      <c r="U523" s="76">
        <v>7.84</v>
      </c>
      <c r="V523" s="76">
        <v>22.67</v>
      </c>
      <c r="W523" s="76">
        <v>7.84</v>
      </c>
      <c r="X523" s="76">
        <v>22.67</v>
      </c>
      <c r="Y523" s="77" t="s">
        <v>37</v>
      </c>
      <c r="Z523" s="98" t="s">
        <v>608</v>
      </c>
      <c r="AA523" s="79" t="s">
        <v>58</v>
      </c>
      <c r="AB523" s="79" t="s">
        <v>35</v>
      </c>
      <c r="AC523" s="79" t="s">
        <v>37</v>
      </c>
      <c r="AD523" s="79"/>
      <c r="AE523" s="79" t="s">
        <v>609</v>
      </c>
      <c r="AF523" s="106" t="s">
        <v>610</v>
      </c>
      <c r="AG523" s="105" t="s">
        <v>611</v>
      </c>
      <c r="AH523" s="79"/>
      <c r="AI523" s="53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</row>
    <row r="524" spans="1:110" ht="13.8" x14ac:dyDescent="0.25">
      <c r="A524" s="24">
        <v>1301023</v>
      </c>
      <c r="B524" s="26" t="s">
        <v>882</v>
      </c>
      <c r="C524" s="25" t="s">
        <v>883</v>
      </c>
      <c r="D524" s="26"/>
      <c r="E524" s="10" t="s">
        <v>584</v>
      </c>
      <c r="F524" s="10" t="s">
        <v>607</v>
      </c>
      <c r="G524" s="55">
        <f t="shared" si="13"/>
        <v>34.160000000000004</v>
      </c>
      <c r="H524" s="10">
        <v>4</v>
      </c>
      <c r="I524" s="13" t="s">
        <v>608</v>
      </c>
      <c r="J524" s="56"/>
      <c r="K524" s="57"/>
      <c r="M524" s="14">
        <v>11.49</v>
      </c>
      <c r="N524" s="14"/>
      <c r="O524" s="14"/>
      <c r="P524" s="14"/>
      <c r="Q524" s="14"/>
      <c r="R524" s="14"/>
      <c r="S524" s="14"/>
      <c r="T524" s="70"/>
      <c r="U524" s="76">
        <v>11.49</v>
      </c>
      <c r="V524" s="76">
        <v>22.67</v>
      </c>
      <c r="W524" s="76">
        <v>11.49</v>
      </c>
      <c r="X524" s="76">
        <v>22.67</v>
      </c>
      <c r="Y524" s="77" t="s">
        <v>37</v>
      </c>
      <c r="Z524" s="98" t="s">
        <v>608</v>
      </c>
      <c r="AA524" s="79" t="s">
        <v>58</v>
      </c>
      <c r="AB524" s="79" t="s">
        <v>35</v>
      </c>
      <c r="AC524" s="79" t="s">
        <v>35</v>
      </c>
      <c r="AD524" s="79"/>
      <c r="AE524" s="79" t="s">
        <v>609</v>
      </c>
      <c r="AF524" s="106" t="s">
        <v>610</v>
      </c>
      <c r="AG524" s="105" t="s">
        <v>611</v>
      </c>
      <c r="AH524" s="79"/>
      <c r="AI524" s="53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</row>
    <row r="525" spans="1:110" ht="13.8" x14ac:dyDescent="0.25">
      <c r="A525" s="24">
        <v>1301024</v>
      </c>
      <c r="B525" s="26" t="s">
        <v>567</v>
      </c>
      <c r="C525" s="25" t="s">
        <v>884</v>
      </c>
      <c r="D525" s="26" t="s">
        <v>64</v>
      </c>
      <c r="E525" s="10" t="s">
        <v>684</v>
      </c>
      <c r="F525" s="10" t="s">
        <v>738</v>
      </c>
      <c r="G525" s="55" t="str">
        <f t="shared" si="13"/>
        <v>Obsolete</v>
      </c>
      <c r="H525" s="10"/>
      <c r="I525" s="13">
        <v>1</v>
      </c>
      <c r="J525" s="56"/>
      <c r="K525" s="57"/>
      <c r="M525" s="14">
        <v>180</v>
      </c>
      <c r="N525" s="14"/>
      <c r="O525" s="14"/>
      <c r="P525" s="14"/>
      <c r="Q525" s="14"/>
      <c r="R525" s="14"/>
      <c r="S525" s="14"/>
      <c r="T525" s="70"/>
      <c r="U525" s="76" t="s">
        <v>54</v>
      </c>
      <c r="V525" s="76"/>
      <c r="W525" s="76" t="s">
        <v>54</v>
      </c>
      <c r="X525" s="76"/>
      <c r="Y525" s="97"/>
      <c r="Z525" s="78" t="s">
        <v>738</v>
      </c>
      <c r="AA525" s="79" t="s">
        <v>64</v>
      </c>
      <c r="AB525" s="79" t="s">
        <v>37</v>
      </c>
      <c r="AC525" s="79" t="s">
        <v>37</v>
      </c>
      <c r="AD525" s="79"/>
      <c r="AE525" s="79" t="s">
        <v>885</v>
      </c>
      <c r="AF525" s="106"/>
      <c r="AG525" s="106"/>
      <c r="AH525" s="79"/>
      <c r="AI525" s="53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</row>
    <row r="526" spans="1:110" ht="13.8" x14ac:dyDescent="0.25">
      <c r="A526" s="24">
        <v>1301025</v>
      </c>
      <c r="B526" s="26" t="s">
        <v>882</v>
      </c>
      <c r="C526" s="25" t="s">
        <v>886</v>
      </c>
      <c r="D526" s="26" t="s">
        <v>64</v>
      </c>
      <c r="E526" s="10" t="s">
        <v>684</v>
      </c>
      <c r="F526" s="10" t="s">
        <v>738</v>
      </c>
      <c r="G526" s="55" t="str">
        <f t="shared" si="13"/>
        <v>Obsolete</v>
      </c>
      <c r="H526" s="10"/>
      <c r="I526" s="13">
        <v>1</v>
      </c>
      <c r="J526" s="56"/>
      <c r="K526" s="57"/>
      <c r="M526" s="14">
        <v>180</v>
      </c>
      <c r="N526" s="14"/>
      <c r="O526" s="14"/>
      <c r="P526" s="14"/>
      <c r="Q526" s="14"/>
      <c r="R526" s="14"/>
      <c r="S526" s="14"/>
      <c r="T526" s="70"/>
      <c r="U526" s="76" t="s">
        <v>54</v>
      </c>
      <c r="V526" s="76"/>
      <c r="W526" s="76" t="s">
        <v>54</v>
      </c>
      <c r="X526" s="76"/>
      <c r="Y526" s="97"/>
      <c r="Z526" s="78" t="s">
        <v>738</v>
      </c>
      <c r="AA526" s="79" t="s">
        <v>64</v>
      </c>
      <c r="AB526" s="79" t="s">
        <v>37</v>
      </c>
      <c r="AC526" s="79" t="s">
        <v>37</v>
      </c>
      <c r="AD526" s="79"/>
      <c r="AE526" s="79" t="s">
        <v>885</v>
      </c>
      <c r="AF526" s="106"/>
      <c r="AG526" s="106"/>
      <c r="AH526" s="79"/>
      <c r="AI526" s="53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</row>
    <row r="527" spans="1:110" ht="13.8" x14ac:dyDescent="0.25">
      <c r="A527" s="24">
        <v>1301026</v>
      </c>
      <c r="B527" s="26" t="s">
        <v>600</v>
      </c>
      <c r="C527" s="25" t="s">
        <v>887</v>
      </c>
      <c r="D527" s="26" t="s">
        <v>64</v>
      </c>
      <c r="E527" s="10" t="s">
        <v>684</v>
      </c>
      <c r="F527" s="10" t="s">
        <v>888</v>
      </c>
      <c r="G527" s="55" t="str">
        <f t="shared" si="13"/>
        <v>Obsolete</v>
      </c>
      <c r="H527" s="10"/>
      <c r="I527" s="13"/>
      <c r="J527" s="56"/>
      <c r="K527" s="57"/>
      <c r="M527" s="14">
        <v>5.77</v>
      </c>
      <c r="N527" s="14"/>
      <c r="O527" s="14"/>
      <c r="P527" s="14"/>
      <c r="Q527" s="14"/>
      <c r="R527" s="14"/>
      <c r="S527" s="14"/>
      <c r="T527" s="70"/>
      <c r="U527" s="76" t="s">
        <v>54</v>
      </c>
      <c r="V527" s="76"/>
      <c r="W527" s="76" t="s">
        <v>54</v>
      </c>
      <c r="X527" s="76"/>
      <c r="Y527" s="97"/>
      <c r="Z527" s="78" t="s">
        <v>889</v>
      </c>
      <c r="AA527" s="79" t="s">
        <v>64</v>
      </c>
      <c r="AB527" s="79" t="s">
        <v>37</v>
      </c>
      <c r="AC527" s="79" t="s">
        <v>37</v>
      </c>
      <c r="AD527" s="79"/>
      <c r="AE527" s="79"/>
      <c r="AF527" s="106"/>
      <c r="AG527" s="106"/>
      <c r="AH527" s="79"/>
      <c r="AI527" s="53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</row>
    <row r="528" spans="1:110" ht="13.8" x14ac:dyDescent="0.25">
      <c r="A528" s="24">
        <v>1301027</v>
      </c>
      <c r="B528" s="18" t="s">
        <v>600</v>
      </c>
      <c r="C528" s="31" t="s">
        <v>890</v>
      </c>
      <c r="D528" s="26"/>
      <c r="E528" s="10" t="s">
        <v>628</v>
      </c>
      <c r="F528" s="10" t="s">
        <v>607</v>
      </c>
      <c r="G528" s="55">
        <f t="shared" si="13"/>
        <v>526</v>
      </c>
      <c r="H528" s="10" t="s">
        <v>629</v>
      </c>
      <c r="I528" s="13" t="s">
        <v>891</v>
      </c>
      <c r="J528" s="56"/>
      <c r="K528" s="57"/>
      <c r="M528" s="14"/>
      <c r="N528" s="14"/>
      <c r="O528" s="14"/>
      <c r="P528" s="14"/>
      <c r="Q528" s="14"/>
      <c r="R528" s="14"/>
      <c r="S528" s="14"/>
      <c r="T528" s="70"/>
      <c r="U528" s="76">
        <v>6</v>
      </c>
      <c r="V528" s="76">
        <v>520</v>
      </c>
      <c r="W528" s="76">
        <v>6</v>
      </c>
      <c r="X528" s="76">
        <v>520</v>
      </c>
      <c r="Y528" s="77" t="s">
        <v>37</v>
      </c>
      <c r="Z528" s="78" t="s">
        <v>892</v>
      </c>
      <c r="AA528" s="79" t="s">
        <v>277</v>
      </c>
      <c r="AB528" s="79" t="s">
        <v>35</v>
      </c>
      <c r="AC528" s="79" t="s">
        <v>35</v>
      </c>
      <c r="AD528" s="79"/>
      <c r="AE528" s="79" t="s">
        <v>632</v>
      </c>
      <c r="AF528" s="106" t="s">
        <v>633</v>
      </c>
      <c r="AG528" s="79" t="s">
        <v>634</v>
      </c>
      <c r="AH528" s="79"/>
      <c r="AI528" s="53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</row>
    <row r="529" spans="1:110" ht="13.8" x14ac:dyDescent="0.25">
      <c r="A529" s="24">
        <v>1301028</v>
      </c>
      <c r="B529" s="18" t="s">
        <v>600</v>
      </c>
      <c r="C529" s="31" t="s">
        <v>893</v>
      </c>
      <c r="D529" s="26"/>
      <c r="E529" s="10" t="s">
        <v>628</v>
      </c>
      <c r="F529" s="10" t="s">
        <v>607</v>
      </c>
      <c r="G529" s="55">
        <f t="shared" si="13"/>
        <v>526</v>
      </c>
      <c r="H529" s="10" t="s">
        <v>629</v>
      </c>
      <c r="I529" s="13" t="s">
        <v>891</v>
      </c>
      <c r="J529" s="56"/>
      <c r="K529" s="57"/>
      <c r="M529" s="14"/>
      <c r="N529" s="14"/>
      <c r="O529" s="14"/>
      <c r="P529" s="14"/>
      <c r="Q529" s="14"/>
      <c r="R529" s="14"/>
      <c r="S529" s="14"/>
      <c r="T529" s="70"/>
      <c r="U529" s="76">
        <v>6</v>
      </c>
      <c r="V529" s="76">
        <v>520</v>
      </c>
      <c r="W529" s="76">
        <v>6</v>
      </c>
      <c r="X529" s="76">
        <v>520</v>
      </c>
      <c r="Y529" s="77" t="s">
        <v>37</v>
      </c>
      <c r="Z529" s="78" t="s">
        <v>892</v>
      </c>
      <c r="AA529" s="79" t="s">
        <v>277</v>
      </c>
      <c r="AB529" s="79" t="s">
        <v>35</v>
      </c>
      <c r="AC529" s="79" t="s">
        <v>35</v>
      </c>
      <c r="AD529" s="79"/>
      <c r="AE529" s="79" t="s">
        <v>632</v>
      </c>
      <c r="AF529" s="106" t="s">
        <v>633</v>
      </c>
      <c r="AG529" s="79" t="s">
        <v>634</v>
      </c>
      <c r="AH529" s="79"/>
      <c r="AI529" s="53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</row>
    <row r="530" spans="1:110" ht="13.8" x14ac:dyDescent="0.25">
      <c r="A530" s="24">
        <v>1301029</v>
      </c>
      <c r="B530" s="18" t="s">
        <v>882</v>
      </c>
      <c r="C530" s="31" t="s">
        <v>894</v>
      </c>
      <c r="D530" s="26"/>
      <c r="E530" s="10" t="s">
        <v>628</v>
      </c>
      <c r="F530" s="10" t="s">
        <v>607</v>
      </c>
      <c r="G530" s="55">
        <f t="shared" si="13"/>
        <v>555</v>
      </c>
      <c r="H530" s="10" t="s">
        <v>629</v>
      </c>
      <c r="I530" s="13" t="s">
        <v>630</v>
      </c>
      <c r="J530" s="56"/>
      <c r="K530" s="57"/>
      <c r="M530" s="14"/>
      <c r="N530" s="14"/>
      <c r="O530" s="14"/>
      <c r="P530" s="14"/>
      <c r="Q530" s="14"/>
      <c r="R530" s="14"/>
      <c r="S530" s="14"/>
      <c r="T530" s="70"/>
      <c r="U530" s="76">
        <v>35</v>
      </c>
      <c r="V530" s="76">
        <v>520</v>
      </c>
      <c r="W530" s="76">
        <v>35</v>
      </c>
      <c r="X530" s="76">
        <v>520</v>
      </c>
      <c r="Y530" s="77" t="s">
        <v>37</v>
      </c>
      <c r="Z530" s="78" t="s">
        <v>631</v>
      </c>
      <c r="AA530" s="79" t="s">
        <v>277</v>
      </c>
      <c r="AB530" s="79" t="s">
        <v>35</v>
      </c>
      <c r="AC530" s="79" t="s">
        <v>35</v>
      </c>
      <c r="AD530" s="79"/>
      <c r="AE530" s="79" t="s">
        <v>632</v>
      </c>
      <c r="AF530" s="106" t="s">
        <v>633</v>
      </c>
      <c r="AG530" s="79" t="s">
        <v>634</v>
      </c>
      <c r="AH530" s="79"/>
      <c r="AI530" s="53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</row>
    <row r="531" spans="1:110" ht="13.8" x14ac:dyDescent="0.25">
      <c r="A531" s="24">
        <v>1301030</v>
      </c>
      <c r="B531" s="18" t="s">
        <v>882</v>
      </c>
      <c r="C531" s="31" t="s">
        <v>895</v>
      </c>
      <c r="D531" s="26"/>
      <c r="E531" s="10" t="s">
        <v>628</v>
      </c>
      <c r="F531" s="10" t="s">
        <v>607</v>
      </c>
      <c r="G531" s="55">
        <f t="shared" si="13"/>
        <v>555</v>
      </c>
      <c r="H531" s="10" t="s">
        <v>629</v>
      </c>
      <c r="I531" s="13" t="s">
        <v>630</v>
      </c>
      <c r="J531" s="56"/>
      <c r="K531" s="57"/>
      <c r="M531" s="14"/>
      <c r="N531" s="14"/>
      <c r="O531" s="14"/>
      <c r="P531" s="14"/>
      <c r="Q531" s="14"/>
      <c r="R531" s="14"/>
      <c r="S531" s="14"/>
      <c r="T531" s="70"/>
      <c r="U531" s="76">
        <v>35</v>
      </c>
      <c r="V531" s="76">
        <v>520</v>
      </c>
      <c r="W531" s="76">
        <v>35</v>
      </c>
      <c r="X531" s="76">
        <v>520</v>
      </c>
      <c r="Y531" s="77" t="s">
        <v>37</v>
      </c>
      <c r="Z531" s="78" t="s">
        <v>631</v>
      </c>
      <c r="AA531" s="79" t="s">
        <v>277</v>
      </c>
      <c r="AB531" s="79" t="s">
        <v>35</v>
      </c>
      <c r="AC531" s="79" t="s">
        <v>35</v>
      </c>
      <c r="AD531" s="79"/>
      <c r="AE531" s="79" t="s">
        <v>632</v>
      </c>
      <c r="AF531" s="106" t="s">
        <v>633</v>
      </c>
      <c r="AG531" s="79" t="s">
        <v>634</v>
      </c>
      <c r="AH531" s="79"/>
      <c r="AI531" s="53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</row>
    <row r="532" spans="1:110" ht="13.8" x14ac:dyDescent="0.25">
      <c r="A532" s="24">
        <v>1301100</v>
      </c>
      <c r="B532" s="26" t="s">
        <v>600</v>
      </c>
      <c r="C532" s="25" t="s">
        <v>896</v>
      </c>
      <c r="D532" s="26" t="s">
        <v>622</v>
      </c>
      <c r="E532" s="10" t="s">
        <v>622</v>
      </c>
      <c r="F532" s="10" t="s">
        <v>878</v>
      </c>
      <c r="G532" s="55" t="str">
        <f t="shared" si="13"/>
        <v>Obsolete</v>
      </c>
      <c r="H532" s="10"/>
      <c r="I532" s="13"/>
      <c r="J532" s="56"/>
      <c r="K532" s="57"/>
      <c r="M532" s="14"/>
      <c r="N532" s="14"/>
      <c r="O532" s="14"/>
      <c r="P532" s="14"/>
      <c r="Q532" s="14"/>
      <c r="R532" s="14"/>
      <c r="S532" s="14"/>
      <c r="T532" s="70"/>
      <c r="U532" s="76" t="s">
        <v>54</v>
      </c>
      <c r="V532" s="76"/>
      <c r="W532" s="76" t="s">
        <v>54</v>
      </c>
      <c r="X532" s="76"/>
      <c r="Y532" s="97"/>
      <c r="Z532" s="78"/>
      <c r="AA532" s="79"/>
      <c r="AB532" s="79" t="s">
        <v>37</v>
      </c>
      <c r="AC532" s="79" t="s">
        <v>37</v>
      </c>
      <c r="AD532" s="79"/>
      <c r="AE532" s="79"/>
      <c r="AF532" s="106"/>
      <c r="AG532" s="106"/>
      <c r="AH532" s="79"/>
      <c r="AI532" s="53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</row>
    <row r="533" spans="1:110" ht="13.8" x14ac:dyDescent="0.25">
      <c r="A533" s="24">
        <v>1301101</v>
      </c>
      <c r="B533" s="26"/>
      <c r="C533" s="25" t="s">
        <v>897</v>
      </c>
      <c r="D533" s="26" t="s">
        <v>622</v>
      </c>
      <c r="E533" s="10" t="s">
        <v>622</v>
      </c>
      <c r="F533" s="10" t="s">
        <v>878</v>
      </c>
      <c r="G533" s="55" t="str">
        <f t="shared" si="13"/>
        <v>Obsolete</v>
      </c>
      <c r="H533" s="10"/>
      <c r="I533" s="13"/>
      <c r="J533" s="56"/>
      <c r="K533" s="57"/>
      <c r="M533" s="14"/>
      <c r="N533" s="14"/>
      <c r="O533" s="14"/>
      <c r="P533" s="14"/>
      <c r="Q533" s="14"/>
      <c r="R533" s="14"/>
      <c r="S533" s="14"/>
      <c r="T533" s="70"/>
      <c r="U533" s="76" t="s">
        <v>54</v>
      </c>
      <c r="V533" s="97"/>
      <c r="W533" s="76" t="s">
        <v>54</v>
      </c>
      <c r="X533" s="76"/>
      <c r="Y533" s="97"/>
      <c r="Z533" s="78"/>
      <c r="AA533" s="79"/>
      <c r="AB533" s="79" t="s">
        <v>37</v>
      </c>
      <c r="AC533" s="79" t="s">
        <v>37</v>
      </c>
      <c r="AD533" s="79"/>
      <c r="AE533" s="79"/>
      <c r="AF533" s="106"/>
      <c r="AG533" s="106"/>
      <c r="AH533" s="79"/>
      <c r="AI533" s="53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</row>
    <row r="534" spans="1:110" ht="20.399999999999999" x14ac:dyDescent="0.25">
      <c r="A534" s="24">
        <v>1301102</v>
      </c>
      <c r="B534" s="26" t="s">
        <v>600</v>
      </c>
      <c r="C534" s="25" t="s">
        <v>898</v>
      </c>
      <c r="D534" s="26"/>
      <c r="E534" s="10" t="s">
        <v>189</v>
      </c>
      <c r="F534" s="10" t="s">
        <v>607</v>
      </c>
      <c r="G534" s="55" t="str">
        <f t="shared" si="13"/>
        <v>Obsolete</v>
      </c>
      <c r="H534" s="10"/>
      <c r="I534" s="13"/>
      <c r="J534" s="56"/>
      <c r="K534" s="57"/>
      <c r="M534" s="14"/>
      <c r="N534" s="14"/>
      <c r="O534" s="14"/>
      <c r="P534" s="14"/>
      <c r="Q534" s="14"/>
      <c r="R534" s="14"/>
      <c r="S534" s="14"/>
      <c r="T534" s="70"/>
      <c r="U534" s="76" t="s">
        <v>54</v>
      </c>
      <c r="V534" s="76">
        <v>0</v>
      </c>
      <c r="W534" s="76" t="s">
        <v>54</v>
      </c>
      <c r="X534" s="76">
        <v>0</v>
      </c>
      <c r="Y534" s="77" t="s">
        <v>37</v>
      </c>
      <c r="Z534" s="78"/>
      <c r="AA534" s="79" t="s">
        <v>189</v>
      </c>
      <c r="AB534" s="79" t="s">
        <v>37</v>
      </c>
      <c r="AC534" s="79" t="s">
        <v>35</v>
      </c>
      <c r="AD534" s="91" t="s">
        <v>57</v>
      </c>
      <c r="AE534" s="79"/>
      <c r="AF534" s="106"/>
      <c r="AG534" s="106"/>
      <c r="AH534" s="79"/>
      <c r="AI534" s="53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</row>
    <row r="535" spans="1:110" ht="13.8" x14ac:dyDescent="0.25">
      <c r="A535" s="24">
        <v>1301103</v>
      </c>
      <c r="B535" s="26" t="s">
        <v>600</v>
      </c>
      <c r="C535" s="25" t="s">
        <v>899</v>
      </c>
      <c r="D535" s="26"/>
      <c r="E535" s="10" t="s">
        <v>614</v>
      </c>
      <c r="F535" s="10" t="s">
        <v>607</v>
      </c>
      <c r="G535" s="55">
        <f t="shared" si="13"/>
        <v>0</v>
      </c>
      <c r="H535" s="10">
        <v>4</v>
      </c>
      <c r="I535" s="13"/>
      <c r="J535" s="56"/>
      <c r="K535" s="57"/>
      <c r="M535" s="14"/>
      <c r="N535" s="14"/>
      <c r="O535" s="14"/>
      <c r="P535" s="14"/>
      <c r="Q535" s="14"/>
      <c r="R535" s="14"/>
      <c r="S535" s="14"/>
      <c r="T535" s="70"/>
      <c r="U535" s="76">
        <v>0</v>
      </c>
      <c r="V535" s="97">
        <v>0</v>
      </c>
      <c r="W535" s="76">
        <v>0</v>
      </c>
      <c r="X535" s="76">
        <v>0</v>
      </c>
      <c r="Y535" s="97" t="s">
        <v>35</v>
      </c>
      <c r="Z535" s="87">
        <v>1.62</v>
      </c>
      <c r="AA535" s="79" t="s">
        <v>272</v>
      </c>
      <c r="AB535" s="79" t="s">
        <v>35</v>
      </c>
      <c r="AC535" s="79" t="s">
        <v>35</v>
      </c>
      <c r="AD535" s="79"/>
      <c r="AE535" s="79"/>
      <c r="AF535" s="79"/>
      <c r="AG535" s="79"/>
      <c r="AH535" s="79"/>
      <c r="AI535" s="53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</row>
    <row r="536" spans="1:110" ht="13.8" x14ac:dyDescent="0.25">
      <c r="A536" s="24">
        <v>1301104</v>
      </c>
      <c r="B536" s="26" t="s">
        <v>600</v>
      </c>
      <c r="C536" s="25" t="s">
        <v>900</v>
      </c>
      <c r="D536" s="26"/>
      <c r="E536" s="10" t="s">
        <v>617</v>
      </c>
      <c r="F536" s="10" t="s">
        <v>618</v>
      </c>
      <c r="G536" s="55">
        <f t="shared" si="13"/>
        <v>13.680317040951124</v>
      </c>
      <c r="H536" s="10">
        <v>2</v>
      </c>
      <c r="I536" s="36">
        <v>3.7850000000000001</v>
      </c>
      <c r="J536" s="56"/>
      <c r="K536" s="57"/>
      <c r="M536" s="14"/>
      <c r="N536" s="14"/>
      <c r="O536" s="14"/>
      <c r="P536" s="14"/>
      <c r="Q536" s="14"/>
      <c r="R536" s="14"/>
      <c r="S536" s="14"/>
      <c r="T536" s="70"/>
      <c r="U536" s="76">
        <v>13.680317040951124</v>
      </c>
      <c r="V536" s="76">
        <v>0</v>
      </c>
      <c r="W536" s="76">
        <v>13.680317040951124</v>
      </c>
      <c r="X536" s="76">
        <v>0</v>
      </c>
      <c r="Y536" s="97"/>
      <c r="Z536" s="107">
        <v>3.7850000000000001</v>
      </c>
      <c r="AA536" s="79" t="s">
        <v>121</v>
      </c>
      <c r="AB536" s="79" t="s">
        <v>35</v>
      </c>
      <c r="AC536" s="79"/>
      <c r="AD536" s="79" t="s">
        <v>38</v>
      </c>
      <c r="AE536" s="79" t="s">
        <v>619</v>
      </c>
      <c r="AF536" s="106"/>
      <c r="AG536" s="79" t="s">
        <v>620</v>
      </c>
      <c r="AH536" s="79"/>
      <c r="AI536" s="53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</row>
    <row r="537" spans="1:110" ht="13.8" x14ac:dyDescent="0.25">
      <c r="A537" s="24">
        <v>1301105</v>
      </c>
      <c r="B537" s="26" t="s">
        <v>600</v>
      </c>
      <c r="C537" s="25" t="s">
        <v>901</v>
      </c>
      <c r="D537" s="26"/>
      <c r="E537" s="10" t="s">
        <v>617</v>
      </c>
      <c r="F537" s="10" t="s">
        <v>618</v>
      </c>
      <c r="G537" s="55">
        <f t="shared" si="13"/>
        <v>12.697490092470279</v>
      </c>
      <c r="H537" s="10">
        <v>2</v>
      </c>
      <c r="I537" s="36">
        <v>3.7850000000000001</v>
      </c>
      <c r="J537" s="56"/>
      <c r="K537" s="57"/>
      <c r="M537" s="14"/>
      <c r="N537" s="14"/>
      <c r="O537" s="14"/>
      <c r="P537" s="14"/>
      <c r="Q537" s="14"/>
      <c r="R537" s="14"/>
      <c r="S537" s="14"/>
      <c r="T537" s="70"/>
      <c r="U537" s="76">
        <v>12.697490092470279</v>
      </c>
      <c r="V537" s="76">
        <v>0</v>
      </c>
      <c r="W537" s="76">
        <v>12.697490092470279</v>
      </c>
      <c r="X537" s="76">
        <v>0</v>
      </c>
      <c r="Y537" s="97"/>
      <c r="Z537" s="107">
        <v>0.94599999999999995</v>
      </c>
      <c r="AA537" s="79" t="s">
        <v>121</v>
      </c>
      <c r="AB537" s="79" t="s">
        <v>35</v>
      </c>
      <c r="AC537" s="79"/>
      <c r="AD537" s="79" t="s">
        <v>38</v>
      </c>
      <c r="AE537" s="79" t="s">
        <v>619</v>
      </c>
      <c r="AF537" s="106"/>
      <c r="AG537" s="79" t="s">
        <v>620</v>
      </c>
      <c r="AH537" s="79"/>
      <c r="AI537" s="53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</row>
    <row r="538" spans="1:110" ht="13.8" x14ac:dyDescent="0.25">
      <c r="A538" s="24">
        <v>1301106</v>
      </c>
      <c r="B538" s="26" t="s">
        <v>600</v>
      </c>
      <c r="C538" s="25" t="s">
        <v>902</v>
      </c>
      <c r="D538" s="26"/>
      <c r="E538" s="10" t="s">
        <v>289</v>
      </c>
      <c r="F538" s="10"/>
      <c r="G538" s="55"/>
      <c r="H538" s="10"/>
      <c r="I538" s="36"/>
      <c r="J538" s="56"/>
      <c r="K538" s="57"/>
      <c r="M538" s="14"/>
      <c r="N538" s="14"/>
      <c r="O538" s="14"/>
      <c r="P538" s="14"/>
      <c r="Q538" s="14"/>
      <c r="R538" s="14"/>
      <c r="S538" s="14"/>
      <c r="T538" s="70"/>
      <c r="U538" s="76"/>
      <c r="V538" s="76"/>
      <c r="W538" s="76"/>
      <c r="X538" s="76"/>
      <c r="Y538" s="97"/>
      <c r="Z538" s="107"/>
      <c r="AA538" s="79"/>
      <c r="AB538" s="79"/>
      <c r="AC538" s="79"/>
      <c r="AD538" s="79"/>
      <c r="AE538" s="79"/>
      <c r="AF538" s="106"/>
      <c r="AG538" s="79"/>
      <c r="AH538" s="79"/>
      <c r="AI538" s="53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</row>
    <row r="539" spans="1:110" ht="13.8" x14ac:dyDescent="0.25">
      <c r="A539" s="24">
        <v>1301107</v>
      </c>
      <c r="B539" s="26" t="s">
        <v>600</v>
      </c>
      <c r="C539" s="25" t="s">
        <v>903</v>
      </c>
      <c r="D539" s="26"/>
      <c r="E539" s="10" t="s">
        <v>742</v>
      </c>
      <c r="F539" s="10"/>
      <c r="G539" s="55"/>
      <c r="H539" s="10"/>
      <c r="I539" s="36"/>
      <c r="J539" s="56"/>
      <c r="K539" s="57"/>
      <c r="M539" s="14"/>
      <c r="N539" s="14"/>
      <c r="O539" s="14"/>
      <c r="P539" s="14"/>
      <c r="Q539" s="14"/>
      <c r="R539" s="14"/>
      <c r="S539" s="14"/>
      <c r="T539" s="70"/>
      <c r="U539" s="76"/>
      <c r="V539" s="76"/>
      <c r="W539" s="76"/>
      <c r="X539" s="76"/>
      <c r="Y539" s="97"/>
      <c r="Z539" s="107"/>
      <c r="AA539" s="79"/>
      <c r="AB539" s="79"/>
      <c r="AC539" s="79"/>
      <c r="AD539" s="79"/>
      <c r="AE539" s="79"/>
      <c r="AF539" s="106"/>
      <c r="AG539" s="79"/>
      <c r="AH539" s="79"/>
      <c r="AI539" s="53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</row>
    <row r="540" spans="1:110" ht="20.399999999999999" x14ac:dyDescent="0.25">
      <c r="A540" s="24">
        <v>1301108</v>
      </c>
      <c r="B540" s="26" t="s">
        <v>600</v>
      </c>
      <c r="C540" s="25" t="s">
        <v>1560</v>
      </c>
      <c r="D540" s="26"/>
      <c r="E540" s="10" t="s">
        <v>577</v>
      </c>
      <c r="F540" s="10" t="s">
        <v>623</v>
      </c>
      <c r="G540" s="55">
        <f t="shared" ref="G540:G558" si="14">IF(U540="Obsolete",U540,U540+V540)</f>
        <v>25.2</v>
      </c>
      <c r="H540" s="10">
        <v>14</v>
      </c>
      <c r="I540" s="36">
        <v>5</v>
      </c>
      <c r="J540" s="56"/>
      <c r="K540" s="57"/>
      <c r="M540" s="14">
        <v>25.2</v>
      </c>
      <c r="N540" s="14"/>
      <c r="O540" s="14"/>
      <c r="P540" s="14"/>
      <c r="Q540" s="14"/>
      <c r="R540" s="14"/>
      <c r="S540" s="14"/>
      <c r="T540" s="70"/>
      <c r="U540" s="76">
        <v>25.2</v>
      </c>
      <c r="V540" s="76">
        <v>0</v>
      </c>
      <c r="W540" s="76">
        <v>25.2</v>
      </c>
      <c r="X540" s="76">
        <v>0</v>
      </c>
      <c r="Y540" s="97" t="s">
        <v>37</v>
      </c>
      <c r="Z540" s="107">
        <v>5</v>
      </c>
      <c r="AA540" s="79" t="s">
        <v>284</v>
      </c>
      <c r="AB540" s="79" t="s">
        <v>35</v>
      </c>
      <c r="AC540" s="79" t="s">
        <v>37</v>
      </c>
      <c r="AD540" s="79" t="s">
        <v>38</v>
      </c>
      <c r="AE540" s="79" t="s">
        <v>1556</v>
      </c>
      <c r="AF540" s="106" t="s">
        <v>1557</v>
      </c>
      <c r="AG540" s="79" t="s">
        <v>1558</v>
      </c>
      <c r="AH540" s="79"/>
      <c r="AI540" s="53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</row>
    <row r="541" spans="1:110" ht="13.8" x14ac:dyDescent="0.25">
      <c r="A541" s="24">
        <v>1301109</v>
      </c>
      <c r="B541" s="26" t="s">
        <v>600</v>
      </c>
      <c r="C541" s="25" t="s">
        <v>1613</v>
      </c>
      <c r="D541" s="26"/>
      <c r="E541" s="10" t="s">
        <v>1612</v>
      </c>
      <c r="F541" s="10"/>
      <c r="G541" s="55">
        <f t="shared" si="14"/>
        <v>0</v>
      </c>
      <c r="H541" s="10"/>
      <c r="I541" s="36"/>
      <c r="J541" s="56"/>
      <c r="K541" s="57"/>
      <c r="M541" s="14"/>
      <c r="N541" s="14"/>
      <c r="O541" s="14"/>
      <c r="P541" s="14"/>
      <c r="Q541" s="14"/>
      <c r="R541" s="14"/>
      <c r="S541" s="14"/>
      <c r="T541" s="70"/>
      <c r="U541" s="76"/>
      <c r="V541" s="76"/>
      <c r="W541" s="76"/>
      <c r="X541" s="76"/>
      <c r="Y541" s="97"/>
      <c r="Z541" s="107"/>
      <c r="AA541" s="79"/>
      <c r="AB541" s="79"/>
      <c r="AC541" s="79"/>
      <c r="AD541" s="79"/>
      <c r="AE541" s="79"/>
      <c r="AF541" s="106"/>
      <c r="AG541" s="79"/>
      <c r="AH541" s="79"/>
      <c r="AI541" s="53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</row>
    <row r="542" spans="1:110" ht="13.8" x14ac:dyDescent="0.25">
      <c r="A542" s="24">
        <v>1302001</v>
      </c>
      <c r="B542" s="11" t="s">
        <v>882</v>
      </c>
      <c r="C542" s="12" t="s">
        <v>886</v>
      </c>
      <c r="D542" s="11"/>
      <c r="E542" s="10" t="s">
        <v>684</v>
      </c>
      <c r="F542" s="10" t="s">
        <v>904</v>
      </c>
      <c r="G542" s="55">
        <f t="shared" si="14"/>
        <v>52.519999999999996</v>
      </c>
      <c r="H542" s="10">
        <v>1</v>
      </c>
      <c r="I542" s="13" t="s">
        <v>905</v>
      </c>
      <c r="J542" s="56">
        <v>44348</v>
      </c>
      <c r="K542" s="57">
        <v>47.519999999999996</v>
      </c>
      <c r="M542" s="14"/>
      <c r="N542" s="14"/>
      <c r="O542" s="14"/>
      <c r="P542" s="14"/>
      <c r="Q542" s="14"/>
      <c r="R542" s="14"/>
      <c r="S542" s="14"/>
      <c r="T542" s="70"/>
      <c r="U542" s="76">
        <v>47</v>
      </c>
      <c r="V542" s="97">
        <v>5.52</v>
      </c>
      <c r="W542" s="76">
        <v>47</v>
      </c>
      <c r="X542" s="76">
        <v>5.52</v>
      </c>
      <c r="Y542" s="97" t="s">
        <v>37</v>
      </c>
      <c r="Z542" s="78"/>
      <c r="AA542" s="79" t="s">
        <v>36</v>
      </c>
      <c r="AB542" s="79" t="s">
        <v>37</v>
      </c>
      <c r="AC542" s="79" t="s">
        <v>37</v>
      </c>
      <c r="AD542" s="91" t="s">
        <v>57</v>
      </c>
      <c r="AE542" s="79" t="s">
        <v>685</v>
      </c>
      <c r="AF542" s="79" t="s">
        <v>686</v>
      </c>
      <c r="AG542" s="79" t="s">
        <v>687</v>
      </c>
      <c r="AH542" s="79"/>
      <c r="AI542" s="53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</row>
    <row r="543" spans="1:110" ht="13.8" x14ac:dyDescent="0.25">
      <c r="A543" s="24">
        <v>1302004</v>
      </c>
      <c r="B543" s="11" t="s">
        <v>882</v>
      </c>
      <c r="C543" s="12" t="s">
        <v>906</v>
      </c>
      <c r="D543" s="11"/>
      <c r="E543" s="10" t="s">
        <v>55</v>
      </c>
      <c r="F543" s="10" t="s">
        <v>34</v>
      </c>
      <c r="G543" s="55" t="str">
        <f t="shared" si="14"/>
        <v>Obsolete</v>
      </c>
      <c r="H543" s="10"/>
      <c r="I543" s="13"/>
      <c r="J543" s="56"/>
      <c r="K543" s="57"/>
      <c r="M543" s="14">
        <v>120.48</v>
      </c>
      <c r="N543" s="14"/>
      <c r="O543" s="14"/>
      <c r="P543" s="14"/>
      <c r="Q543" s="14"/>
      <c r="R543" s="14"/>
      <c r="S543" s="14"/>
      <c r="T543" s="70"/>
      <c r="U543" s="76" t="s">
        <v>54</v>
      </c>
      <c r="V543" s="97"/>
      <c r="W543" s="76" t="s">
        <v>54</v>
      </c>
      <c r="X543" s="76"/>
      <c r="Y543" s="97"/>
      <c r="Z543" s="78"/>
      <c r="AA543" s="79" t="s">
        <v>55</v>
      </c>
      <c r="AB543" s="79" t="s">
        <v>37</v>
      </c>
      <c r="AC543" s="79" t="s">
        <v>37</v>
      </c>
      <c r="AD543" s="79"/>
      <c r="AE543" s="79"/>
      <c r="AF543" s="79"/>
      <c r="AG543" s="79"/>
      <c r="AH543" s="79"/>
      <c r="AI543" s="53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</row>
    <row r="544" spans="1:110" ht="13.8" x14ac:dyDescent="0.25">
      <c r="A544" s="24">
        <v>1302006</v>
      </c>
      <c r="B544" s="11" t="s">
        <v>882</v>
      </c>
      <c r="C544" s="12" t="s">
        <v>907</v>
      </c>
      <c r="D544" s="11"/>
      <c r="E544" s="17" t="s">
        <v>57</v>
      </c>
      <c r="F544" s="10" t="s">
        <v>34</v>
      </c>
      <c r="G544" s="55" t="str">
        <f t="shared" si="14"/>
        <v>Obsolete</v>
      </c>
      <c r="H544" s="10"/>
      <c r="I544" s="13"/>
      <c r="J544" s="56"/>
      <c r="K544" s="57"/>
      <c r="M544" s="14"/>
      <c r="N544" s="14"/>
      <c r="O544" s="14"/>
      <c r="P544" s="14"/>
      <c r="Q544" s="14"/>
      <c r="R544" s="14"/>
      <c r="S544" s="14"/>
      <c r="T544" s="70"/>
      <c r="U544" s="76" t="s">
        <v>54</v>
      </c>
      <c r="V544" s="97"/>
      <c r="W544" s="76" t="s">
        <v>54</v>
      </c>
      <c r="X544" s="76"/>
      <c r="Y544" s="97"/>
      <c r="Z544" s="78"/>
      <c r="AA544" s="79" t="s">
        <v>55</v>
      </c>
      <c r="AB544" s="79" t="s">
        <v>37</v>
      </c>
      <c r="AC544" s="79" t="s">
        <v>37</v>
      </c>
      <c r="AD544" s="79"/>
      <c r="AE544" s="79"/>
      <c r="AF544" s="79"/>
      <c r="AG544" s="79"/>
      <c r="AH544" s="79"/>
      <c r="AI544" s="53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</row>
    <row r="545" spans="1:110" ht="13.8" x14ac:dyDescent="0.25">
      <c r="A545" s="24">
        <v>1302007</v>
      </c>
      <c r="B545" s="11" t="s">
        <v>882</v>
      </c>
      <c r="C545" s="12" t="s">
        <v>908</v>
      </c>
      <c r="D545" s="11"/>
      <c r="E545" s="17" t="s">
        <v>57</v>
      </c>
      <c r="F545" s="10" t="s">
        <v>34</v>
      </c>
      <c r="G545" s="55" t="str">
        <f t="shared" si="14"/>
        <v>Obsolete</v>
      </c>
      <c r="H545" s="10"/>
      <c r="I545" s="13"/>
      <c r="J545" s="56"/>
      <c r="K545" s="57"/>
      <c r="M545" s="14"/>
      <c r="N545" s="14"/>
      <c r="O545" s="14"/>
      <c r="P545" s="14"/>
      <c r="Q545" s="14"/>
      <c r="R545" s="14"/>
      <c r="S545" s="14"/>
      <c r="T545" s="70"/>
      <c r="U545" s="76" t="s">
        <v>54</v>
      </c>
      <c r="V545" s="97"/>
      <c r="W545" s="76" t="s">
        <v>54</v>
      </c>
      <c r="X545" s="76"/>
      <c r="Y545" s="97"/>
      <c r="Z545" s="78"/>
      <c r="AA545" s="79" t="s">
        <v>55</v>
      </c>
      <c r="AB545" s="79" t="s">
        <v>37</v>
      </c>
      <c r="AC545" s="79" t="s">
        <v>37</v>
      </c>
      <c r="AD545" s="79"/>
      <c r="AE545" s="79"/>
      <c r="AF545" s="79"/>
      <c r="AG545" s="79"/>
      <c r="AH545" s="79"/>
      <c r="AI545" s="53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</row>
    <row r="546" spans="1:110" ht="13.8" x14ac:dyDescent="0.25">
      <c r="A546" s="24">
        <v>1302008</v>
      </c>
      <c r="B546" s="26" t="s">
        <v>882</v>
      </c>
      <c r="C546" s="25" t="s">
        <v>909</v>
      </c>
      <c r="D546" s="26"/>
      <c r="E546" s="17" t="s">
        <v>57</v>
      </c>
      <c r="F546" s="10" t="s">
        <v>34</v>
      </c>
      <c r="G546" s="55" t="str">
        <f t="shared" si="14"/>
        <v>Obsolete</v>
      </c>
      <c r="H546" s="10"/>
      <c r="I546" s="13"/>
      <c r="J546" s="56"/>
      <c r="K546" s="57"/>
      <c r="M546" s="14"/>
      <c r="N546" s="14"/>
      <c r="O546" s="14"/>
      <c r="P546" s="14"/>
      <c r="Q546" s="14"/>
      <c r="R546" s="14"/>
      <c r="S546" s="14"/>
      <c r="T546" s="70"/>
      <c r="U546" s="76" t="s">
        <v>54</v>
      </c>
      <c r="V546" s="97"/>
      <c r="W546" s="76" t="s">
        <v>54</v>
      </c>
      <c r="X546" s="76"/>
      <c r="Y546" s="97"/>
      <c r="Z546" s="87"/>
      <c r="AA546" s="79"/>
      <c r="AB546" s="79" t="s">
        <v>37</v>
      </c>
      <c r="AC546" s="79" t="s">
        <v>37</v>
      </c>
      <c r="AD546" s="79"/>
      <c r="AE546" s="79"/>
      <c r="AF546" s="79"/>
      <c r="AG546" s="79"/>
      <c r="AH546" s="79"/>
      <c r="AI546" s="53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</row>
    <row r="547" spans="1:110" ht="13.8" x14ac:dyDescent="0.25">
      <c r="A547" s="24">
        <v>1302009</v>
      </c>
      <c r="B547" s="11" t="s">
        <v>882</v>
      </c>
      <c r="C547" s="12" t="s">
        <v>910</v>
      </c>
      <c r="D547" s="11"/>
      <c r="E547" s="17" t="s">
        <v>57</v>
      </c>
      <c r="F547" s="10" t="s">
        <v>34</v>
      </c>
      <c r="G547" s="55" t="str">
        <f t="shared" si="14"/>
        <v>Obsolete</v>
      </c>
      <c r="H547" s="10"/>
      <c r="I547" s="13"/>
      <c r="J547" s="56"/>
      <c r="K547" s="57"/>
      <c r="M547" s="14"/>
      <c r="N547" s="14"/>
      <c r="O547" s="14"/>
      <c r="P547" s="14"/>
      <c r="Q547" s="14"/>
      <c r="R547" s="14"/>
      <c r="S547" s="14"/>
      <c r="T547" s="70"/>
      <c r="U547" s="76" t="s">
        <v>54</v>
      </c>
      <c r="V547" s="97"/>
      <c r="W547" s="76" t="s">
        <v>54</v>
      </c>
      <c r="X547" s="76"/>
      <c r="Y547" s="97"/>
      <c r="Z547" s="78"/>
      <c r="AA547" s="79" t="s">
        <v>55</v>
      </c>
      <c r="AB547" s="79" t="s">
        <v>37</v>
      </c>
      <c r="AC547" s="79" t="s">
        <v>37</v>
      </c>
      <c r="AD547" s="79"/>
      <c r="AE547" s="79"/>
      <c r="AF547" s="79"/>
      <c r="AG547" s="79"/>
      <c r="AH547" s="79"/>
      <c r="AI547" s="53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</row>
    <row r="548" spans="1:110" ht="13.8" x14ac:dyDescent="0.25">
      <c r="A548" s="24">
        <v>1302010</v>
      </c>
      <c r="B548" s="11" t="s">
        <v>882</v>
      </c>
      <c r="C548" s="12" t="s">
        <v>911</v>
      </c>
      <c r="D548" s="11"/>
      <c r="E548" s="17" t="s">
        <v>57</v>
      </c>
      <c r="F548" s="10" t="s">
        <v>34</v>
      </c>
      <c r="G548" s="55" t="str">
        <f t="shared" si="14"/>
        <v>Obsolete</v>
      </c>
      <c r="H548" s="10"/>
      <c r="I548" s="13"/>
      <c r="J548" s="56"/>
      <c r="K548" s="57"/>
      <c r="M548" s="14"/>
      <c r="N548" s="14"/>
      <c r="O548" s="14"/>
      <c r="P548" s="14"/>
      <c r="Q548" s="14"/>
      <c r="R548" s="14"/>
      <c r="S548" s="14"/>
      <c r="T548" s="70"/>
      <c r="U548" s="76" t="s">
        <v>54</v>
      </c>
      <c r="V548" s="97"/>
      <c r="W548" s="76" t="s">
        <v>54</v>
      </c>
      <c r="X548" s="76"/>
      <c r="Y548" s="97"/>
      <c r="Z548" s="78"/>
      <c r="AA548" s="79" t="s">
        <v>55</v>
      </c>
      <c r="AB548" s="79" t="s">
        <v>37</v>
      </c>
      <c r="AC548" s="79" t="s">
        <v>37</v>
      </c>
      <c r="AD548" s="79"/>
      <c r="AE548" s="79"/>
      <c r="AF548" s="79"/>
      <c r="AG548" s="79"/>
      <c r="AH548" s="79"/>
      <c r="AI548" s="53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</row>
    <row r="549" spans="1:110" ht="13.8" x14ac:dyDescent="0.25">
      <c r="A549" s="24">
        <v>1302011</v>
      </c>
      <c r="B549" s="11" t="s">
        <v>882</v>
      </c>
      <c r="C549" s="25" t="s">
        <v>912</v>
      </c>
      <c r="D549" s="26"/>
      <c r="E549" s="17" t="s">
        <v>57</v>
      </c>
      <c r="F549" s="10" t="s">
        <v>34</v>
      </c>
      <c r="G549" s="55" t="str">
        <f t="shared" si="14"/>
        <v>Obsolete</v>
      </c>
      <c r="H549" s="10"/>
      <c r="I549" s="13"/>
      <c r="J549" s="56"/>
      <c r="K549" s="57"/>
      <c r="M549" s="14"/>
      <c r="N549" s="14"/>
      <c r="O549" s="14"/>
      <c r="P549" s="14"/>
      <c r="Q549" s="14"/>
      <c r="R549" s="14"/>
      <c r="S549" s="14"/>
      <c r="T549" s="70"/>
      <c r="U549" s="76" t="s">
        <v>54</v>
      </c>
      <c r="V549" s="97"/>
      <c r="W549" s="76" t="s">
        <v>54</v>
      </c>
      <c r="X549" s="76"/>
      <c r="Y549" s="97"/>
      <c r="Z549" s="87"/>
      <c r="AA549" s="79"/>
      <c r="AB549" s="79" t="s">
        <v>37</v>
      </c>
      <c r="AC549" s="79" t="s">
        <v>37</v>
      </c>
      <c r="AD549" s="79"/>
      <c r="AE549" s="79"/>
      <c r="AF549" s="79"/>
      <c r="AG549" s="79"/>
      <c r="AH549" s="79"/>
      <c r="AI549" s="53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</row>
    <row r="550" spans="1:110" ht="13.8" x14ac:dyDescent="0.25">
      <c r="A550" s="24">
        <v>1302012</v>
      </c>
      <c r="B550" s="11" t="s">
        <v>882</v>
      </c>
      <c r="C550" s="12" t="s">
        <v>913</v>
      </c>
      <c r="D550" s="11"/>
      <c r="E550" s="17" t="s">
        <v>57</v>
      </c>
      <c r="F550" s="10" t="s">
        <v>34</v>
      </c>
      <c r="G550" s="55" t="str">
        <f t="shared" si="14"/>
        <v>Obsolete</v>
      </c>
      <c r="H550" s="10"/>
      <c r="I550" s="13"/>
      <c r="J550" s="56"/>
      <c r="K550" s="57"/>
      <c r="M550" s="14"/>
      <c r="N550" s="14"/>
      <c r="O550" s="14"/>
      <c r="P550" s="14"/>
      <c r="Q550" s="14"/>
      <c r="R550" s="14"/>
      <c r="S550" s="14"/>
      <c r="T550" s="70"/>
      <c r="U550" s="76" t="s">
        <v>54</v>
      </c>
      <c r="V550" s="97"/>
      <c r="W550" s="76" t="s">
        <v>54</v>
      </c>
      <c r="X550" s="76"/>
      <c r="Y550" s="97"/>
      <c r="Z550" s="78"/>
      <c r="AA550" s="79" t="s">
        <v>55</v>
      </c>
      <c r="AB550" s="79" t="s">
        <v>37</v>
      </c>
      <c r="AC550" s="79" t="s">
        <v>37</v>
      </c>
      <c r="AD550" s="79"/>
      <c r="AE550" s="79"/>
      <c r="AF550" s="79"/>
      <c r="AG550" s="79"/>
      <c r="AH550" s="79"/>
      <c r="AI550" s="53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</row>
    <row r="551" spans="1:110" ht="13.8" x14ac:dyDescent="0.25">
      <c r="A551" s="24">
        <v>1302013</v>
      </c>
      <c r="B551" s="11" t="s">
        <v>882</v>
      </c>
      <c r="C551" s="25" t="s">
        <v>914</v>
      </c>
      <c r="D551" s="26"/>
      <c r="E551" s="17" t="s">
        <v>57</v>
      </c>
      <c r="F551" s="10" t="s">
        <v>34</v>
      </c>
      <c r="G551" s="55" t="str">
        <f t="shared" si="14"/>
        <v>Obsolete</v>
      </c>
      <c r="H551" s="10"/>
      <c r="I551" s="13"/>
      <c r="J551" s="56"/>
      <c r="K551" s="57"/>
      <c r="M551" s="14"/>
      <c r="N551" s="14"/>
      <c r="O551" s="14"/>
      <c r="P551" s="14"/>
      <c r="Q551" s="14"/>
      <c r="R551" s="14"/>
      <c r="S551" s="14"/>
      <c r="T551" s="70"/>
      <c r="U551" s="76" t="s">
        <v>54</v>
      </c>
      <c r="V551" s="97"/>
      <c r="W551" s="76" t="s">
        <v>54</v>
      </c>
      <c r="X551" s="76"/>
      <c r="Y551" s="97"/>
      <c r="Z551" s="87"/>
      <c r="AA551" s="79"/>
      <c r="AB551" s="79" t="s">
        <v>37</v>
      </c>
      <c r="AC551" s="79" t="s">
        <v>37</v>
      </c>
      <c r="AD551" s="79"/>
      <c r="AE551" s="79"/>
      <c r="AF551" s="79"/>
      <c r="AG551" s="79"/>
      <c r="AH551" s="79"/>
      <c r="AI551" s="53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</row>
    <row r="552" spans="1:110" ht="13.8" x14ac:dyDescent="0.25">
      <c r="A552" s="24">
        <v>1302014</v>
      </c>
      <c r="B552" s="11" t="s">
        <v>882</v>
      </c>
      <c r="C552" s="25" t="s">
        <v>915</v>
      </c>
      <c r="D552" s="26"/>
      <c r="E552" s="17" t="s">
        <v>57</v>
      </c>
      <c r="F552" s="10" t="s">
        <v>34</v>
      </c>
      <c r="G552" s="55" t="str">
        <f t="shared" si="14"/>
        <v>Obsolete</v>
      </c>
      <c r="H552" s="10"/>
      <c r="I552" s="13"/>
      <c r="J552" s="56"/>
      <c r="K552" s="57"/>
      <c r="M552" s="14"/>
      <c r="N552" s="14"/>
      <c r="O552" s="14"/>
      <c r="P552" s="14"/>
      <c r="Q552" s="14"/>
      <c r="R552" s="14"/>
      <c r="S552" s="14"/>
      <c r="T552" s="70"/>
      <c r="U552" s="76" t="s">
        <v>54</v>
      </c>
      <c r="V552" s="97"/>
      <c r="W552" s="76" t="s">
        <v>54</v>
      </c>
      <c r="X552" s="76"/>
      <c r="Y552" s="97"/>
      <c r="Z552" s="87"/>
      <c r="AA552" s="79"/>
      <c r="AB552" s="79" t="s">
        <v>37</v>
      </c>
      <c r="AC552" s="79" t="s">
        <v>37</v>
      </c>
      <c r="AD552" s="79"/>
      <c r="AE552" s="79"/>
      <c r="AF552" s="79"/>
      <c r="AG552" s="79"/>
      <c r="AH552" s="79"/>
      <c r="AI552" s="53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</row>
    <row r="553" spans="1:110" ht="13.8" x14ac:dyDescent="0.25">
      <c r="A553" s="24">
        <v>1302015</v>
      </c>
      <c r="B553" s="26" t="s">
        <v>567</v>
      </c>
      <c r="C553" s="25" t="s">
        <v>916</v>
      </c>
      <c r="D553" s="26"/>
      <c r="E553" s="17" t="s">
        <v>57</v>
      </c>
      <c r="F553" s="10" t="s">
        <v>34</v>
      </c>
      <c r="G553" s="55" t="str">
        <f t="shared" si="14"/>
        <v>Obsolete</v>
      </c>
      <c r="H553" s="10"/>
      <c r="I553" s="13"/>
      <c r="J553" s="56"/>
      <c r="K553" s="57"/>
      <c r="M553" s="14"/>
      <c r="N553" s="14"/>
      <c r="O553" s="14"/>
      <c r="P553" s="14"/>
      <c r="Q553" s="14"/>
      <c r="R553" s="14"/>
      <c r="S553" s="14"/>
      <c r="T553" s="70"/>
      <c r="U553" s="76" t="s">
        <v>54</v>
      </c>
      <c r="V553" s="97"/>
      <c r="W553" s="76" t="s">
        <v>54</v>
      </c>
      <c r="X553" s="76"/>
      <c r="Y553" s="97"/>
      <c r="Z553" s="87"/>
      <c r="AA553" s="79"/>
      <c r="AB553" s="79" t="s">
        <v>37</v>
      </c>
      <c r="AC553" s="79" t="s">
        <v>37</v>
      </c>
      <c r="AD553" s="79"/>
      <c r="AE553" s="79"/>
      <c r="AF553" s="79"/>
      <c r="AG553" s="79"/>
      <c r="AH553" s="79"/>
      <c r="AI553" s="53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</row>
    <row r="554" spans="1:110" ht="13.8" x14ac:dyDescent="0.25">
      <c r="A554" s="24">
        <v>1302016</v>
      </c>
      <c r="B554" s="26" t="s">
        <v>567</v>
      </c>
      <c r="C554" s="25" t="s">
        <v>917</v>
      </c>
      <c r="D554" s="26"/>
      <c r="E554" s="17" t="s">
        <v>57</v>
      </c>
      <c r="F554" s="10" t="s">
        <v>34</v>
      </c>
      <c r="G554" s="55" t="str">
        <f t="shared" si="14"/>
        <v>Obsolete</v>
      </c>
      <c r="H554" s="10"/>
      <c r="I554" s="13"/>
      <c r="J554" s="56"/>
      <c r="K554" s="57"/>
      <c r="M554" s="14"/>
      <c r="N554" s="14"/>
      <c r="O554" s="14"/>
      <c r="P554" s="14"/>
      <c r="Q554" s="14"/>
      <c r="R554" s="14"/>
      <c r="S554" s="14"/>
      <c r="T554" s="70"/>
      <c r="U554" s="76" t="s">
        <v>54</v>
      </c>
      <c r="V554" s="97"/>
      <c r="W554" s="76" t="s">
        <v>54</v>
      </c>
      <c r="X554" s="76"/>
      <c r="Y554" s="97"/>
      <c r="Z554" s="87"/>
      <c r="AA554" s="79"/>
      <c r="AB554" s="79" t="s">
        <v>37</v>
      </c>
      <c r="AC554" s="79" t="s">
        <v>37</v>
      </c>
      <c r="AD554" s="79"/>
      <c r="AE554" s="79"/>
      <c r="AF554" s="79"/>
      <c r="AG554" s="79"/>
      <c r="AH554" s="79"/>
      <c r="AI554" s="53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</row>
    <row r="555" spans="1:110" ht="13.8" x14ac:dyDescent="0.25">
      <c r="A555" s="24">
        <v>1302017</v>
      </c>
      <c r="B555" s="26"/>
      <c r="C555" s="25" t="s">
        <v>918</v>
      </c>
      <c r="D555" s="26"/>
      <c r="E555" s="17" t="s">
        <v>57</v>
      </c>
      <c r="F555" s="10" t="s">
        <v>34</v>
      </c>
      <c r="G555" s="55" t="str">
        <f t="shared" si="14"/>
        <v>Obsolete</v>
      </c>
      <c r="H555" s="10"/>
      <c r="I555" s="13"/>
      <c r="J555" s="56"/>
      <c r="K555" s="57"/>
      <c r="M555" s="14"/>
      <c r="N555" s="14"/>
      <c r="O555" s="14"/>
      <c r="P555" s="14"/>
      <c r="Q555" s="14"/>
      <c r="R555" s="14"/>
      <c r="S555" s="14"/>
      <c r="T555" s="70"/>
      <c r="U555" s="76" t="s">
        <v>54</v>
      </c>
      <c r="V555" s="97"/>
      <c r="W555" s="76" t="s">
        <v>54</v>
      </c>
      <c r="X555" s="76"/>
      <c r="Y555" s="97"/>
      <c r="Z555" s="87"/>
      <c r="AA555" s="79"/>
      <c r="AB555" s="79" t="s">
        <v>37</v>
      </c>
      <c r="AC555" s="79" t="s">
        <v>37</v>
      </c>
      <c r="AD555" s="79"/>
      <c r="AE555" s="79"/>
      <c r="AF555" s="79"/>
      <c r="AG555" s="79"/>
      <c r="AH555" s="79"/>
      <c r="AI555" s="53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</row>
    <row r="556" spans="1:110" ht="13.8" x14ac:dyDescent="0.25">
      <c r="A556" s="24">
        <v>1302018</v>
      </c>
      <c r="B556" s="26" t="s">
        <v>882</v>
      </c>
      <c r="C556" s="25" t="s">
        <v>919</v>
      </c>
      <c r="D556" s="26"/>
      <c r="E556" s="10" t="s">
        <v>577</v>
      </c>
      <c r="F556" s="10" t="s">
        <v>34</v>
      </c>
      <c r="G556" s="55" t="str">
        <f t="shared" si="14"/>
        <v>Obsolete</v>
      </c>
      <c r="H556" s="10"/>
      <c r="I556" s="13" t="s">
        <v>920</v>
      </c>
      <c r="J556" s="56"/>
      <c r="K556" s="57"/>
      <c r="M556" s="14">
        <v>110.35</v>
      </c>
      <c r="N556" s="14"/>
      <c r="O556" s="14"/>
      <c r="P556" s="14"/>
      <c r="Q556" s="14"/>
      <c r="R556" s="14"/>
      <c r="S556" s="14"/>
      <c r="T556" s="70"/>
      <c r="U556" s="76" t="s">
        <v>54</v>
      </c>
      <c r="V556" s="97"/>
      <c r="W556" s="76" t="s">
        <v>54</v>
      </c>
      <c r="X556" s="76"/>
      <c r="Y556" s="97"/>
      <c r="Z556" s="87"/>
      <c r="AA556" s="79" t="s">
        <v>64</v>
      </c>
      <c r="AB556" s="79" t="s">
        <v>37</v>
      </c>
      <c r="AC556" s="79" t="s">
        <v>37</v>
      </c>
      <c r="AD556" s="79"/>
      <c r="AE556" s="79" t="s">
        <v>579</v>
      </c>
      <c r="AF556" s="79" t="s">
        <v>580</v>
      </c>
      <c r="AG556" s="105" t="s">
        <v>581</v>
      </c>
      <c r="AH556" s="79"/>
      <c r="AI556" s="53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</row>
    <row r="557" spans="1:110" ht="20.399999999999999" x14ac:dyDescent="0.25">
      <c r="A557" s="24">
        <v>1302019</v>
      </c>
      <c r="B557" s="26" t="s">
        <v>882</v>
      </c>
      <c r="C557" s="25" t="s">
        <v>921</v>
      </c>
      <c r="D557" s="26"/>
      <c r="E557" s="10" t="s">
        <v>614</v>
      </c>
      <c r="F557" s="10" t="s">
        <v>607</v>
      </c>
      <c r="G557" s="55">
        <f t="shared" si="14"/>
        <v>0</v>
      </c>
      <c r="H557" s="10">
        <v>4</v>
      </c>
      <c r="I557" s="39">
        <v>1.62</v>
      </c>
      <c r="J557" s="56"/>
      <c r="K557" s="57"/>
      <c r="M557" s="14"/>
      <c r="N557" s="14"/>
      <c r="O557" s="14"/>
      <c r="P557" s="14"/>
      <c r="Q557" s="14"/>
      <c r="R557" s="14"/>
      <c r="S557" s="14"/>
      <c r="T557" s="70"/>
      <c r="U557" s="76">
        <v>0</v>
      </c>
      <c r="V557" s="97">
        <v>0</v>
      </c>
      <c r="W557" s="76">
        <v>0</v>
      </c>
      <c r="X557" s="76">
        <v>0</v>
      </c>
      <c r="Y557" s="97" t="s">
        <v>35</v>
      </c>
      <c r="Z557" s="87">
        <v>1.62</v>
      </c>
      <c r="AA557" s="79" t="s">
        <v>272</v>
      </c>
      <c r="AB557" s="79" t="s">
        <v>35</v>
      </c>
      <c r="AC557" s="79" t="s">
        <v>35</v>
      </c>
      <c r="AD557" s="79"/>
      <c r="AE557" s="79"/>
      <c r="AF557" s="79"/>
      <c r="AG557" s="109"/>
      <c r="AH557" s="79"/>
      <c r="AI557" s="53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</row>
    <row r="558" spans="1:110" ht="13.8" x14ac:dyDescent="0.25">
      <c r="A558" s="24">
        <v>1302020</v>
      </c>
      <c r="B558" s="26" t="s">
        <v>882</v>
      </c>
      <c r="C558" s="25" t="s">
        <v>922</v>
      </c>
      <c r="D558" s="26"/>
      <c r="E558" s="10" t="s">
        <v>617</v>
      </c>
      <c r="F558" s="10" t="s">
        <v>618</v>
      </c>
      <c r="G558" s="55">
        <f t="shared" si="14"/>
        <v>40.570824524312897</v>
      </c>
      <c r="H558" s="10">
        <v>2</v>
      </c>
      <c r="I558" s="36">
        <v>0.94599999999999995</v>
      </c>
      <c r="J558" s="56"/>
      <c r="K558" s="57"/>
      <c r="M558" s="14"/>
      <c r="N558" s="14"/>
      <c r="O558" s="14"/>
      <c r="P558" s="14"/>
      <c r="Q558" s="14"/>
      <c r="R558" s="14"/>
      <c r="S558" s="14"/>
      <c r="T558" s="70"/>
      <c r="U558" s="76">
        <v>40.570824524312897</v>
      </c>
      <c r="V558" s="76">
        <v>0</v>
      </c>
      <c r="W558" s="76">
        <v>40.570824524312897</v>
      </c>
      <c r="X558" s="76">
        <v>0</v>
      </c>
      <c r="Y558" s="97"/>
      <c r="Z558" s="107">
        <v>0.94599999999999995</v>
      </c>
      <c r="AA558" s="79" t="s">
        <v>121</v>
      </c>
      <c r="AB558" s="79" t="s">
        <v>35</v>
      </c>
      <c r="AC558" s="79"/>
      <c r="AD558" s="79" t="s">
        <v>38</v>
      </c>
      <c r="AE558" s="79" t="s">
        <v>619</v>
      </c>
      <c r="AF558" s="106"/>
      <c r="AG558" s="108" t="s">
        <v>620</v>
      </c>
      <c r="AH558" s="79"/>
      <c r="AI558" s="53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</row>
    <row r="559" spans="1:110" ht="13.8" x14ac:dyDescent="0.25">
      <c r="A559" s="24">
        <v>1302021</v>
      </c>
      <c r="B559" s="26" t="s">
        <v>882</v>
      </c>
      <c r="C559" s="25" t="s">
        <v>883</v>
      </c>
      <c r="D559" s="26"/>
      <c r="E559" s="10" t="s">
        <v>289</v>
      </c>
      <c r="F559" s="10"/>
      <c r="G559" s="55"/>
      <c r="H559" s="10"/>
      <c r="I559" s="36"/>
      <c r="J559" s="56"/>
      <c r="K559" s="57"/>
      <c r="M559" s="14"/>
      <c r="N559" s="14"/>
      <c r="O559" s="14"/>
      <c r="P559" s="14"/>
      <c r="Q559" s="14"/>
      <c r="R559" s="14"/>
      <c r="S559" s="14"/>
      <c r="T559" s="70"/>
      <c r="U559" s="76"/>
      <c r="V559" s="76"/>
      <c r="W559" s="76"/>
      <c r="X559" s="76"/>
      <c r="Y559" s="97"/>
      <c r="Z559" s="107"/>
      <c r="AA559" s="79"/>
      <c r="AB559" s="79"/>
      <c r="AC559" s="79"/>
      <c r="AD559" s="79"/>
      <c r="AE559" s="79"/>
      <c r="AF559" s="106"/>
      <c r="AG559" s="108"/>
      <c r="AH559" s="79"/>
      <c r="AI559" s="53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</row>
    <row r="560" spans="1:110" ht="13.8" x14ac:dyDescent="0.25">
      <c r="A560" s="24">
        <v>1302022</v>
      </c>
      <c r="B560" s="26" t="s">
        <v>882</v>
      </c>
      <c r="C560" s="25" t="s">
        <v>923</v>
      </c>
      <c r="D560" s="26"/>
      <c r="E560" s="10" t="s">
        <v>742</v>
      </c>
      <c r="F560" s="10"/>
      <c r="G560" s="55"/>
      <c r="H560" s="10"/>
      <c r="I560" s="36"/>
      <c r="J560" s="56"/>
      <c r="K560" s="57"/>
      <c r="M560" s="14"/>
      <c r="N560" s="14"/>
      <c r="O560" s="14"/>
      <c r="P560" s="14"/>
      <c r="Q560" s="14"/>
      <c r="R560" s="14"/>
      <c r="S560" s="14"/>
      <c r="T560" s="70"/>
      <c r="U560" s="76"/>
      <c r="V560" s="76"/>
      <c r="W560" s="76"/>
      <c r="X560" s="76"/>
      <c r="Y560" s="97"/>
      <c r="Z560" s="107"/>
      <c r="AA560" s="79"/>
      <c r="AB560" s="79"/>
      <c r="AC560" s="79"/>
      <c r="AD560" s="79"/>
      <c r="AE560" s="79"/>
      <c r="AF560" s="106"/>
      <c r="AG560" s="108"/>
      <c r="AH560" s="79"/>
      <c r="AI560" s="53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</row>
    <row r="561" spans="1:110" ht="13.8" x14ac:dyDescent="0.25">
      <c r="A561" s="24">
        <v>1302021</v>
      </c>
      <c r="B561" s="26" t="s">
        <v>882</v>
      </c>
      <c r="C561" s="25" t="s">
        <v>924</v>
      </c>
      <c r="D561" s="26"/>
      <c r="E561" s="10" t="s">
        <v>617</v>
      </c>
      <c r="F561" s="10" t="s">
        <v>618</v>
      </c>
      <c r="G561" s="55">
        <f>IF(U561="Obsolete",U561,U561+V561)</f>
        <v>66.739999999999995</v>
      </c>
      <c r="H561" s="10">
        <v>2</v>
      </c>
      <c r="I561" s="39">
        <v>0.5</v>
      </c>
      <c r="J561" s="56"/>
      <c r="K561" s="57"/>
      <c r="M561" s="14"/>
      <c r="N561" s="14"/>
      <c r="O561" s="14"/>
      <c r="P561" s="14"/>
      <c r="Q561" s="14"/>
      <c r="R561" s="14"/>
      <c r="S561" s="14"/>
      <c r="T561" s="70"/>
      <c r="U561" s="76">
        <v>66.739999999999995</v>
      </c>
      <c r="V561" s="76">
        <v>0</v>
      </c>
      <c r="W561" s="76">
        <v>66.739999999999995</v>
      </c>
      <c r="X561" s="76">
        <v>0</v>
      </c>
      <c r="Y561" s="97"/>
      <c r="Z561" s="107">
        <v>0.5</v>
      </c>
      <c r="AA561" s="79" t="s">
        <v>121</v>
      </c>
      <c r="AB561" s="79" t="s">
        <v>35</v>
      </c>
      <c r="AC561" s="79"/>
      <c r="AD561" s="79" t="s">
        <v>38</v>
      </c>
      <c r="AE561" s="79" t="s">
        <v>619</v>
      </c>
      <c r="AF561" s="106"/>
      <c r="AG561" s="108" t="s">
        <v>620</v>
      </c>
      <c r="AH561" s="79"/>
      <c r="AI561" s="53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</row>
    <row r="562" spans="1:110" ht="20.399999999999999" x14ac:dyDescent="0.25">
      <c r="A562" s="24">
        <v>1302023</v>
      </c>
      <c r="B562" s="26" t="s">
        <v>882</v>
      </c>
      <c r="C562" s="25" t="s">
        <v>1559</v>
      </c>
      <c r="D562" s="26"/>
      <c r="E562" s="10" t="s">
        <v>577</v>
      </c>
      <c r="F562" s="10" t="s">
        <v>623</v>
      </c>
      <c r="G562" s="55">
        <f>IF(U562="Obsolete",U562,U562+V562)</f>
        <v>132.69999999999999</v>
      </c>
      <c r="H562" s="10">
        <v>14</v>
      </c>
      <c r="I562" s="39">
        <v>5</v>
      </c>
      <c r="J562" s="56"/>
      <c r="K562" s="57"/>
      <c r="M562" s="14">
        <v>132.69999999999999</v>
      </c>
      <c r="N562" s="14"/>
      <c r="O562" s="14"/>
      <c r="P562" s="14"/>
      <c r="Q562" s="14"/>
      <c r="R562" s="14"/>
      <c r="S562" s="14"/>
      <c r="T562" s="70"/>
      <c r="U562" s="76">
        <v>132.69999999999999</v>
      </c>
      <c r="V562" s="76">
        <v>0</v>
      </c>
      <c r="W562" s="76">
        <v>132.69999999999999</v>
      </c>
      <c r="X562" s="76">
        <v>0</v>
      </c>
      <c r="Y562" s="97" t="s">
        <v>37</v>
      </c>
      <c r="Z562" s="107">
        <v>5</v>
      </c>
      <c r="AA562" s="79" t="s">
        <v>284</v>
      </c>
      <c r="AB562" s="79" t="s">
        <v>35</v>
      </c>
      <c r="AC562" s="79" t="s">
        <v>37</v>
      </c>
      <c r="AD562" s="79" t="s">
        <v>38</v>
      </c>
      <c r="AE562" s="79" t="s">
        <v>1556</v>
      </c>
      <c r="AF562" s="106" t="s">
        <v>1557</v>
      </c>
      <c r="AG562" s="79" t="s">
        <v>1558</v>
      </c>
      <c r="AH562" s="79"/>
      <c r="AI562" s="53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</row>
    <row r="563" spans="1:110" ht="13.8" x14ac:dyDescent="0.25">
      <c r="A563" s="24">
        <v>1302024</v>
      </c>
      <c r="B563" s="26" t="s">
        <v>882</v>
      </c>
      <c r="C563" s="25" t="s">
        <v>1615</v>
      </c>
      <c r="D563" s="26"/>
      <c r="E563" s="10" t="s">
        <v>1612</v>
      </c>
      <c r="F563" s="10"/>
      <c r="G563" s="55">
        <f>IF(U563="Obsolete",U563,U563+V563)</f>
        <v>0</v>
      </c>
      <c r="H563" s="10"/>
      <c r="I563" s="39"/>
      <c r="J563" s="56"/>
      <c r="K563" s="57"/>
      <c r="M563" s="14"/>
      <c r="N563" s="14"/>
      <c r="O563" s="14"/>
      <c r="P563" s="14"/>
      <c r="Q563" s="14"/>
      <c r="R563" s="14"/>
      <c r="S563" s="14"/>
      <c r="T563" s="70"/>
      <c r="U563" s="76"/>
      <c r="V563" s="76"/>
      <c r="W563" s="76"/>
      <c r="X563" s="76"/>
      <c r="Y563" s="97"/>
      <c r="Z563" s="107"/>
      <c r="AA563" s="79"/>
      <c r="AB563" s="79"/>
      <c r="AC563" s="79"/>
      <c r="AD563" s="79"/>
      <c r="AE563" s="79"/>
      <c r="AF563" s="106"/>
      <c r="AG563" s="79"/>
      <c r="AH563" s="79"/>
      <c r="AI563" s="53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</row>
    <row r="564" spans="1:110" ht="20.399999999999999" x14ac:dyDescent="0.25">
      <c r="A564" s="24">
        <v>1304001</v>
      </c>
      <c r="B564" s="26" t="s">
        <v>925</v>
      </c>
      <c r="C564" s="25" t="s">
        <v>926</v>
      </c>
      <c r="D564" s="26"/>
      <c r="E564" s="10" t="s">
        <v>289</v>
      </c>
      <c r="F564" s="10"/>
      <c r="G564" s="55"/>
      <c r="H564" s="10"/>
      <c r="I564" s="39"/>
      <c r="J564" s="56"/>
      <c r="K564" s="57"/>
      <c r="M564" s="14"/>
      <c r="N564" s="14"/>
      <c r="O564" s="14"/>
      <c r="P564" s="14"/>
      <c r="Q564" s="14"/>
      <c r="R564" s="14"/>
      <c r="S564" s="14"/>
      <c r="T564" s="70"/>
      <c r="U564" s="76"/>
      <c r="V564" s="76"/>
      <c r="W564" s="76"/>
      <c r="X564" s="76"/>
      <c r="Y564" s="97"/>
      <c r="Z564" s="107"/>
      <c r="AA564" s="79"/>
      <c r="AB564" s="79"/>
      <c r="AC564" s="79"/>
      <c r="AD564" s="79"/>
      <c r="AE564" s="79"/>
      <c r="AF564" s="106"/>
      <c r="AG564" s="108"/>
      <c r="AH564" s="79"/>
      <c r="AI564" s="53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</row>
    <row r="565" spans="1:110" ht="13.8" x14ac:dyDescent="0.25">
      <c r="A565" s="10">
        <v>1305001</v>
      </c>
      <c r="B565" s="11"/>
      <c r="C565" s="12" t="s">
        <v>927</v>
      </c>
      <c r="D565" s="11"/>
      <c r="E565" s="10" t="s">
        <v>55</v>
      </c>
      <c r="F565" s="10" t="s">
        <v>34</v>
      </c>
      <c r="G565" s="55" t="str">
        <f>IF(U565="Obsolete",U565,U565+V565)</f>
        <v>Obsolete</v>
      </c>
      <c r="H565" s="10">
        <v>1</v>
      </c>
      <c r="I565" s="13"/>
      <c r="J565" s="56"/>
      <c r="K565" s="57"/>
      <c r="M565" s="14">
        <v>29.33</v>
      </c>
      <c r="N565" s="14"/>
      <c r="O565" s="14"/>
      <c r="P565" s="14"/>
      <c r="Q565" s="14"/>
      <c r="R565" s="14"/>
      <c r="S565" s="14"/>
      <c r="T565" s="70"/>
      <c r="U565" s="76" t="s">
        <v>54</v>
      </c>
      <c r="V565" s="97"/>
      <c r="W565" s="76" t="s">
        <v>54</v>
      </c>
      <c r="X565" s="76"/>
      <c r="Y565" s="97"/>
      <c r="Z565" s="78"/>
      <c r="AA565" s="79" t="s">
        <v>55</v>
      </c>
      <c r="AB565" s="79" t="s">
        <v>37</v>
      </c>
      <c r="AC565" s="79" t="s">
        <v>37</v>
      </c>
      <c r="AD565" s="79"/>
      <c r="AE565" s="79"/>
      <c r="AF565" s="79"/>
      <c r="AG565" s="79"/>
      <c r="AH565" s="79"/>
      <c r="AI565" s="53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</row>
    <row r="566" spans="1:110" ht="13.8" x14ac:dyDescent="0.25">
      <c r="A566" s="10">
        <v>1306001</v>
      </c>
      <c r="B566" s="11"/>
      <c r="C566" s="12" t="s">
        <v>928</v>
      </c>
      <c r="D566" s="11"/>
      <c r="E566" s="10" t="s">
        <v>929</v>
      </c>
      <c r="F566" s="10" t="s">
        <v>930</v>
      </c>
      <c r="G566" s="55" t="str">
        <f>IF(U566="Obsolete",U566,U566+V566)</f>
        <v>Obsolete</v>
      </c>
      <c r="H566" s="10">
        <v>1</v>
      </c>
      <c r="I566" s="13"/>
      <c r="J566" s="56"/>
      <c r="K566" s="57"/>
      <c r="M566" s="14"/>
      <c r="N566" s="14"/>
      <c r="O566" s="14"/>
      <c r="P566" s="14"/>
      <c r="Q566" s="14"/>
      <c r="R566" s="14"/>
      <c r="S566" s="14"/>
      <c r="T566" s="70"/>
      <c r="U566" s="76" t="s">
        <v>54</v>
      </c>
      <c r="V566" s="97"/>
      <c r="W566" s="76" t="s">
        <v>54</v>
      </c>
      <c r="X566" s="76"/>
      <c r="Y566" s="97"/>
      <c r="Z566" s="78"/>
      <c r="AA566" s="79" t="s">
        <v>36</v>
      </c>
      <c r="AB566" s="79" t="s">
        <v>37</v>
      </c>
      <c r="AC566" s="79" t="s">
        <v>37</v>
      </c>
      <c r="AD566" s="79"/>
      <c r="AE566" s="79"/>
      <c r="AF566" s="79"/>
      <c r="AG566" s="79"/>
      <c r="AH566" s="79"/>
      <c r="AI566" s="53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</row>
    <row r="567" spans="1:110" ht="13.8" x14ac:dyDescent="0.25">
      <c r="A567" s="10">
        <v>1306002</v>
      </c>
      <c r="B567" s="11" t="s">
        <v>931</v>
      </c>
      <c r="C567" s="12" t="s">
        <v>932</v>
      </c>
      <c r="D567" s="11"/>
      <c r="E567" s="10" t="s">
        <v>614</v>
      </c>
      <c r="F567" s="10" t="s">
        <v>607</v>
      </c>
      <c r="G567" s="55">
        <f>IF(U567="Obsolete",U567,U567+V567)</f>
        <v>0</v>
      </c>
      <c r="H567" s="10">
        <v>4</v>
      </c>
      <c r="I567" s="13"/>
      <c r="J567" s="56"/>
      <c r="K567" s="57"/>
      <c r="M567" s="14"/>
      <c r="N567" s="14"/>
      <c r="O567" s="14"/>
      <c r="P567" s="14"/>
      <c r="Q567" s="14"/>
      <c r="R567" s="14"/>
      <c r="S567" s="14"/>
      <c r="T567" s="70"/>
      <c r="U567" s="76">
        <v>0</v>
      </c>
      <c r="V567" s="97">
        <v>0</v>
      </c>
      <c r="W567" s="76">
        <v>0</v>
      </c>
      <c r="X567" s="76">
        <v>0</v>
      </c>
      <c r="Y567" s="97" t="s">
        <v>35</v>
      </c>
      <c r="Z567" s="87">
        <v>1.62</v>
      </c>
      <c r="AA567" s="79" t="s">
        <v>272</v>
      </c>
      <c r="AB567" s="79" t="s">
        <v>35</v>
      </c>
      <c r="AC567" s="79" t="s">
        <v>35</v>
      </c>
      <c r="AD567" s="79"/>
      <c r="AE567" s="79"/>
      <c r="AF567" s="79"/>
      <c r="AG567" s="109"/>
      <c r="AH567" s="79"/>
      <c r="AI567" s="53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</row>
    <row r="568" spans="1:110" ht="13.8" x14ac:dyDescent="0.25">
      <c r="A568" s="10">
        <v>1306003</v>
      </c>
      <c r="B568" s="11" t="s">
        <v>931</v>
      </c>
      <c r="C568" s="12" t="s">
        <v>933</v>
      </c>
      <c r="D568" s="11"/>
      <c r="E568" s="10" t="s">
        <v>742</v>
      </c>
      <c r="F568" s="10"/>
      <c r="G568" s="55"/>
      <c r="H568" s="10"/>
      <c r="I568" s="13"/>
      <c r="J568" s="56"/>
      <c r="K568" s="57"/>
      <c r="M568" s="14"/>
      <c r="N568" s="14"/>
      <c r="O568" s="14"/>
      <c r="P568" s="14"/>
      <c r="Q568" s="14"/>
      <c r="R568" s="14"/>
      <c r="S568" s="14"/>
      <c r="T568" s="70"/>
      <c r="U568" s="76"/>
      <c r="V568" s="97"/>
      <c r="W568" s="76"/>
      <c r="X568" s="76"/>
      <c r="Y568" s="97"/>
      <c r="Z568" s="87"/>
      <c r="AA568" s="79"/>
      <c r="AB568" s="79"/>
      <c r="AC568" s="79"/>
      <c r="AD568" s="79"/>
      <c r="AE568" s="79"/>
      <c r="AF568" s="79"/>
      <c r="AG568" s="109"/>
      <c r="AH568" s="79"/>
      <c r="AI568" s="53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</row>
    <row r="569" spans="1:110" ht="20.399999999999999" x14ac:dyDescent="0.25">
      <c r="A569" s="24">
        <v>1401001</v>
      </c>
      <c r="B569" s="26" t="s">
        <v>934</v>
      </c>
      <c r="C569" s="25" t="s">
        <v>935</v>
      </c>
      <c r="D569" s="26"/>
      <c r="E569" s="10" t="s">
        <v>936</v>
      </c>
      <c r="F569" s="10" t="s">
        <v>557</v>
      </c>
      <c r="G569" s="55">
        <f t="shared" ref="G569:G632" si="15">IF(U569="Obsolete",U569,U569+V569)</f>
        <v>0.48109999999999997</v>
      </c>
      <c r="H569" s="10">
        <v>4</v>
      </c>
      <c r="I569" s="13">
        <v>5760</v>
      </c>
      <c r="J569" s="56"/>
      <c r="K569" s="57"/>
      <c r="M569" s="14"/>
      <c r="N569" s="14"/>
      <c r="O569" s="14"/>
      <c r="P569" s="14"/>
      <c r="Q569" s="14"/>
      <c r="R569" s="14"/>
      <c r="S569" s="14"/>
      <c r="T569" s="70"/>
      <c r="U569" s="76">
        <v>0.4511</v>
      </c>
      <c r="V569" s="76">
        <v>0.03</v>
      </c>
      <c r="W569" s="76">
        <v>0.4511</v>
      </c>
      <c r="X569" s="76">
        <v>0.03</v>
      </c>
      <c r="Y569" s="77" t="s">
        <v>35</v>
      </c>
      <c r="Z569" s="87">
        <v>720</v>
      </c>
      <c r="AA569" s="79" t="s">
        <v>36</v>
      </c>
      <c r="AB569" s="79" t="s">
        <v>35</v>
      </c>
      <c r="AC569" s="79" t="s">
        <v>37</v>
      </c>
      <c r="AD569" s="79" t="s">
        <v>38</v>
      </c>
      <c r="AE569" s="79" t="s">
        <v>937</v>
      </c>
      <c r="AF569" s="79" t="s">
        <v>938</v>
      </c>
      <c r="AG569" s="79" t="s">
        <v>939</v>
      </c>
      <c r="AH569" s="79"/>
      <c r="AI569" s="53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</row>
    <row r="570" spans="1:110" ht="13.8" x14ac:dyDescent="0.25">
      <c r="A570" s="10">
        <v>1401002</v>
      </c>
      <c r="B570" s="11" t="s">
        <v>940</v>
      </c>
      <c r="C570" s="12" t="s">
        <v>941</v>
      </c>
      <c r="D570" s="11"/>
      <c r="E570" s="10" t="s">
        <v>942</v>
      </c>
      <c r="F570" s="10" t="s">
        <v>557</v>
      </c>
      <c r="G570" s="55" t="str">
        <f t="shared" si="15"/>
        <v>Obsolete</v>
      </c>
      <c r="H570" s="10">
        <v>4</v>
      </c>
      <c r="I570" s="13"/>
      <c r="J570" s="56"/>
      <c r="K570" s="57"/>
      <c r="M570" s="14"/>
      <c r="N570" s="14"/>
      <c r="O570" s="14"/>
      <c r="P570" s="14"/>
      <c r="Q570" s="14"/>
      <c r="R570" s="14"/>
      <c r="S570" s="14"/>
      <c r="T570" s="70"/>
      <c r="U570" s="76" t="s">
        <v>54</v>
      </c>
      <c r="V570" s="97"/>
      <c r="W570" s="76" t="s">
        <v>54</v>
      </c>
      <c r="X570" s="76"/>
      <c r="Y570" s="97"/>
      <c r="Z570" s="78"/>
      <c r="AA570" s="79" t="s">
        <v>36</v>
      </c>
      <c r="AB570" s="79" t="s">
        <v>37</v>
      </c>
      <c r="AC570" s="79" t="s">
        <v>37</v>
      </c>
      <c r="AD570" s="79"/>
      <c r="AE570" s="79"/>
      <c r="AF570" s="79"/>
      <c r="AG570" s="79"/>
      <c r="AH570" s="79"/>
      <c r="AI570" s="53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</row>
    <row r="571" spans="1:110" ht="20.399999999999999" x14ac:dyDescent="0.25">
      <c r="A571" s="10">
        <v>1401003</v>
      </c>
      <c r="B571" s="11" t="s">
        <v>940</v>
      </c>
      <c r="C571" s="25" t="s">
        <v>943</v>
      </c>
      <c r="D571" s="11"/>
      <c r="E571" s="10" t="s">
        <v>942</v>
      </c>
      <c r="F571" s="10" t="s">
        <v>557</v>
      </c>
      <c r="G571" s="55" t="str">
        <f t="shared" si="15"/>
        <v>Obsolete</v>
      </c>
      <c r="H571" s="10">
        <v>4</v>
      </c>
      <c r="I571" s="13"/>
      <c r="J571" s="56"/>
      <c r="K571" s="57"/>
      <c r="M571" s="14"/>
      <c r="N571" s="14"/>
      <c r="O571" s="14"/>
      <c r="P571" s="14"/>
      <c r="Q571" s="14"/>
      <c r="R571" s="14"/>
      <c r="S571" s="14"/>
      <c r="T571" s="70"/>
      <c r="U571" s="76" t="s">
        <v>54</v>
      </c>
      <c r="V571" s="76">
        <v>5.5964000000000003E-4</v>
      </c>
      <c r="W571" s="76" t="s">
        <v>54</v>
      </c>
      <c r="X571" s="76">
        <v>5.5964000000000003E-4</v>
      </c>
      <c r="Y571" s="97"/>
      <c r="Z571" s="78"/>
      <c r="AA571" s="79" t="s">
        <v>36</v>
      </c>
      <c r="AB571" s="79" t="s">
        <v>37</v>
      </c>
      <c r="AC571" s="79" t="s">
        <v>37</v>
      </c>
      <c r="AD571" s="79" t="s">
        <v>38</v>
      </c>
      <c r="AE571" s="79"/>
      <c r="AF571" s="79"/>
      <c r="AG571" s="79"/>
      <c r="AH571" s="79"/>
      <c r="AI571" s="53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</row>
    <row r="572" spans="1:110" ht="20.399999999999999" x14ac:dyDescent="0.25">
      <c r="A572" s="10">
        <v>1401004</v>
      </c>
      <c r="B572" s="11" t="s">
        <v>940</v>
      </c>
      <c r="C572" s="25" t="s">
        <v>944</v>
      </c>
      <c r="D572" s="11"/>
      <c r="E572" s="10" t="s">
        <v>942</v>
      </c>
      <c r="F572" s="10" t="s">
        <v>557</v>
      </c>
      <c r="G572" s="55" t="str">
        <f t="shared" si="15"/>
        <v>Obsolete</v>
      </c>
      <c r="H572" s="10">
        <v>4</v>
      </c>
      <c r="I572" s="13"/>
      <c r="J572" s="56"/>
      <c r="K572" s="57"/>
      <c r="M572" s="14"/>
      <c r="N572" s="14"/>
      <c r="O572" s="14"/>
      <c r="P572" s="14"/>
      <c r="Q572" s="14"/>
      <c r="R572" s="14"/>
      <c r="S572" s="14"/>
      <c r="T572" s="70"/>
      <c r="U572" s="76" t="s">
        <v>54</v>
      </c>
      <c r="V572" s="76">
        <v>5.5964000000000003E-4</v>
      </c>
      <c r="W572" s="76" t="s">
        <v>54</v>
      </c>
      <c r="X572" s="76">
        <v>5.5964000000000003E-4</v>
      </c>
      <c r="Y572" s="97"/>
      <c r="Z572" s="78"/>
      <c r="AA572" s="79" t="s">
        <v>36</v>
      </c>
      <c r="AB572" s="79" t="s">
        <v>37</v>
      </c>
      <c r="AC572" s="79" t="s">
        <v>37</v>
      </c>
      <c r="AD572" s="79" t="s">
        <v>38</v>
      </c>
      <c r="AE572" s="79"/>
      <c r="AF572" s="79"/>
      <c r="AG572" s="79"/>
      <c r="AH572" s="79"/>
      <c r="AI572" s="53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</row>
    <row r="573" spans="1:110" ht="20.399999999999999" x14ac:dyDescent="0.25">
      <c r="A573" s="10">
        <v>1401005</v>
      </c>
      <c r="B573" s="11" t="s">
        <v>940</v>
      </c>
      <c r="C573" s="25" t="s">
        <v>945</v>
      </c>
      <c r="D573" s="11"/>
      <c r="E573" s="10" t="s">
        <v>946</v>
      </c>
      <c r="F573" s="10" t="s">
        <v>557</v>
      </c>
      <c r="G573" s="55">
        <f t="shared" si="15"/>
        <v>0.15309999999999999</v>
      </c>
      <c r="H573" s="10">
        <v>4</v>
      </c>
      <c r="I573" s="13">
        <v>100000</v>
      </c>
      <c r="J573" s="56"/>
      <c r="K573" s="57"/>
      <c r="M573" s="14"/>
      <c r="N573" s="14"/>
      <c r="O573" s="14"/>
      <c r="P573" s="14"/>
      <c r="Q573" s="14"/>
      <c r="R573" s="14"/>
      <c r="S573" s="14"/>
      <c r="T573" s="70"/>
      <c r="U573" s="76">
        <v>0.15</v>
      </c>
      <c r="V573" s="76">
        <v>3.0999999999999999E-3</v>
      </c>
      <c r="W573" s="76">
        <v>0.15</v>
      </c>
      <c r="X573" s="76">
        <v>3.0999999999999999E-3</v>
      </c>
      <c r="Y573" s="110"/>
      <c r="Z573" s="78"/>
      <c r="AA573" s="79" t="s">
        <v>36</v>
      </c>
      <c r="AB573" s="79" t="s">
        <v>35</v>
      </c>
      <c r="AC573" s="79" t="s">
        <v>37</v>
      </c>
      <c r="AD573" s="79" t="s">
        <v>38</v>
      </c>
      <c r="AE573" s="79" t="s">
        <v>947</v>
      </c>
      <c r="AF573" s="94" t="s">
        <v>948</v>
      </c>
      <c r="AG573" s="79" t="s">
        <v>949</v>
      </c>
      <c r="AH573" s="79"/>
      <c r="AI573" s="53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</row>
    <row r="574" spans="1:110" ht="13.8" x14ac:dyDescent="0.25">
      <c r="A574" s="24">
        <v>1401006</v>
      </c>
      <c r="B574" s="11" t="s">
        <v>940</v>
      </c>
      <c r="C574" s="12" t="s">
        <v>950</v>
      </c>
      <c r="D574" s="40"/>
      <c r="E574" s="10" t="s">
        <v>951</v>
      </c>
      <c r="F574" s="10" t="s">
        <v>557</v>
      </c>
      <c r="G574" s="55" t="str">
        <f t="shared" si="15"/>
        <v>Obsolete</v>
      </c>
      <c r="H574" s="10">
        <v>4</v>
      </c>
      <c r="I574" s="13">
        <v>1000</v>
      </c>
      <c r="J574" s="56"/>
      <c r="K574" s="57"/>
      <c r="M574" s="14">
        <v>5.8000000000000003E-2</v>
      </c>
      <c r="N574" s="14"/>
      <c r="O574" s="14"/>
      <c r="P574" s="14"/>
      <c r="Q574" s="14"/>
      <c r="R574" s="14"/>
      <c r="S574" s="14"/>
      <c r="T574" s="70"/>
      <c r="U574" s="76" t="s">
        <v>54</v>
      </c>
      <c r="V574" s="97"/>
      <c r="W574" s="76" t="s">
        <v>54</v>
      </c>
      <c r="X574" s="76"/>
      <c r="Y574" s="97"/>
      <c r="Z574" s="78">
        <v>1000</v>
      </c>
      <c r="AA574" s="79" t="s">
        <v>36</v>
      </c>
      <c r="AB574" s="79" t="s">
        <v>37</v>
      </c>
      <c r="AC574" s="79" t="s">
        <v>37</v>
      </c>
      <c r="AD574" s="79"/>
      <c r="AE574" s="79" t="s">
        <v>952</v>
      </c>
      <c r="AF574" s="79" t="s">
        <v>953</v>
      </c>
      <c r="AG574" s="79" t="s">
        <v>954</v>
      </c>
      <c r="AH574" s="79"/>
      <c r="AI574" s="53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</row>
    <row r="575" spans="1:110" ht="13.8" x14ac:dyDescent="0.25">
      <c r="A575" s="24">
        <v>1401007</v>
      </c>
      <c r="B575" s="11" t="s">
        <v>940</v>
      </c>
      <c r="C575" s="12" t="s">
        <v>955</v>
      </c>
      <c r="D575" s="40"/>
      <c r="E575" s="10" t="s">
        <v>946</v>
      </c>
      <c r="F575" s="10" t="s">
        <v>557</v>
      </c>
      <c r="G575" s="55">
        <f t="shared" si="15"/>
        <v>0.1051</v>
      </c>
      <c r="H575" s="10">
        <v>4</v>
      </c>
      <c r="I575" s="13">
        <v>15000</v>
      </c>
      <c r="J575" s="56"/>
      <c r="K575" s="57"/>
      <c r="M575" s="14"/>
      <c r="N575" s="14"/>
      <c r="O575" s="14"/>
      <c r="P575" s="14"/>
      <c r="Q575" s="14"/>
      <c r="R575" s="14"/>
      <c r="S575" s="14"/>
      <c r="T575" s="70"/>
      <c r="U575" s="76">
        <v>0.10199999999999999</v>
      </c>
      <c r="V575" s="76">
        <v>3.0999999999999999E-3</v>
      </c>
      <c r="W575" s="76">
        <v>0.10199999999999999</v>
      </c>
      <c r="X575" s="76">
        <v>3.0999999999999999E-3</v>
      </c>
      <c r="Y575" s="97"/>
      <c r="Z575" s="78"/>
      <c r="AA575" s="79" t="s">
        <v>36</v>
      </c>
      <c r="AB575" s="79" t="s">
        <v>35</v>
      </c>
      <c r="AC575" s="79" t="s">
        <v>37</v>
      </c>
      <c r="AD575" s="79" t="s">
        <v>38</v>
      </c>
      <c r="AE575" s="79" t="s">
        <v>947</v>
      </c>
      <c r="AF575" s="94" t="s">
        <v>948</v>
      </c>
      <c r="AG575" s="79" t="s">
        <v>949</v>
      </c>
      <c r="AH575" s="79"/>
      <c r="AI575" s="53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</row>
    <row r="576" spans="1:110" ht="13.8" x14ac:dyDescent="0.25">
      <c r="A576" s="10">
        <v>1402001</v>
      </c>
      <c r="B576" s="26" t="s">
        <v>956</v>
      </c>
      <c r="C576" s="12" t="s">
        <v>957</v>
      </c>
      <c r="D576" s="11"/>
      <c r="E576" s="10" t="s">
        <v>958</v>
      </c>
      <c r="F576" s="10" t="s">
        <v>557</v>
      </c>
      <c r="G576" s="55" t="str">
        <f t="shared" si="15"/>
        <v>Obsolete</v>
      </c>
      <c r="H576" s="10">
        <v>4</v>
      </c>
      <c r="I576" s="13" t="s">
        <v>959</v>
      </c>
      <c r="J576" s="56"/>
      <c r="K576" s="57"/>
      <c r="M576" s="14"/>
      <c r="N576" s="14"/>
      <c r="O576" s="14"/>
      <c r="P576" s="14"/>
      <c r="Q576" s="14"/>
      <c r="R576" s="14"/>
      <c r="S576" s="14"/>
      <c r="T576" s="70"/>
      <c r="U576" s="76" t="s">
        <v>54</v>
      </c>
      <c r="V576" s="97"/>
      <c r="W576" s="76" t="s">
        <v>54</v>
      </c>
      <c r="X576" s="76"/>
      <c r="Y576" s="97"/>
      <c r="Z576" s="78"/>
      <c r="AA576" s="79" t="s">
        <v>960</v>
      </c>
      <c r="AB576" s="79" t="s">
        <v>37</v>
      </c>
      <c r="AC576" s="79" t="s">
        <v>37</v>
      </c>
      <c r="AD576" s="79"/>
      <c r="AE576" s="79"/>
      <c r="AF576" s="79"/>
      <c r="AG576" s="79"/>
      <c r="AH576" s="79"/>
      <c r="AI576" s="53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</row>
    <row r="577" spans="1:110" ht="20.399999999999999" x14ac:dyDescent="0.25">
      <c r="A577" s="24">
        <v>1402002</v>
      </c>
      <c r="B577" s="26" t="s">
        <v>956</v>
      </c>
      <c r="C577" s="25" t="s">
        <v>961</v>
      </c>
      <c r="D577" s="26"/>
      <c r="E577" s="10" t="s">
        <v>962</v>
      </c>
      <c r="F577" s="10" t="s">
        <v>557</v>
      </c>
      <c r="G577" s="55" t="str">
        <f t="shared" si="15"/>
        <v>Obsolete</v>
      </c>
      <c r="H577" s="10">
        <v>1</v>
      </c>
      <c r="I577" s="13">
        <v>100</v>
      </c>
      <c r="J577" s="56"/>
      <c r="K577" s="57"/>
      <c r="M577" s="14"/>
      <c r="N577" s="14"/>
      <c r="O577" s="14"/>
      <c r="P577" s="14"/>
      <c r="Q577" s="14"/>
      <c r="R577" s="14"/>
      <c r="S577" s="14"/>
      <c r="T577" s="70"/>
      <c r="U577" s="76" t="s">
        <v>54</v>
      </c>
      <c r="V577" s="97"/>
      <c r="W577" s="76" t="s">
        <v>54</v>
      </c>
      <c r="X577" s="76"/>
      <c r="Y577" s="97"/>
      <c r="Z577" s="87"/>
      <c r="AA577" s="79" t="s">
        <v>292</v>
      </c>
      <c r="AB577" s="79" t="s">
        <v>37</v>
      </c>
      <c r="AC577" s="79" t="s">
        <v>37</v>
      </c>
      <c r="AD577" s="79"/>
      <c r="AE577" s="79"/>
      <c r="AF577" s="79"/>
      <c r="AG577" s="79"/>
      <c r="AH577" s="79"/>
      <c r="AI577" s="53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</row>
    <row r="578" spans="1:110" ht="20.399999999999999" x14ac:dyDescent="0.25">
      <c r="A578" s="24">
        <v>1402003</v>
      </c>
      <c r="B578" s="26" t="s">
        <v>956</v>
      </c>
      <c r="C578" s="25" t="s">
        <v>963</v>
      </c>
      <c r="D578" s="26"/>
      <c r="E578" s="10" t="s">
        <v>962</v>
      </c>
      <c r="F578" s="10" t="s">
        <v>557</v>
      </c>
      <c r="G578" s="55" t="str">
        <f t="shared" si="15"/>
        <v>Obsolete</v>
      </c>
      <c r="H578" s="10">
        <v>1</v>
      </c>
      <c r="I578" s="13">
        <v>100</v>
      </c>
      <c r="J578" s="56"/>
      <c r="K578" s="57"/>
      <c r="M578" s="14"/>
      <c r="N578" s="14"/>
      <c r="O578" s="14"/>
      <c r="P578" s="14"/>
      <c r="Q578" s="14"/>
      <c r="R578" s="14"/>
      <c r="S578" s="14"/>
      <c r="T578" s="70"/>
      <c r="U578" s="76" t="s">
        <v>54</v>
      </c>
      <c r="V578" s="97"/>
      <c r="W578" s="76" t="s">
        <v>54</v>
      </c>
      <c r="X578" s="76"/>
      <c r="Y578" s="97"/>
      <c r="Z578" s="87"/>
      <c r="AA578" s="79" t="s">
        <v>292</v>
      </c>
      <c r="AB578" s="79" t="s">
        <v>37</v>
      </c>
      <c r="AC578" s="79" t="s">
        <v>37</v>
      </c>
      <c r="AD578" s="79"/>
      <c r="AE578" s="79"/>
      <c r="AF578" s="79"/>
      <c r="AG578" s="79"/>
      <c r="AH578" s="79"/>
      <c r="AI578" s="53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</row>
    <row r="579" spans="1:110" ht="20.399999999999999" x14ac:dyDescent="0.25">
      <c r="A579" s="24">
        <v>1402004</v>
      </c>
      <c r="B579" s="26" t="s">
        <v>956</v>
      </c>
      <c r="C579" s="25" t="s">
        <v>964</v>
      </c>
      <c r="D579" s="26"/>
      <c r="E579" s="10" t="s">
        <v>962</v>
      </c>
      <c r="F579" s="10" t="s">
        <v>557</v>
      </c>
      <c r="G579" s="55" t="str">
        <f t="shared" si="15"/>
        <v>Obsolete</v>
      </c>
      <c r="H579" s="10"/>
      <c r="I579" s="13"/>
      <c r="J579" s="56"/>
      <c r="K579" s="57"/>
      <c r="M579" s="14"/>
      <c r="N579" s="14"/>
      <c r="O579" s="14"/>
      <c r="P579" s="14"/>
      <c r="Q579" s="14"/>
      <c r="R579" s="14"/>
      <c r="S579" s="14"/>
      <c r="T579" s="70"/>
      <c r="U579" s="76" t="s">
        <v>54</v>
      </c>
      <c r="V579" s="97"/>
      <c r="W579" s="76" t="s">
        <v>54</v>
      </c>
      <c r="X579" s="76"/>
      <c r="Y579" s="97"/>
      <c r="Z579" s="87"/>
      <c r="AA579" s="79" t="s">
        <v>292</v>
      </c>
      <c r="AB579" s="79" t="s">
        <v>37</v>
      </c>
      <c r="AC579" s="79" t="s">
        <v>37</v>
      </c>
      <c r="AD579" s="79"/>
      <c r="AE579" s="79"/>
      <c r="AF579" s="79"/>
      <c r="AG579" s="79"/>
      <c r="AH579" s="79"/>
      <c r="AI579" s="53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</row>
    <row r="580" spans="1:110" ht="13.8" x14ac:dyDescent="0.25">
      <c r="A580" s="24">
        <v>1402005</v>
      </c>
      <c r="B580" s="26" t="s">
        <v>956</v>
      </c>
      <c r="C580" s="25" t="s">
        <v>965</v>
      </c>
      <c r="D580" s="26"/>
      <c r="E580" s="10" t="s">
        <v>966</v>
      </c>
      <c r="F580" s="10" t="s">
        <v>557</v>
      </c>
      <c r="G580" s="55" t="str">
        <f t="shared" si="15"/>
        <v>Obsolete</v>
      </c>
      <c r="H580" s="10"/>
      <c r="I580" s="13"/>
      <c r="J580" s="56"/>
      <c r="K580" s="57"/>
      <c r="M580" s="14"/>
      <c r="N580" s="14"/>
      <c r="O580" s="14"/>
      <c r="P580" s="14"/>
      <c r="Q580" s="14"/>
      <c r="R580" s="14"/>
      <c r="S580" s="14"/>
      <c r="T580" s="70"/>
      <c r="U580" s="76" t="s">
        <v>54</v>
      </c>
      <c r="V580" s="97"/>
      <c r="W580" s="76" t="s">
        <v>54</v>
      </c>
      <c r="X580" s="76"/>
      <c r="Y580" s="97"/>
      <c r="Z580" s="87"/>
      <c r="AA580" s="79" t="s">
        <v>966</v>
      </c>
      <c r="AB580" s="79" t="s">
        <v>37</v>
      </c>
      <c r="AC580" s="79" t="s">
        <v>37</v>
      </c>
      <c r="AD580" s="79"/>
      <c r="AE580" s="79"/>
      <c r="AF580" s="79"/>
      <c r="AG580" s="79"/>
      <c r="AH580" s="79"/>
      <c r="AI580" s="53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</row>
    <row r="581" spans="1:110" ht="13.8" x14ac:dyDescent="0.25">
      <c r="A581" s="24">
        <v>1402006</v>
      </c>
      <c r="B581" s="26" t="s">
        <v>956</v>
      </c>
      <c r="C581" s="25" t="s">
        <v>967</v>
      </c>
      <c r="D581" s="26"/>
      <c r="E581" s="10" t="s">
        <v>962</v>
      </c>
      <c r="F581" s="10" t="s">
        <v>557</v>
      </c>
      <c r="G581" s="55" t="str">
        <f t="shared" si="15"/>
        <v>Obsolete</v>
      </c>
      <c r="H581" s="10"/>
      <c r="I581" s="13">
        <v>16500</v>
      </c>
      <c r="J581" s="56"/>
      <c r="K581" s="57"/>
      <c r="M581" s="14"/>
      <c r="N581" s="14"/>
      <c r="O581" s="14"/>
      <c r="P581" s="14"/>
      <c r="Q581" s="14"/>
      <c r="R581" s="14"/>
      <c r="S581" s="14"/>
      <c r="T581" s="70"/>
      <c r="U581" s="76" t="s">
        <v>54</v>
      </c>
      <c r="V581" s="97"/>
      <c r="W581" s="76" t="s">
        <v>54</v>
      </c>
      <c r="X581" s="76"/>
      <c r="Y581" s="97"/>
      <c r="Z581" s="87"/>
      <c r="AA581" s="79" t="s">
        <v>968</v>
      </c>
      <c r="AB581" s="79" t="s">
        <v>37</v>
      </c>
      <c r="AC581" s="79" t="s">
        <v>37</v>
      </c>
      <c r="AD581" s="79"/>
      <c r="AE581" s="79"/>
      <c r="AF581" s="79"/>
      <c r="AG581" s="79"/>
      <c r="AH581" s="79"/>
      <c r="AI581" s="53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</row>
    <row r="582" spans="1:110" ht="13.8" x14ac:dyDescent="0.25">
      <c r="A582" s="24">
        <v>1402007</v>
      </c>
      <c r="B582" s="26" t="s">
        <v>956</v>
      </c>
      <c r="C582" s="25" t="s">
        <v>969</v>
      </c>
      <c r="D582" s="26"/>
      <c r="E582" s="10" t="s">
        <v>962</v>
      </c>
      <c r="F582" s="10" t="s">
        <v>557</v>
      </c>
      <c r="G582" s="55" t="str">
        <f t="shared" si="15"/>
        <v>Obsolete</v>
      </c>
      <c r="H582" s="10"/>
      <c r="I582" s="13">
        <v>16500</v>
      </c>
      <c r="J582" s="56"/>
      <c r="K582" s="57"/>
      <c r="M582" s="14"/>
      <c r="N582" s="14"/>
      <c r="O582" s="14"/>
      <c r="P582" s="14"/>
      <c r="Q582" s="14"/>
      <c r="R582" s="14"/>
      <c r="S582" s="14"/>
      <c r="T582" s="70"/>
      <c r="U582" s="76" t="s">
        <v>54</v>
      </c>
      <c r="V582" s="97"/>
      <c r="W582" s="76" t="s">
        <v>54</v>
      </c>
      <c r="X582" s="76"/>
      <c r="Y582" s="97"/>
      <c r="Z582" s="87"/>
      <c r="AA582" s="79" t="s">
        <v>968</v>
      </c>
      <c r="AB582" s="79" t="s">
        <v>37</v>
      </c>
      <c r="AC582" s="79" t="s">
        <v>37</v>
      </c>
      <c r="AD582" s="79"/>
      <c r="AE582" s="79"/>
      <c r="AF582" s="79"/>
      <c r="AG582" s="79"/>
      <c r="AH582" s="79"/>
      <c r="AI582" s="53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</row>
    <row r="583" spans="1:110" ht="13.8" x14ac:dyDescent="0.25">
      <c r="A583" s="24">
        <v>1402008</v>
      </c>
      <c r="B583" s="26" t="s">
        <v>934</v>
      </c>
      <c r="C583" s="25" t="s">
        <v>970</v>
      </c>
      <c r="D583" s="26" t="s">
        <v>971</v>
      </c>
      <c r="E583" s="10" t="s">
        <v>972</v>
      </c>
      <c r="F583" s="10" t="s">
        <v>557</v>
      </c>
      <c r="G583" s="55">
        <f t="shared" si="15"/>
        <v>0.18454999999999999</v>
      </c>
      <c r="H583" s="10">
        <v>10</v>
      </c>
      <c r="I583" s="13">
        <v>4500</v>
      </c>
      <c r="J583" s="56"/>
      <c r="K583" s="57"/>
      <c r="M583" s="14"/>
      <c r="N583" s="14"/>
      <c r="O583" s="14"/>
      <c r="P583" s="14"/>
      <c r="Q583" s="14"/>
      <c r="R583" s="14"/>
      <c r="S583" s="14"/>
      <c r="T583" s="70"/>
      <c r="U583" s="76">
        <v>0.1479</v>
      </c>
      <c r="V583" s="76">
        <v>3.6650000000000002E-2</v>
      </c>
      <c r="W583" s="76">
        <v>0.1479</v>
      </c>
      <c r="X583" s="76">
        <v>3.6650000000000002E-2</v>
      </c>
      <c r="Y583" s="77" t="s">
        <v>35</v>
      </c>
      <c r="Z583" s="98">
        <v>4500</v>
      </c>
      <c r="AA583" s="79" t="s">
        <v>36</v>
      </c>
      <c r="AB583" s="79" t="s">
        <v>35</v>
      </c>
      <c r="AC583" s="79" t="s">
        <v>37</v>
      </c>
      <c r="AD583" s="79" t="s">
        <v>38</v>
      </c>
      <c r="AE583" s="79" t="s">
        <v>973</v>
      </c>
      <c r="AF583" s="79" t="s">
        <v>974</v>
      </c>
      <c r="AG583" s="79" t="s">
        <v>975</v>
      </c>
      <c r="AH583" s="79"/>
      <c r="AI583" s="53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</row>
    <row r="584" spans="1:110" ht="10.5" customHeight="1" x14ac:dyDescent="0.25">
      <c r="A584" s="24">
        <v>1402009</v>
      </c>
      <c r="B584" s="26" t="s">
        <v>934</v>
      </c>
      <c r="C584" s="25" t="s">
        <v>1500</v>
      </c>
      <c r="D584" s="26"/>
      <c r="E584" s="10" t="s">
        <v>976</v>
      </c>
      <c r="F584" s="10" t="s">
        <v>557</v>
      </c>
      <c r="G584" s="55">
        <f t="shared" si="15"/>
        <v>0.12740000000000001</v>
      </c>
      <c r="H584" s="10"/>
      <c r="I584" s="13"/>
      <c r="J584" s="56"/>
      <c r="K584" s="57"/>
      <c r="M584" s="14"/>
      <c r="N584" s="14"/>
      <c r="O584" s="14"/>
      <c r="P584" s="14"/>
      <c r="Q584" s="14"/>
      <c r="R584" s="14"/>
      <c r="S584" s="14"/>
      <c r="T584" s="70"/>
      <c r="U584" s="76">
        <f>82.4/1000</f>
        <v>8.2400000000000001E-2</v>
      </c>
      <c r="V584" s="76">
        <v>4.4999999999999998E-2</v>
      </c>
      <c r="W584" s="76">
        <f>82.4/1000</f>
        <v>8.2400000000000001E-2</v>
      </c>
      <c r="X584" s="76">
        <v>4.4999999999999998E-2</v>
      </c>
      <c r="Y584" s="77"/>
      <c r="Z584" s="98"/>
      <c r="AA584" s="79"/>
      <c r="AB584" s="79"/>
      <c r="AC584" s="79"/>
      <c r="AD584" s="79"/>
      <c r="AE584" s="79"/>
      <c r="AF584" s="79"/>
      <c r="AG584" s="79"/>
      <c r="AH584" s="79"/>
      <c r="AI584" s="53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</row>
    <row r="585" spans="1:110" ht="13.5" customHeight="1" x14ac:dyDescent="0.25">
      <c r="A585" s="24">
        <v>1402020</v>
      </c>
      <c r="B585" s="26" t="s">
        <v>956</v>
      </c>
      <c r="C585" s="25" t="s">
        <v>977</v>
      </c>
      <c r="D585" s="26"/>
      <c r="E585" s="17" t="s">
        <v>57</v>
      </c>
      <c r="F585" s="10" t="s">
        <v>557</v>
      </c>
      <c r="G585" s="55" t="str">
        <f t="shared" si="15"/>
        <v>Obsolete</v>
      </c>
      <c r="H585" s="10"/>
      <c r="I585" s="13"/>
      <c r="J585" s="56"/>
      <c r="K585" s="57"/>
      <c r="M585" s="14"/>
      <c r="N585" s="14"/>
      <c r="O585" s="14"/>
      <c r="P585" s="14"/>
      <c r="Q585" s="14"/>
      <c r="R585" s="14"/>
      <c r="S585" s="14"/>
      <c r="T585" s="70"/>
      <c r="U585" s="76" t="s">
        <v>54</v>
      </c>
      <c r="V585" s="97"/>
      <c r="W585" s="76" t="s">
        <v>54</v>
      </c>
      <c r="X585" s="76"/>
      <c r="Y585" s="97"/>
      <c r="Z585" s="87"/>
      <c r="AA585" s="79"/>
      <c r="AB585" s="79" t="s">
        <v>37</v>
      </c>
      <c r="AC585" s="79" t="s">
        <v>37</v>
      </c>
      <c r="AD585" s="79"/>
      <c r="AE585" s="79"/>
      <c r="AF585" s="79"/>
      <c r="AG585" s="79"/>
      <c r="AH585" s="79"/>
      <c r="AI585" s="53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</row>
    <row r="586" spans="1:110" ht="20.399999999999999" x14ac:dyDescent="0.25">
      <c r="A586" s="10">
        <v>1403001</v>
      </c>
      <c r="B586" s="11" t="s">
        <v>934</v>
      </c>
      <c r="C586" s="25" t="s">
        <v>978</v>
      </c>
      <c r="D586" s="11"/>
      <c r="E586" s="10" t="s">
        <v>1578</v>
      </c>
      <c r="F586" s="10" t="s">
        <v>557</v>
      </c>
      <c r="G586" s="55">
        <f t="shared" si="15"/>
        <v>4.82E-2</v>
      </c>
      <c r="H586" s="10">
        <v>6</v>
      </c>
      <c r="I586" s="13">
        <v>100000</v>
      </c>
      <c r="J586" s="56">
        <v>44273</v>
      </c>
      <c r="K586" s="57">
        <v>4.5400000000000003E-2</v>
      </c>
      <c r="M586" s="14"/>
      <c r="N586" s="14"/>
      <c r="O586" s="14"/>
      <c r="P586" s="14"/>
      <c r="Q586" s="14"/>
      <c r="R586" s="14"/>
      <c r="S586" s="14"/>
      <c r="T586" s="70"/>
      <c r="U586" s="76">
        <v>4.02E-2</v>
      </c>
      <c r="V586" s="76">
        <v>8.0000000000000002E-3</v>
      </c>
      <c r="W586" s="76">
        <v>4.2000000000000003E-2</v>
      </c>
      <c r="X586" s="76">
        <v>8.0000000000000002E-3</v>
      </c>
      <c r="Y586" s="77" t="s">
        <v>35</v>
      </c>
      <c r="Z586" s="98">
        <v>10000</v>
      </c>
      <c r="AA586" s="79" t="s">
        <v>36</v>
      </c>
      <c r="AB586" s="79" t="s">
        <v>35</v>
      </c>
      <c r="AC586" s="79" t="s">
        <v>37</v>
      </c>
      <c r="AD586" s="79" t="s">
        <v>38</v>
      </c>
      <c r="AE586" s="79" t="s">
        <v>979</v>
      </c>
      <c r="AF586" s="79" t="s">
        <v>980</v>
      </c>
      <c r="AG586" s="105" t="s">
        <v>981</v>
      </c>
      <c r="AH586" s="79"/>
      <c r="AI586" s="53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</row>
    <row r="587" spans="1:110" ht="13.8" x14ac:dyDescent="0.25">
      <c r="A587" s="10">
        <v>1403002</v>
      </c>
      <c r="B587" s="11" t="s">
        <v>934</v>
      </c>
      <c r="C587" s="12" t="s">
        <v>982</v>
      </c>
      <c r="D587" s="11"/>
      <c r="E587" s="17" t="s">
        <v>57</v>
      </c>
      <c r="F587" s="10" t="s">
        <v>557</v>
      </c>
      <c r="G587" s="55" t="str">
        <f t="shared" si="15"/>
        <v>Obsolete</v>
      </c>
      <c r="H587" s="10">
        <v>6</v>
      </c>
      <c r="I587" s="13"/>
      <c r="J587" s="56"/>
      <c r="K587" s="57"/>
      <c r="M587" s="14"/>
      <c r="N587" s="14"/>
      <c r="O587" s="14"/>
      <c r="P587" s="14"/>
      <c r="Q587" s="14"/>
      <c r="R587" s="14"/>
      <c r="S587" s="14"/>
      <c r="T587" s="70"/>
      <c r="U587" s="76" t="s">
        <v>54</v>
      </c>
      <c r="V587" s="97"/>
      <c r="W587" s="76" t="s">
        <v>54</v>
      </c>
      <c r="X587" s="76"/>
      <c r="Y587" s="97"/>
      <c r="Z587" s="78"/>
      <c r="AA587" s="79" t="s">
        <v>55</v>
      </c>
      <c r="AB587" s="79" t="s">
        <v>37</v>
      </c>
      <c r="AC587" s="79" t="s">
        <v>37</v>
      </c>
      <c r="AD587" s="79"/>
      <c r="AE587" s="79"/>
      <c r="AF587" s="79"/>
      <c r="AG587" s="79"/>
      <c r="AH587" s="79"/>
      <c r="AI587" s="53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</row>
    <row r="588" spans="1:110" ht="13.8" x14ac:dyDescent="0.25">
      <c r="A588" s="24">
        <v>1403003</v>
      </c>
      <c r="B588" s="26" t="s">
        <v>956</v>
      </c>
      <c r="C588" s="25" t="s">
        <v>983</v>
      </c>
      <c r="D588" s="26"/>
      <c r="E588" s="17" t="s">
        <v>57</v>
      </c>
      <c r="F588" s="10" t="s">
        <v>557</v>
      </c>
      <c r="G588" s="55" t="str">
        <f t="shared" si="15"/>
        <v>Obsolete</v>
      </c>
      <c r="H588" s="10"/>
      <c r="I588" s="13"/>
      <c r="J588" s="56"/>
      <c r="K588" s="57"/>
      <c r="M588" s="14"/>
      <c r="N588" s="14"/>
      <c r="O588" s="14"/>
      <c r="P588" s="14"/>
      <c r="Q588" s="14"/>
      <c r="R588" s="14"/>
      <c r="S588" s="14"/>
      <c r="T588" s="70"/>
      <c r="U588" s="76" t="s">
        <v>54</v>
      </c>
      <c r="V588" s="97"/>
      <c r="W588" s="76" t="s">
        <v>54</v>
      </c>
      <c r="X588" s="76"/>
      <c r="Y588" s="97"/>
      <c r="Z588" s="87"/>
      <c r="AA588" s="79"/>
      <c r="AB588" s="79" t="s">
        <v>37</v>
      </c>
      <c r="AC588" s="79" t="s">
        <v>37</v>
      </c>
      <c r="AD588" s="79"/>
      <c r="AE588" s="79"/>
      <c r="AF588" s="79"/>
      <c r="AG588" s="79"/>
      <c r="AH588" s="79"/>
      <c r="AI588" s="53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</row>
    <row r="589" spans="1:110" ht="13.8" x14ac:dyDescent="0.25">
      <c r="A589" s="24">
        <v>1403004</v>
      </c>
      <c r="B589" s="26" t="s">
        <v>934</v>
      </c>
      <c r="C589" s="25" t="s">
        <v>984</v>
      </c>
      <c r="D589" s="26"/>
      <c r="E589" s="10" t="s">
        <v>1578</v>
      </c>
      <c r="F589" s="10" t="s">
        <v>557</v>
      </c>
      <c r="G589" s="55">
        <f t="shared" si="15"/>
        <v>0.121</v>
      </c>
      <c r="H589" s="10">
        <v>8</v>
      </c>
      <c r="I589" s="13">
        <v>50000</v>
      </c>
      <c r="J589" s="56">
        <v>44273</v>
      </c>
      <c r="K589" s="57">
        <v>0.10469999999999999</v>
      </c>
      <c r="M589" s="14"/>
      <c r="N589" s="14"/>
      <c r="O589" s="14"/>
      <c r="P589" s="14"/>
      <c r="Q589" s="14"/>
      <c r="R589" s="14"/>
      <c r="S589" s="14"/>
      <c r="T589" s="70"/>
      <c r="U589" s="76">
        <v>0.109</v>
      </c>
      <c r="V589" s="76">
        <f>600/50000</f>
        <v>1.2E-2</v>
      </c>
      <c r="W589" s="76">
        <v>0.109</v>
      </c>
      <c r="X589" s="76">
        <f>600/50000</f>
        <v>1.2E-2</v>
      </c>
      <c r="Y589" s="77" t="s">
        <v>35</v>
      </c>
      <c r="Z589" s="98">
        <v>10000</v>
      </c>
      <c r="AA589" s="79" t="s">
        <v>36</v>
      </c>
      <c r="AB589" s="79" t="s">
        <v>35</v>
      </c>
      <c r="AC589" s="79" t="s">
        <v>37</v>
      </c>
      <c r="AD589" s="79" t="s">
        <v>38</v>
      </c>
      <c r="AE589" s="79" t="s">
        <v>979</v>
      </c>
      <c r="AF589" s="79" t="s">
        <v>980</v>
      </c>
      <c r="AG589" s="105" t="s">
        <v>981</v>
      </c>
      <c r="AH589" s="79"/>
      <c r="AI589" s="53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</row>
    <row r="590" spans="1:110" ht="20.399999999999999" x14ac:dyDescent="0.25">
      <c r="A590" s="24">
        <v>1403005</v>
      </c>
      <c r="B590" s="26" t="s">
        <v>934</v>
      </c>
      <c r="C590" s="25" t="s">
        <v>985</v>
      </c>
      <c r="D590" s="26"/>
      <c r="E590" s="10" t="s">
        <v>1578</v>
      </c>
      <c r="F590" s="10" t="s">
        <v>557</v>
      </c>
      <c r="G590" s="55">
        <f t="shared" si="15"/>
        <v>9.227272727272727E-2</v>
      </c>
      <c r="H590" s="10">
        <v>8</v>
      </c>
      <c r="I590" s="13">
        <v>100000</v>
      </c>
      <c r="J590" s="56">
        <v>44273</v>
      </c>
      <c r="K590" s="57">
        <v>0.06</v>
      </c>
      <c r="M590" s="14"/>
      <c r="N590" s="14"/>
      <c r="O590" s="14"/>
      <c r="P590" s="14"/>
      <c r="Q590" s="14"/>
      <c r="R590" s="14"/>
      <c r="S590" s="14"/>
      <c r="T590" s="70"/>
      <c r="U590" s="76">
        <v>6.5000000000000002E-2</v>
      </c>
      <c r="V590" s="76">
        <f>600/22000</f>
        <v>2.7272727272727271E-2</v>
      </c>
      <c r="W590" s="76">
        <v>5.1999999999999998E-2</v>
      </c>
      <c r="X590" s="76">
        <f>600/22000</f>
        <v>2.7272727272727271E-2</v>
      </c>
      <c r="Y590" s="77" t="s">
        <v>35</v>
      </c>
      <c r="Z590" s="98">
        <v>10000</v>
      </c>
      <c r="AA590" s="79" t="s">
        <v>36</v>
      </c>
      <c r="AB590" s="79" t="s">
        <v>35</v>
      </c>
      <c r="AC590" s="79" t="s">
        <v>37</v>
      </c>
      <c r="AD590" s="79" t="s">
        <v>38</v>
      </c>
      <c r="AE590" s="79" t="s">
        <v>979</v>
      </c>
      <c r="AF590" s="79" t="s">
        <v>980</v>
      </c>
      <c r="AG590" s="105" t="s">
        <v>981</v>
      </c>
      <c r="AH590" s="79"/>
      <c r="AI590" s="53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</row>
    <row r="591" spans="1:110" ht="20.399999999999999" x14ac:dyDescent="0.25">
      <c r="A591" s="24">
        <v>1403006</v>
      </c>
      <c r="B591" s="26" t="s">
        <v>956</v>
      </c>
      <c r="C591" s="25" t="s">
        <v>986</v>
      </c>
      <c r="D591" s="26"/>
      <c r="E591" s="10" t="s">
        <v>987</v>
      </c>
      <c r="F591" s="10" t="s">
        <v>557</v>
      </c>
      <c r="G591" s="55" t="str">
        <f t="shared" si="15"/>
        <v>Obsolete</v>
      </c>
      <c r="H591" s="10">
        <v>7</v>
      </c>
      <c r="I591" s="13">
        <v>75000</v>
      </c>
      <c r="J591" s="56"/>
      <c r="K591" s="57"/>
      <c r="M591" s="14"/>
      <c r="N591" s="14"/>
      <c r="O591" s="14"/>
      <c r="P591" s="14"/>
      <c r="Q591" s="14"/>
      <c r="R591" s="14"/>
      <c r="S591" s="14"/>
      <c r="T591" s="70"/>
      <c r="U591" s="76" t="s">
        <v>54</v>
      </c>
      <c r="V591" s="76">
        <v>1.7830000000000001E-3</v>
      </c>
      <c r="W591" s="76" t="s">
        <v>54</v>
      </c>
      <c r="X591" s="76">
        <v>1.7830000000000001E-3</v>
      </c>
      <c r="Y591" s="77" t="s">
        <v>35</v>
      </c>
      <c r="Z591" s="87"/>
      <c r="AA591" s="79" t="s">
        <v>988</v>
      </c>
      <c r="AB591" s="79" t="s">
        <v>37</v>
      </c>
      <c r="AC591" s="79" t="s">
        <v>35</v>
      </c>
      <c r="AD591" s="79"/>
      <c r="AE591" s="79" t="s">
        <v>989</v>
      </c>
      <c r="AF591" s="79" t="s">
        <v>990</v>
      </c>
      <c r="AG591" s="105" t="s">
        <v>991</v>
      </c>
      <c r="AH591" s="79"/>
      <c r="AI591" s="53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</row>
    <row r="592" spans="1:110" ht="20.399999999999999" x14ac:dyDescent="0.25">
      <c r="A592" s="24">
        <v>1403007</v>
      </c>
      <c r="B592" s="26" t="s">
        <v>956</v>
      </c>
      <c r="C592" s="25" t="s">
        <v>992</v>
      </c>
      <c r="D592" s="26"/>
      <c r="E592" s="10" t="s">
        <v>993</v>
      </c>
      <c r="F592" s="10" t="s">
        <v>557</v>
      </c>
      <c r="G592" s="55">
        <f t="shared" si="15"/>
        <v>5.8810000000000001E-2</v>
      </c>
      <c r="H592" s="10">
        <v>10</v>
      </c>
      <c r="I592" s="13">
        <v>30000</v>
      </c>
      <c r="J592" s="56"/>
      <c r="K592" s="57"/>
      <c r="M592" s="14"/>
      <c r="N592" s="14"/>
      <c r="O592" s="14"/>
      <c r="P592" s="14"/>
      <c r="Q592" s="14"/>
      <c r="R592" s="14"/>
      <c r="S592" s="14"/>
      <c r="T592" s="70"/>
      <c r="U592" s="76">
        <v>5.6300000000000003E-2</v>
      </c>
      <c r="V592" s="76">
        <v>2.5100000000000001E-3</v>
      </c>
      <c r="W592" s="76">
        <v>5.6300000000000003E-2</v>
      </c>
      <c r="X592" s="76">
        <v>2.5100000000000001E-3</v>
      </c>
      <c r="Y592" s="77" t="s">
        <v>37</v>
      </c>
      <c r="Z592" s="87"/>
      <c r="AA592" s="79" t="s">
        <v>517</v>
      </c>
      <c r="AB592" s="79" t="s">
        <v>35</v>
      </c>
      <c r="AC592" s="79" t="s">
        <v>35</v>
      </c>
      <c r="AD592" s="79"/>
      <c r="AE592" s="79" t="s">
        <v>994</v>
      </c>
      <c r="AF592" s="79" t="s">
        <v>995</v>
      </c>
      <c r="AG592" s="105" t="s">
        <v>996</v>
      </c>
      <c r="AH592" s="79"/>
      <c r="AI592" s="53"/>
      <c r="AJ592" s="7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</row>
    <row r="593" spans="1:110" ht="13.8" x14ac:dyDescent="0.25">
      <c r="A593" s="24">
        <v>1403008</v>
      </c>
      <c r="B593" s="26" t="s">
        <v>956</v>
      </c>
      <c r="C593" s="25" t="s">
        <v>997</v>
      </c>
      <c r="D593" s="26"/>
      <c r="E593" s="10" t="s">
        <v>998</v>
      </c>
      <c r="F593" s="10" t="s">
        <v>557</v>
      </c>
      <c r="G593" s="55">
        <f t="shared" si="15"/>
        <v>0.44</v>
      </c>
      <c r="H593" s="10">
        <v>14</v>
      </c>
      <c r="I593" s="13">
        <v>10000</v>
      </c>
      <c r="J593" s="56"/>
      <c r="K593" s="57"/>
      <c r="M593" s="14"/>
      <c r="N593" s="14"/>
      <c r="O593" s="14"/>
      <c r="P593" s="14"/>
      <c r="Q593" s="14"/>
      <c r="R593" s="14"/>
      <c r="S593" s="14"/>
      <c r="T593" s="70">
        <v>0.41499999999999998</v>
      </c>
      <c r="U593" s="76">
        <v>0.41499999999999998</v>
      </c>
      <c r="V593" s="76">
        <v>2.5000000000000001E-2</v>
      </c>
      <c r="W593" s="76">
        <v>0.41499999999999998</v>
      </c>
      <c r="X593" s="76">
        <v>2.5000000000000001E-2</v>
      </c>
      <c r="Y593" s="77" t="s">
        <v>35</v>
      </c>
      <c r="Z593" s="87">
        <v>10000</v>
      </c>
      <c r="AA593" s="79" t="s">
        <v>36</v>
      </c>
      <c r="AB593" s="79" t="s">
        <v>35</v>
      </c>
      <c r="AC593" s="79" t="s">
        <v>37</v>
      </c>
      <c r="AD593" s="79" t="s">
        <v>38</v>
      </c>
      <c r="AE593" s="79" t="s">
        <v>999</v>
      </c>
      <c r="AF593" s="79" t="s">
        <v>1000</v>
      </c>
      <c r="AG593" s="105" t="s">
        <v>1001</v>
      </c>
      <c r="AH593" s="79"/>
      <c r="AI593" s="53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</row>
    <row r="594" spans="1:110" ht="13.8" x14ac:dyDescent="0.25">
      <c r="A594" s="24">
        <v>1403009</v>
      </c>
      <c r="B594" s="26" t="s">
        <v>956</v>
      </c>
      <c r="C594" s="25" t="s">
        <v>1002</v>
      </c>
      <c r="D594" s="26"/>
      <c r="E594" s="10" t="s">
        <v>998</v>
      </c>
      <c r="F594" s="10" t="s">
        <v>557</v>
      </c>
      <c r="G594" s="55">
        <f t="shared" si="15"/>
        <v>0.44</v>
      </c>
      <c r="H594" s="10">
        <v>14</v>
      </c>
      <c r="I594" s="13">
        <v>10000</v>
      </c>
      <c r="J594" s="56"/>
      <c r="K594" s="57"/>
      <c r="M594" s="14"/>
      <c r="N594" s="14"/>
      <c r="O594" s="14"/>
      <c r="P594" s="14"/>
      <c r="Q594" s="14"/>
      <c r="R594" s="14"/>
      <c r="S594" s="14"/>
      <c r="T594" s="70">
        <v>0.41499999999999998</v>
      </c>
      <c r="U594" s="76">
        <v>0.41499999999999998</v>
      </c>
      <c r="V594" s="76">
        <v>2.5000000000000001E-2</v>
      </c>
      <c r="W594" s="76">
        <v>0.41499999999999998</v>
      </c>
      <c r="X594" s="76">
        <v>2.5000000000000001E-2</v>
      </c>
      <c r="Y594" s="77" t="s">
        <v>35</v>
      </c>
      <c r="Z594" s="87">
        <v>10000</v>
      </c>
      <c r="AA594" s="79" t="s">
        <v>36</v>
      </c>
      <c r="AB594" s="79" t="s">
        <v>35</v>
      </c>
      <c r="AC594" s="79" t="s">
        <v>37</v>
      </c>
      <c r="AD594" s="79" t="s">
        <v>38</v>
      </c>
      <c r="AE594" s="79" t="s">
        <v>999</v>
      </c>
      <c r="AF594" s="79" t="s">
        <v>1000</v>
      </c>
      <c r="AG594" s="105" t="s">
        <v>1001</v>
      </c>
      <c r="AH594" s="79"/>
      <c r="AI594" s="53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</row>
    <row r="595" spans="1:110" ht="13.8" x14ac:dyDescent="0.25">
      <c r="A595" s="43">
        <v>1403011</v>
      </c>
      <c r="B595" s="41" t="s">
        <v>956</v>
      </c>
      <c r="C595" s="42" t="s">
        <v>1003</v>
      </c>
      <c r="D595" s="11"/>
      <c r="E595" s="43" t="s">
        <v>1004</v>
      </c>
      <c r="F595" s="43" t="s">
        <v>557</v>
      </c>
      <c r="G595" s="55">
        <f t="shared" si="15"/>
        <v>0.12040000000000001</v>
      </c>
      <c r="H595" s="43">
        <v>12</v>
      </c>
      <c r="I595" s="13"/>
      <c r="J595" s="56"/>
      <c r="K595" s="57"/>
      <c r="M595" s="14"/>
      <c r="N595" s="14"/>
      <c r="O595" s="14"/>
      <c r="P595" s="14"/>
      <c r="Q595" s="14"/>
      <c r="R595" s="14"/>
      <c r="S595" s="14"/>
      <c r="T595" s="70"/>
      <c r="U595" s="111">
        <v>5.3400000000000003E-2</v>
      </c>
      <c r="V595" s="112">
        <v>6.7000000000000004E-2</v>
      </c>
      <c r="W595" s="111">
        <v>5.3400000000000003E-2</v>
      </c>
      <c r="X595" s="112">
        <v>6.7000000000000004E-2</v>
      </c>
      <c r="Y595" s="113" t="s">
        <v>37</v>
      </c>
      <c r="Z595" s="114">
        <v>1000</v>
      </c>
      <c r="AA595" s="115" t="s">
        <v>284</v>
      </c>
      <c r="AB595" s="115" t="s">
        <v>35</v>
      </c>
      <c r="AC595" s="115" t="s">
        <v>35</v>
      </c>
      <c r="AD595" s="79"/>
      <c r="AE595" s="115" t="s">
        <v>1005</v>
      </c>
      <c r="AF595" s="115" t="s">
        <v>1006</v>
      </c>
      <c r="AG595" s="115" t="s">
        <v>1007</v>
      </c>
      <c r="AH595" s="79"/>
      <c r="AI595" s="53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</row>
    <row r="596" spans="1:110" ht="13.8" x14ac:dyDescent="0.25">
      <c r="A596" s="10">
        <v>1404001</v>
      </c>
      <c r="B596" s="11" t="s">
        <v>956</v>
      </c>
      <c r="C596" s="12" t="s">
        <v>1008</v>
      </c>
      <c r="D596" s="11" t="s">
        <v>1009</v>
      </c>
      <c r="E596" s="10" t="s">
        <v>55</v>
      </c>
      <c r="F596" s="10" t="s">
        <v>557</v>
      </c>
      <c r="G596" s="55" t="str">
        <f t="shared" si="15"/>
        <v>Obsolete</v>
      </c>
      <c r="H596" s="10">
        <v>1</v>
      </c>
      <c r="I596" s="13" t="s">
        <v>38</v>
      </c>
      <c r="J596" s="56"/>
      <c r="K596" s="57"/>
      <c r="M596" s="14">
        <v>0.36299999999999999</v>
      </c>
      <c r="N596" s="14"/>
      <c r="O596" s="14"/>
      <c r="P596" s="14"/>
      <c r="Q596" s="14"/>
      <c r="R596" s="14"/>
      <c r="S596" s="14"/>
      <c r="T596" s="70"/>
      <c r="U596" s="76" t="s">
        <v>54</v>
      </c>
      <c r="V596" s="97"/>
      <c r="W596" s="76" t="s">
        <v>54</v>
      </c>
      <c r="X596" s="76"/>
      <c r="Y596" s="97"/>
      <c r="Z596" s="78">
        <v>3000</v>
      </c>
      <c r="AA596" s="79" t="s">
        <v>55</v>
      </c>
      <c r="AB596" s="79" t="s">
        <v>37</v>
      </c>
      <c r="AC596" s="79" t="s">
        <v>37</v>
      </c>
      <c r="AD596" s="79"/>
      <c r="AE596" s="79"/>
      <c r="AF596" s="79"/>
      <c r="AG596" s="79"/>
      <c r="AH596" s="79"/>
      <c r="AI596" s="53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</row>
    <row r="597" spans="1:110" ht="13.8" x14ac:dyDescent="0.25">
      <c r="A597" s="10">
        <v>1404002</v>
      </c>
      <c r="B597" s="11" t="s">
        <v>956</v>
      </c>
      <c r="C597" s="12" t="s">
        <v>1010</v>
      </c>
      <c r="D597" s="11" t="s">
        <v>1011</v>
      </c>
      <c r="E597" s="10" t="s">
        <v>55</v>
      </c>
      <c r="F597" s="10" t="s">
        <v>557</v>
      </c>
      <c r="G597" s="55" t="str">
        <f t="shared" si="15"/>
        <v>Obsolete</v>
      </c>
      <c r="H597" s="10">
        <v>1</v>
      </c>
      <c r="I597" s="13" t="s">
        <v>38</v>
      </c>
      <c r="J597" s="56"/>
      <c r="K597" s="57"/>
      <c r="M597" s="14">
        <v>0.36299999999999999</v>
      </c>
      <c r="N597" s="14"/>
      <c r="O597" s="14"/>
      <c r="P597" s="14"/>
      <c r="Q597" s="14"/>
      <c r="R597" s="14"/>
      <c r="S597" s="14"/>
      <c r="T597" s="70"/>
      <c r="U597" s="76" t="s">
        <v>54</v>
      </c>
      <c r="V597" s="97"/>
      <c r="W597" s="76" t="s">
        <v>54</v>
      </c>
      <c r="X597" s="76"/>
      <c r="Y597" s="97"/>
      <c r="Z597" s="78">
        <v>3000</v>
      </c>
      <c r="AA597" s="79" t="s">
        <v>55</v>
      </c>
      <c r="AB597" s="79" t="s">
        <v>37</v>
      </c>
      <c r="AC597" s="79" t="s">
        <v>37</v>
      </c>
      <c r="AD597" s="79"/>
      <c r="AE597" s="79"/>
      <c r="AF597" s="79"/>
      <c r="AG597" s="79"/>
      <c r="AH597" s="79"/>
      <c r="AI597" s="53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</row>
    <row r="598" spans="1:110" ht="13.8" x14ac:dyDescent="0.25">
      <c r="A598" s="24">
        <v>1404003</v>
      </c>
      <c r="B598" s="26" t="s">
        <v>956</v>
      </c>
      <c r="C598" s="25" t="s">
        <v>1012</v>
      </c>
      <c r="D598" s="26"/>
      <c r="E598" s="10" t="s">
        <v>1013</v>
      </c>
      <c r="F598" s="10" t="s">
        <v>557</v>
      </c>
      <c r="G598" s="55" t="str">
        <f t="shared" si="15"/>
        <v>Obsolete</v>
      </c>
      <c r="H598" s="10"/>
      <c r="I598" s="13"/>
      <c r="J598" s="56"/>
      <c r="K598" s="57"/>
      <c r="M598" s="14"/>
      <c r="N598" s="14"/>
      <c r="O598" s="14"/>
      <c r="P598" s="14"/>
      <c r="Q598" s="14"/>
      <c r="R598" s="14"/>
      <c r="S598" s="14"/>
      <c r="T598" s="70"/>
      <c r="U598" s="76" t="s">
        <v>54</v>
      </c>
      <c r="V598" s="97"/>
      <c r="W598" s="76" t="s">
        <v>54</v>
      </c>
      <c r="X598" s="76"/>
      <c r="Y598" s="97"/>
      <c r="Z598" s="87"/>
      <c r="AA598" s="79"/>
      <c r="AB598" s="79" t="s">
        <v>37</v>
      </c>
      <c r="AC598" s="79" t="s">
        <v>37</v>
      </c>
      <c r="AD598" s="79"/>
      <c r="AE598" s="79"/>
      <c r="AF598" s="79"/>
      <c r="AG598" s="79"/>
      <c r="AH598" s="79"/>
      <c r="AI598" s="53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</row>
    <row r="599" spans="1:110" ht="13.8" x14ac:dyDescent="0.25">
      <c r="A599" s="24">
        <v>1404004</v>
      </c>
      <c r="B599" s="26" t="s">
        <v>956</v>
      </c>
      <c r="C599" s="25" t="s">
        <v>1014</v>
      </c>
      <c r="D599" s="26"/>
      <c r="E599" s="10" t="s">
        <v>1013</v>
      </c>
      <c r="F599" s="10" t="s">
        <v>557</v>
      </c>
      <c r="G599" s="55" t="str">
        <f t="shared" si="15"/>
        <v>Obsolete</v>
      </c>
      <c r="H599" s="10"/>
      <c r="I599" s="13"/>
      <c r="J599" s="56"/>
      <c r="K599" s="57"/>
      <c r="M599" s="14"/>
      <c r="N599" s="14"/>
      <c r="O599" s="14"/>
      <c r="P599" s="14"/>
      <c r="Q599" s="14"/>
      <c r="R599" s="14"/>
      <c r="S599" s="14"/>
      <c r="T599" s="70"/>
      <c r="U599" s="76" t="s">
        <v>54</v>
      </c>
      <c r="V599" s="97"/>
      <c r="W599" s="76" t="s">
        <v>54</v>
      </c>
      <c r="X599" s="76"/>
      <c r="Y599" s="97"/>
      <c r="Z599" s="87"/>
      <c r="AA599" s="79"/>
      <c r="AB599" s="79" t="s">
        <v>37</v>
      </c>
      <c r="AC599" s="79" t="s">
        <v>37</v>
      </c>
      <c r="AD599" s="79"/>
      <c r="AE599" s="79"/>
      <c r="AF599" s="79"/>
      <c r="AG599" s="79"/>
      <c r="AH599" s="79"/>
      <c r="AI599" s="53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</row>
    <row r="600" spans="1:110" ht="13.8" x14ac:dyDescent="0.25">
      <c r="A600" s="24">
        <v>1404005</v>
      </c>
      <c r="B600" s="10" t="s">
        <v>956</v>
      </c>
      <c r="C600" s="16" t="s">
        <v>1015</v>
      </c>
      <c r="D600" s="26" t="s">
        <v>496</v>
      </c>
      <c r="E600" s="10" t="s">
        <v>1016</v>
      </c>
      <c r="F600" s="10" t="s">
        <v>557</v>
      </c>
      <c r="G600" s="55" t="str">
        <f t="shared" si="15"/>
        <v>Obsolete</v>
      </c>
      <c r="H600" s="10"/>
      <c r="I600" s="13"/>
      <c r="J600" s="56"/>
      <c r="K600" s="57"/>
      <c r="M600" s="14"/>
      <c r="N600" s="14"/>
      <c r="O600" s="14"/>
      <c r="P600" s="14"/>
      <c r="Q600" s="14"/>
      <c r="R600" s="14"/>
      <c r="S600" s="14"/>
      <c r="T600" s="70"/>
      <c r="U600" s="76" t="s">
        <v>54</v>
      </c>
      <c r="V600" s="97"/>
      <c r="W600" s="76" t="s">
        <v>54</v>
      </c>
      <c r="X600" s="76"/>
      <c r="Y600" s="97"/>
      <c r="Z600" s="87"/>
      <c r="AA600" s="79"/>
      <c r="AB600" s="79" t="s">
        <v>37</v>
      </c>
      <c r="AC600" s="79" t="s">
        <v>37</v>
      </c>
      <c r="AD600" s="79"/>
      <c r="AE600" s="79"/>
      <c r="AF600" s="79"/>
      <c r="AG600" s="79"/>
      <c r="AH600" s="79"/>
      <c r="AI600" s="53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</row>
    <row r="601" spans="1:110" ht="13.8" x14ac:dyDescent="0.25">
      <c r="A601" s="24">
        <v>1404006</v>
      </c>
      <c r="B601" s="10" t="s">
        <v>956</v>
      </c>
      <c r="C601" s="16" t="s">
        <v>1017</v>
      </c>
      <c r="D601" s="26" t="s">
        <v>496</v>
      </c>
      <c r="E601" s="10" t="s">
        <v>1018</v>
      </c>
      <c r="F601" s="10" t="s">
        <v>557</v>
      </c>
      <c r="G601" s="55" t="str">
        <f t="shared" si="15"/>
        <v>Obsolete</v>
      </c>
      <c r="H601" s="10"/>
      <c r="I601" s="13"/>
      <c r="J601" s="56"/>
      <c r="K601" s="57"/>
      <c r="M601" s="14"/>
      <c r="N601" s="14"/>
      <c r="O601" s="14"/>
      <c r="P601" s="14"/>
      <c r="Q601" s="14"/>
      <c r="R601" s="14"/>
      <c r="S601" s="14"/>
      <c r="T601" s="70"/>
      <c r="U601" s="76" t="s">
        <v>54</v>
      </c>
      <c r="V601" s="97"/>
      <c r="W601" s="76" t="s">
        <v>54</v>
      </c>
      <c r="X601" s="76"/>
      <c r="Y601" s="97"/>
      <c r="Z601" s="87"/>
      <c r="AA601" s="79"/>
      <c r="AB601" s="79" t="s">
        <v>37</v>
      </c>
      <c r="AC601" s="79" t="s">
        <v>37</v>
      </c>
      <c r="AD601" s="79"/>
      <c r="AE601" s="79"/>
      <c r="AF601" s="79"/>
      <c r="AG601" s="79"/>
      <c r="AH601" s="79"/>
      <c r="AI601" s="53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</row>
    <row r="602" spans="1:110" ht="13.8" x14ac:dyDescent="0.25">
      <c r="A602" s="24">
        <v>1404007</v>
      </c>
      <c r="B602" s="10" t="s">
        <v>956</v>
      </c>
      <c r="C602" s="16" t="s">
        <v>1019</v>
      </c>
      <c r="D602" s="26" t="s">
        <v>496</v>
      </c>
      <c r="E602" s="10" t="s">
        <v>1018</v>
      </c>
      <c r="F602" s="10" t="s">
        <v>557</v>
      </c>
      <c r="G602" s="55" t="str">
        <f t="shared" si="15"/>
        <v>Obsolete</v>
      </c>
      <c r="H602" s="10"/>
      <c r="I602" s="13"/>
      <c r="J602" s="56"/>
      <c r="K602" s="57"/>
      <c r="M602" s="14"/>
      <c r="N602" s="14"/>
      <c r="O602" s="14"/>
      <c r="P602" s="14"/>
      <c r="Q602" s="14"/>
      <c r="R602" s="14"/>
      <c r="S602" s="14"/>
      <c r="T602" s="70"/>
      <c r="U602" s="76" t="s">
        <v>54</v>
      </c>
      <c r="V602" s="97"/>
      <c r="W602" s="76" t="s">
        <v>54</v>
      </c>
      <c r="X602" s="76"/>
      <c r="Y602" s="97"/>
      <c r="Z602" s="87"/>
      <c r="AA602" s="79"/>
      <c r="AB602" s="79" t="s">
        <v>37</v>
      </c>
      <c r="AC602" s="79" t="s">
        <v>37</v>
      </c>
      <c r="AD602" s="79"/>
      <c r="AE602" s="79"/>
      <c r="AF602" s="79"/>
      <c r="AG602" s="79"/>
      <c r="AH602" s="79"/>
      <c r="AI602" s="53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</row>
    <row r="603" spans="1:110" ht="13.8" x14ac:dyDescent="0.25">
      <c r="A603" s="24">
        <v>1404008</v>
      </c>
      <c r="B603" s="10" t="s">
        <v>956</v>
      </c>
      <c r="C603" s="16" t="s">
        <v>1020</v>
      </c>
      <c r="D603" s="26" t="s">
        <v>496</v>
      </c>
      <c r="E603" s="10" t="s">
        <v>1018</v>
      </c>
      <c r="F603" s="10" t="s">
        <v>557</v>
      </c>
      <c r="G603" s="55" t="str">
        <f t="shared" si="15"/>
        <v>Obsolete</v>
      </c>
      <c r="H603" s="10"/>
      <c r="I603" s="13"/>
      <c r="J603" s="56"/>
      <c r="K603" s="57"/>
      <c r="M603" s="14"/>
      <c r="N603" s="14"/>
      <c r="O603" s="14"/>
      <c r="P603" s="14"/>
      <c r="Q603" s="14"/>
      <c r="R603" s="14"/>
      <c r="S603" s="14"/>
      <c r="T603" s="70"/>
      <c r="U603" s="76" t="s">
        <v>54</v>
      </c>
      <c r="V603" s="97"/>
      <c r="W603" s="76" t="s">
        <v>54</v>
      </c>
      <c r="X603" s="76"/>
      <c r="Y603" s="97"/>
      <c r="Z603" s="87"/>
      <c r="AA603" s="79"/>
      <c r="AB603" s="79" t="s">
        <v>37</v>
      </c>
      <c r="AC603" s="79" t="s">
        <v>37</v>
      </c>
      <c r="AD603" s="79"/>
      <c r="AE603" s="79"/>
      <c r="AF603" s="79"/>
      <c r="AG603" s="79"/>
      <c r="AH603" s="79"/>
      <c r="AI603" s="53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</row>
    <row r="604" spans="1:110" ht="13.8" x14ac:dyDescent="0.25">
      <c r="A604" s="24">
        <v>1404009</v>
      </c>
      <c r="B604" s="10" t="s">
        <v>956</v>
      </c>
      <c r="C604" s="16" t="s">
        <v>1021</v>
      </c>
      <c r="D604" s="26" t="s">
        <v>496</v>
      </c>
      <c r="E604" s="10" t="s">
        <v>1016</v>
      </c>
      <c r="F604" s="10" t="s">
        <v>557</v>
      </c>
      <c r="G604" s="55" t="str">
        <f t="shared" si="15"/>
        <v>Obsolete</v>
      </c>
      <c r="H604" s="10"/>
      <c r="I604" s="13"/>
      <c r="J604" s="56"/>
      <c r="K604" s="57"/>
      <c r="M604" s="14"/>
      <c r="N604" s="14"/>
      <c r="O604" s="14"/>
      <c r="P604" s="14"/>
      <c r="Q604" s="14"/>
      <c r="R604" s="14"/>
      <c r="S604" s="14"/>
      <c r="T604" s="70"/>
      <c r="U604" s="76" t="s">
        <v>54</v>
      </c>
      <c r="V604" s="97"/>
      <c r="W604" s="76" t="s">
        <v>54</v>
      </c>
      <c r="X604" s="76"/>
      <c r="Y604" s="97"/>
      <c r="Z604" s="87"/>
      <c r="AA604" s="79"/>
      <c r="AB604" s="79" t="s">
        <v>37</v>
      </c>
      <c r="AC604" s="79" t="s">
        <v>37</v>
      </c>
      <c r="AD604" s="79"/>
      <c r="AE604" s="79"/>
      <c r="AF604" s="79"/>
      <c r="AG604" s="79"/>
      <c r="AH604" s="79"/>
      <c r="AI604" s="53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</row>
    <row r="605" spans="1:110" ht="13.8" x14ac:dyDescent="0.25">
      <c r="A605" s="10">
        <v>1404010</v>
      </c>
      <c r="B605" s="10" t="s">
        <v>956</v>
      </c>
      <c r="C605" s="12" t="s">
        <v>1022</v>
      </c>
      <c r="D605" s="11"/>
      <c r="E605" s="10" t="s">
        <v>1023</v>
      </c>
      <c r="F605" s="10" t="s">
        <v>557</v>
      </c>
      <c r="G605" s="55" t="str">
        <f t="shared" si="15"/>
        <v>Obsolete</v>
      </c>
      <c r="H605" s="10">
        <v>6</v>
      </c>
      <c r="I605" s="13">
        <v>5076</v>
      </c>
      <c r="J605" s="56"/>
      <c r="K605" s="57"/>
      <c r="M605" s="14">
        <v>1.3080000000000001</v>
      </c>
      <c r="N605" s="14"/>
      <c r="O605" s="14"/>
      <c r="P605" s="14"/>
      <c r="Q605" s="14"/>
      <c r="R605" s="14"/>
      <c r="S605" s="14"/>
      <c r="T605" s="70"/>
      <c r="U605" s="76" t="s">
        <v>54</v>
      </c>
      <c r="V605" s="97"/>
      <c r="W605" s="76" t="s">
        <v>54</v>
      </c>
      <c r="X605" s="76"/>
      <c r="Y605" s="97"/>
      <c r="Z605" s="78">
        <v>108</v>
      </c>
      <c r="AA605" s="79" t="s">
        <v>36</v>
      </c>
      <c r="AB605" s="79" t="s">
        <v>37</v>
      </c>
      <c r="AC605" s="79" t="s">
        <v>37</v>
      </c>
      <c r="AD605" s="79"/>
      <c r="AE605" s="79" t="s">
        <v>1024</v>
      </c>
      <c r="AF605" s="106" t="s">
        <v>1025</v>
      </c>
      <c r="AG605" s="79" t="s">
        <v>1026</v>
      </c>
      <c r="AH605" s="79"/>
      <c r="AI605" s="53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</row>
    <row r="606" spans="1:110" ht="20.399999999999999" x14ac:dyDescent="0.25">
      <c r="A606" s="10">
        <v>1404011</v>
      </c>
      <c r="B606" s="10" t="s">
        <v>956</v>
      </c>
      <c r="C606" s="25" t="s">
        <v>1027</v>
      </c>
      <c r="D606" s="11"/>
      <c r="E606" s="10" t="s">
        <v>1028</v>
      </c>
      <c r="F606" s="10" t="s">
        <v>557</v>
      </c>
      <c r="G606" s="55" t="str">
        <f t="shared" si="15"/>
        <v>Obsolete</v>
      </c>
      <c r="H606" s="10"/>
      <c r="I606" s="13"/>
      <c r="J606" s="56"/>
      <c r="K606" s="57"/>
      <c r="M606" s="14"/>
      <c r="N606" s="14"/>
      <c r="O606" s="14"/>
      <c r="P606" s="14"/>
      <c r="Q606" s="14"/>
      <c r="R606" s="14"/>
      <c r="S606" s="14"/>
      <c r="T606" s="70"/>
      <c r="U606" s="76" t="s">
        <v>54</v>
      </c>
      <c r="V606" s="97"/>
      <c r="W606" s="76" t="s">
        <v>54</v>
      </c>
      <c r="X606" s="76"/>
      <c r="Y606" s="97"/>
      <c r="Z606" s="78"/>
      <c r="AA606" s="79" t="s">
        <v>55</v>
      </c>
      <c r="AB606" s="79" t="s">
        <v>37</v>
      </c>
      <c r="AC606" s="79" t="s">
        <v>37</v>
      </c>
      <c r="AD606" s="79"/>
      <c r="AE606" s="79"/>
      <c r="AF606" s="79"/>
      <c r="AG606" s="79"/>
      <c r="AH606" s="79"/>
      <c r="AI606" s="53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</row>
    <row r="607" spans="1:110" ht="20.399999999999999" x14ac:dyDescent="0.25">
      <c r="A607" s="10">
        <v>1404012</v>
      </c>
      <c r="B607" s="10" t="s">
        <v>956</v>
      </c>
      <c r="C607" s="25" t="s">
        <v>1029</v>
      </c>
      <c r="D607" s="11"/>
      <c r="E607" s="10" t="s">
        <v>1028</v>
      </c>
      <c r="F607" s="10" t="s">
        <v>557</v>
      </c>
      <c r="G607" s="55" t="str">
        <f t="shared" si="15"/>
        <v>Obsolete</v>
      </c>
      <c r="H607" s="10"/>
      <c r="I607" s="13"/>
      <c r="J607" s="56"/>
      <c r="K607" s="57"/>
      <c r="M607" s="14"/>
      <c r="N607" s="14"/>
      <c r="O607" s="14"/>
      <c r="P607" s="14"/>
      <c r="Q607" s="14"/>
      <c r="R607" s="14"/>
      <c r="S607" s="14"/>
      <c r="T607" s="70"/>
      <c r="U607" s="76" t="s">
        <v>54</v>
      </c>
      <c r="V607" s="97"/>
      <c r="W607" s="76" t="s">
        <v>54</v>
      </c>
      <c r="X607" s="76"/>
      <c r="Y607" s="97"/>
      <c r="Z607" s="78"/>
      <c r="AA607" s="79" t="s">
        <v>55</v>
      </c>
      <c r="AB607" s="79" t="s">
        <v>37</v>
      </c>
      <c r="AC607" s="79" t="s">
        <v>37</v>
      </c>
      <c r="AD607" s="79"/>
      <c r="AE607" s="79"/>
      <c r="AF607" s="79"/>
      <c r="AG607" s="79"/>
      <c r="AH607" s="79"/>
      <c r="AI607" s="53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</row>
    <row r="608" spans="1:110" ht="20.399999999999999" x14ac:dyDescent="0.25">
      <c r="A608" s="10">
        <v>1404013</v>
      </c>
      <c r="B608" s="10" t="s">
        <v>956</v>
      </c>
      <c r="C608" s="25" t="s">
        <v>1030</v>
      </c>
      <c r="D608" s="11"/>
      <c r="E608" s="10" t="s">
        <v>1028</v>
      </c>
      <c r="F608" s="10" t="s">
        <v>557</v>
      </c>
      <c r="G608" s="55" t="str">
        <f t="shared" si="15"/>
        <v>Obsolete</v>
      </c>
      <c r="H608" s="10"/>
      <c r="I608" s="13"/>
      <c r="J608" s="56"/>
      <c r="K608" s="57"/>
      <c r="M608" s="14"/>
      <c r="N608" s="14"/>
      <c r="O608" s="14"/>
      <c r="P608" s="14"/>
      <c r="Q608" s="14"/>
      <c r="R608" s="14"/>
      <c r="S608" s="14"/>
      <c r="T608" s="70"/>
      <c r="U608" s="76" t="s">
        <v>54</v>
      </c>
      <c r="V608" s="97"/>
      <c r="W608" s="76" t="s">
        <v>54</v>
      </c>
      <c r="X608" s="76"/>
      <c r="Y608" s="97"/>
      <c r="Z608" s="78"/>
      <c r="AA608" s="79" t="s">
        <v>55</v>
      </c>
      <c r="AB608" s="79" t="s">
        <v>37</v>
      </c>
      <c r="AC608" s="79" t="s">
        <v>37</v>
      </c>
      <c r="AD608" s="79"/>
      <c r="AE608" s="79"/>
      <c r="AF608" s="79"/>
      <c r="AG608" s="79"/>
      <c r="AH608" s="79"/>
      <c r="AI608" s="53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</row>
    <row r="609" spans="1:110" ht="20.399999999999999" x14ac:dyDescent="0.25">
      <c r="A609" s="10">
        <v>1404014</v>
      </c>
      <c r="B609" s="10" t="s">
        <v>956</v>
      </c>
      <c r="C609" s="25" t="s">
        <v>1031</v>
      </c>
      <c r="D609" s="11"/>
      <c r="E609" s="10" t="s">
        <v>1028</v>
      </c>
      <c r="F609" s="10" t="s">
        <v>557</v>
      </c>
      <c r="G609" s="55" t="str">
        <f t="shared" si="15"/>
        <v>Obsolete</v>
      </c>
      <c r="H609" s="10"/>
      <c r="I609" s="13"/>
      <c r="J609" s="56"/>
      <c r="K609" s="57"/>
      <c r="M609" s="14"/>
      <c r="N609" s="14"/>
      <c r="O609" s="14"/>
      <c r="P609" s="14"/>
      <c r="Q609" s="14"/>
      <c r="R609" s="14"/>
      <c r="S609" s="14"/>
      <c r="T609" s="70"/>
      <c r="U609" s="76" t="s">
        <v>54</v>
      </c>
      <c r="V609" s="97"/>
      <c r="W609" s="76" t="s">
        <v>54</v>
      </c>
      <c r="X609" s="76"/>
      <c r="Y609" s="97"/>
      <c r="Z609" s="78"/>
      <c r="AA609" s="79" t="s">
        <v>55</v>
      </c>
      <c r="AB609" s="79" t="s">
        <v>37</v>
      </c>
      <c r="AC609" s="79" t="s">
        <v>37</v>
      </c>
      <c r="AD609" s="79"/>
      <c r="AE609" s="79"/>
      <c r="AF609" s="79"/>
      <c r="AG609" s="79"/>
      <c r="AH609" s="79"/>
      <c r="AI609" s="53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</row>
    <row r="610" spans="1:110" ht="13.8" x14ac:dyDescent="0.25">
      <c r="A610" s="10">
        <v>1404015</v>
      </c>
      <c r="B610" s="10" t="s">
        <v>956</v>
      </c>
      <c r="C610" s="25" t="s">
        <v>1032</v>
      </c>
      <c r="D610" s="11"/>
      <c r="E610" s="10" t="s">
        <v>1033</v>
      </c>
      <c r="F610" s="10" t="s">
        <v>557</v>
      </c>
      <c r="G610" s="55" t="str">
        <f t="shared" si="15"/>
        <v>Obsolete</v>
      </c>
      <c r="H610" s="10">
        <v>1</v>
      </c>
      <c r="I610" s="13">
        <v>50000</v>
      </c>
      <c r="J610" s="56"/>
      <c r="K610" s="57"/>
      <c r="M610" s="14"/>
      <c r="N610" s="14"/>
      <c r="O610" s="14"/>
      <c r="P610" s="14"/>
      <c r="Q610" s="14"/>
      <c r="R610" s="14"/>
      <c r="S610" s="14"/>
      <c r="T610" s="70">
        <v>3.644E-2</v>
      </c>
      <c r="U610" s="76" t="s">
        <v>54</v>
      </c>
      <c r="V610" s="116"/>
      <c r="W610" s="76" t="s">
        <v>54</v>
      </c>
      <c r="X610" s="76"/>
      <c r="Y610" s="116"/>
      <c r="Z610" s="78"/>
      <c r="AA610" s="79" t="s">
        <v>169</v>
      </c>
      <c r="AB610" s="79" t="s">
        <v>37</v>
      </c>
      <c r="AC610" s="79" t="s">
        <v>37</v>
      </c>
      <c r="AD610" s="79"/>
      <c r="AE610" s="79"/>
      <c r="AF610" s="79"/>
      <c r="AG610" s="79"/>
      <c r="AH610" s="79"/>
      <c r="AI610" s="53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</row>
    <row r="611" spans="1:110" ht="13.8" x14ac:dyDescent="0.25">
      <c r="A611" s="10">
        <v>1404016</v>
      </c>
      <c r="B611" s="10" t="s">
        <v>956</v>
      </c>
      <c r="C611" s="16" t="s">
        <v>1034</v>
      </c>
      <c r="D611" s="11" t="s">
        <v>496</v>
      </c>
      <c r="E611" s="10" t="s">
        <v>1018</v>
      </c>
      <c r="F611" s="10" t="s">
        <v>557</v>
      </c>
      <c r="G611" s="55" t="str">
        <f t="shared" si="15"/>
        <v>Obsolete</v>
      </c>
      <c r="H611" s="10"/>
      <c r="I611" s="13"/>
      <c r="J611" s="56"/>
      <c r="K611" s="57"/>
      <c r="M611" s="14"/>
      <c r="N611" s="14"/>
      <c r="O611" s="14"/>
      <c r="P611" s="14"/>
      <c r="Q611" s="14"/>
      <c r="R611" s="14"/>
      <c r="S611" s="14"/>
      <c r="T611" s="70"/>
      <c r="U611" s="76" t="s">
        <v>54</v>
      </c>
      <c r="V611" s="97"/>
      <c r="W611" s="76" t="s">
        <v>54</v>
      </c>
      <c r="X611" s="76"/>
      <c r="Y611" s="97"/>
      <c r="Z611" s="78"/>
      <c r="AA611" s="79"/>
      <c r="AB611" s="79" t="s">
        <v>37</v>
      </c>
      <c r="AC611" s="79" t="s">
        <v>37</v>
      </c>
      <c r="AD611" s="79"/>
      <c r="AE611" s="79"/>
      <c r="AF611" s="79"/>
      <c r="AG611" s="79"/>
      <c r="AH611" s="79"/>
      <c r="AI611" s="53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</row>
    <row r="612" spans="1:110" ht="13.8" x14ac:dyDescent="0.25">
      <c r="A612" s="10">
        <v>1404020</v>
      </c>
      <c r="B612" s="10" t="s">
        <v>956</v>
      </c>
      <c r="C612" s="16" t="s">
        <v>1035</v>
      </c>
      <c r="D612" s="11" t="s">
        <v>206</v>
      </c>
      <c r="E612" s="10" t="s">
        <v>206</v>
      </c>
      <c r="F612" s="10" t="s">
        <v>557</v>
      </c>
      <c r="G612" s="55" t="str">
        <f t="shared" si="15"/>
        <v>Obsolete</v>
      </c>
      <c r="H612" s="10"/>
      <c r="I612" s="13"/>
      <c r="J612" s="56"/>
      <c r="K612" s="57"/>
      <c r="M612" s="14"/>
      <c r="N612" s="14"/>
      <c r="O612" s="14"/>
      <c r="P612" s="14"/>
      <c r="Q612" s="14"/>
      <c r="R612" s="14"/>
      <c r="S612" s="14"/>
      <c r="T612" s="70"/>
      <c r="U612" s="76" t="s">
        <v>54</v>
      </c>
      <c r="V612" s="97"/>
      <c r="W612" s="76" t="s">
        <v>54</v>
      </c>
      <c r="X612" s="76"/>
      <c r="Y612" s="97"/>
      <c r="Z612" s="78"/>
      <c r="AA612" s="79"/>
      <c r="AB612" s="79" t="s">
        <v>37</v>
      </c>
      <c r="AC612" s="79" t="s">
        <v>37</v>
      </c>
      <c r="AD612" s="79"/>
      <c r="AE612" s="79"/>
      <c r="AF612" s="79"/>
      <c r="AG612" s="79"/>
      <c r="AH612" s="79"/>
      <c r="AI612" s="53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</row>
    <row r="613" spans="1:110" ht="13.8" x14ac:dyDescent="0.25">
      <c r="A613" s="10">
        <v>1404021</v>
      </c>
      <c r="B613" s="10" t="s">
        <v>956</v>
      </c>
      <c r="C613" s="16" t="s">
        <v>1036</v>
      </c>
      <c r="D613" s="11" t="s">
        <v>292</v>
      </c>
      <c r="E613" s="10" t="s">
        <v>1037</v>
      </c>
      <c r="F613" s="10" t="s">
        <v>557</v>
      </c>
      <c r="G613" s="55" t="str">
        <f t="shared" si="15"/>
        <v>Obsolete</v>
      </c>
      <c r="H613" s="10"/>
      <c r="I613" s="13"/>
      <c r="J613" s="56"/>
      <c r="K613" s="57"/>
      <c r="M613" s="14"/>
      <c r="N613" s="14"/>
      <c r="O613" s="14"/>
      <c r="P613" s="14"/>
      <c r="Q613" s="14"/>
      <c r="R613" s="14"/>
      <c r="S613" s="14"/>
      <c r="T613" s="70"/>
      <c r="U613" s="76" t="s">
        <v>54</v>
      </c>
      <c r="V613" s="97"/>
      <c r="W613" s="76" t="s">
        <v>54</v>
      </c>
      <c r="X613" s="76"/>
      <c r="Y613" s="97"/>
      <c r="Z613" s="78"/>
      <c r="AA613" s="79"/>
      <c r="AB613" s="79" t="s">
        <v>37</v>
      </c>
      <c r="AC613" s="79" t="s">
        <v>37</v>
      </c>
      <c r="AD613" s="79"/>
      <c r="AE613" s="79"/>
      <c r="AF613" s="79"/>
      <c r="AG613" s="79"/>
      <c r="AH613" s="79"/>
      <c r="AI613" s="53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</row>
    <row r="614" spans="1:110" ht="30.6" x14ac:dyDescent="0.25">
      <c r="A614" s="10">
        <v>1404022</v>
      </c>
      <c r="B614" s="10" t="s">
        <v>956</v>
      </c>
      <c r="C614" s="16" t="s">
        <v>1593</v>
      </c>
      <c r="D614" s="11"/>
      <c r="E614" s="10" t="s">
        <v>1585</v>
      </c>
      <c r="F614" s="10" t="s">
        <v>34</v>
      </c>
      <c r="G614" s="55">
        <f t="shared" si="15"/>
        <v>0</v>
      </c>
      <c r="H614" s="10">
        <v>2</v>
      </c>
      <c r="I614" s="13"/>
      <c r="J614" s="56"/>
      <c r="K614" s="57"/>
      <c r="M614" s="15"/>
      <c r="N614" s="15"/>
      <c r="O614" s="14"/>
      <c r="P614" s="14"/>
      <c r="Q614" s="14"/>
      <c r="R614" s="14"/>
      <c r="S614" s="14"/>
      <c r="T614" s="70"/>
      <c r="U614" s="76">
        <v>0</v>
      </c>
      <c r="V614" s="76">
        <v>0</v>
      </c>
      <c r="W614" s="76">
        <v>0</v>
      </c>
      <c r="X614" s="76">
        <v>0</v>
      </c>
      <c r="Y614" s="77" t="s">
        <v>35</v>
      </c>
      <c r="Z614" s="99"/>
      <c r="AA614" s="100" t="s">
        <v>1588</v>
      </c>
      <c r="AB614" s="79" t="s">
        <v>35</v>
      </c>
      <c r="AC614" s="79" t="s">
        <v>37</v>
      </c>
      <c r="AD614" s="79" t="s">
        <v>38</v>
      </c>
      <c r="AE614" s="79" t="s">
        <v>1589</v>
      </c>
      <c r="AF614" s="83" t="s">
        <v>1590</v>
      </c>
      <c r="AG614" s="79" t="s">
        <v>1591</v>
      </c>
      <c r="AH614" s="79"/>
      <c r="AI614" s="53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</row>
    <row r="615" spans="1:110" ht="30.6" x14ac:dyDescent="0.25">
      <c r="A615" s="10">
        <v>1404023</v>
      </c>
      <c r="B615" s="10" t="s">
        <v>956</v>
      </c>
      <c r="C615" s="16" t="s">
        <v>1595</v>
      </c>
      <c r="D615" s="11"/>
      <c r="E615" s="10" t="s">
        <v>1585</v>
      </c>
      <c r="F615" s="10" t="s">
        <v>34</v>
      </c>
      <c r="G615" s="55">
        <f t="shared" si="15"/>
        <v>0</v>
      </c>
      <c r="H615" s="10">
        <v>2</v>
      </c>
      <c r="I615" s="13"/>
      <c r="J615" s="56"/>
      <c r="K615" s="57"/>
      <c r="M615" s="15"/>
      <c r="N615" s="15"/>
      <c r="O615" s="14"/>
      <c r="P615" s="14"/>
      <c r="Q615" s="14"/>
      <c r="R615" s="14"/>
      <c r="S615" s="14"/>
      <c r="T615" s="70"/>
      <c r="U615" s="76">
        <v>0</v>
      </c>
      <c r="V615" s="76">
        <v>0</v>
      </c>
      <c r="W615" s="76">
        <v>0</v>
      </c>
      <c r="X615" s="76">
        <v>0</v>
      </c>
      <c r="Y615" s="77" t="s">
        <v>35</v>
      </c>
      <c r="Z615" s="99"/>
      <c r="AA615" s="100" t="s">
        <v>1588</v>
      </c>
      <c r="AB615" s="79" t="s">
        <v>35</v>
      </c>
      <c r="AC615" s="79" t="s">
        <v>37</v>
      </c>
      <c r="AD615" s="79" t="s">
        <v>38</v>
      </c>
      <c r="AE615" s="79" t="s">
        <v>1589</v>
      </c>
      <c r="AF615" s="83" t="s">
        <v>1590</v>
      </c>
      <c r="AG615" s="79" t="s">
        <v>1591</v>
      </c>
      <c r="AH615" s="79"/>
      <c r="AI615" s="53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</row>
    <row r="616" spans="1:110" ht="30.6" x14ac:dyDescent="0.25">
      <c r="A616" s="10">
        <v>1404024</v>
      </c>
      <c r="B616" s="10" t="s">
        <v>956</v>
      </c>
      <c r="C616" s="16" t="s">
        <v>1594</v>
      </c>
      <c r="D616" s="11"/>
      <c r="E616" s="10" t="s">
        <v>1585</v>
      </c>
      <c r="F616" s="10" t="s">
        <v>34</v>
      </c>
      <c r="G616" s="55">
        <f t="shared" si="15"/>
        <v>0</v>
      </c>
      <c r="H616" s="10">
        <v>2</v>
      </c>
      <c r="I616" s="13"/>
      <c r="J616" s="56"/>
      <c r="K616" s="57"/>
      <c r="M616" s="15"/>
      <c r="N616" s="15"/>
      <c r="O616" s="14"/>
      <c r="P616" s="14"/>
      <c r="Q616" s="14"/>
      <c r="R616" s="14"/>
      <c r="S616" s="14"/>
      <c r="T616" s="70"/>
      <c r="U616" s="76">
        <v>0</v>
      </c>
      <c r="V616" s="76">
        <v>0</v>
      </c>
      <c r="W616" s="76">
        <v>0</v>
      </c>
      <c r="X616" s="76">
        <v>0</v>
      </c>
      <c r="Y616" s="77" t="s">
        <v>35</v>
      </c>
      <c r="Z616" s="99"/>
      <c r="AA616" s="100" t="s">
        <v>1588</v>
      </c>
      <c r="AB616" s="79" t="s">
        <v>35</v>
      </c>
      <c r="AC616" s="79" t="s">
        <v>37</v>
      </c>
      <c r="AD616" s="79" t="s">
        <v>38</v>
      </c>
      <c r="AE616" s="79" t="s">
        <v>1589</v>
      </c>
      <c r="AF616" s="83" t="s">
        <v>1590</v>
      </c>
      <c r="AG616" s="79" t="s">
        <v>1591</v>
      </c>
      <c r="AH616" s="79"/>
      <c r="AI616" s="53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</row>
    <row r="617" spans="1:110" ht="30.6" x14ac:dyDescent="0.25">
      <c r="A617" s="10">
        <v>1404025</v>
      </c>
      <c r="B617" s="10" t="s">
        <v>956</v>
      </c>
      <c r="C617" s="16" t="s">
        <v>1596</v>
      </c>
      <c r="D617" s="11"/>
      <c r="E617" s="10" t="s">
        <v>1585</v>
      </c>
      <c r="F617" s="10" t="s">
        <v>34</v>
      </c>
      <c r="G617" s="55">
        <f t="shared" si="15"/>
        <v>0</v>
      </c>
      <c r="H617" s="10">
        <v>2</v>
      </c>
      <c r="I617" s="13"/>
      <c r="J617" s="56"/>
      <c r="K617" s="57"/>
      <c r="M617" s="15"/>
      <c r="N617" s="15"/>
      <c r="O617" s="14"/>
      <c r="P617" s="14"/>
      <c r="Q617" s="14"/>
      <c r="R617" s="14"/>
      <c r="S617" s="14"/>
      <c r="T617" s="70"/>
      <c r="U617" s="76">
        <v>0</v>
      </c>
      <c r="V617" s="76">
        <v>0</v>
      </c>
      <c r="W617" s="76">
        <v>0</v>
      </c>
      <c r="X617" s="76">
        <v>0</v>
      </c>
      <c r="Y617" s="77" t="s">
        <v>35</v>
      </c>
      <c r="Z617" s="99"/>
      <c r="AA617" s="100" t="s">
        <v>1588</v>
      </c>
      <c r="AB617" s="79" t="s">
        <v>35</v>
      </c>
      <c r="AC617" s="79" t="s">
        <v>37</v>
      </c>
      <c r="AD617" s="79" t="s">
        <v>38</v>
      </c>
      <c r="AE617" s="79" t="s">
        <v>1589</v>
      </c>
      <c r="AF617" s="83" t="s">
        <v>1590</v>
      </c>
      <c r="AG617" s="79" t="s">
        <v>1591</v>
      </c>
      <c r="AH617" s="79"/>
      <c r="AI617" s="53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</row>
    <row r="618" spans="1:110" ht="13.8" x14ac:dyDescent="0.25">
      <c r="A618" s="24">
        <v>1405000</v>
      </c>
      <c r="B618" s="10" t="s">
        <v>956</v>
      </c>
      <c r="C618" s="16" t="s">
        <v>1038</v>
      </c>
      <c r="D618" s="10" t="s">
        <v>64</v>
      </c>
      <c r="E618" s="10" t="s">
        <v>1039</v>
      </c>
      <c r="F618" s="10" t="s">
        <v>557</v>
      </c>
      <c r="G618" s="55" t="str">
        <f t="shared" si="15"/>
        <v>Obsolete</v>
      </c>
      <c r="H618" s="10"/>
      <c r="I618" s="13"/>
      <c r="J618" s="56"/>
      <c r="K618" s="57"/>
      <c r="M618" s="14"/>
      <c r="N618" s="14"/>
      <c r="O618" s="14"/>
      <c r="P618" s="14"/>
      <c r="Q618" s="14"/>
      <c r="R618" s="14"/>
      <c r="S618" s="14"/>
      <c r="T618" s="70"/>
      <c r="U618" s="76" t="s">
        <v>54</v>
      </c>
      <c r="V618" s="97"/>
      <c r="W618" s="76" t="s">
        <v>54</v>
      </c>
      <c r="X618" s="76"/>
      <c r="Y618" s="97"/>
      <c r="Z618" s="87"/>
      <c r="AA618" s="79" t="s">
        <v>64</v>
      </c>
      <c r="AB618" s="79" t="s">
        <v>37</v>
      </c>
      <c r="AC618" s="79" t="s">
        <v>37</v>
      </c>
      <c r="AD618" s="79"/>
      <c r="AE618" s="79" t="s">
        <v>1040</v>
      </c>
      <c r="AF618" s="79" t="s">
        <v>1041</v>
      </c>
      <c r="AG618" s="79"/>
      <c r="AH618" s="79"/>
      <c r="AI618" s="53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</row>
    <row r="619" spans="1:110" ht="13.8" x14ac:dyDescent="0.25">
      <c r="A619" s="24">
        <v>1405001</v>
      </c>
      <c r="B619" s="10" t="s">
        <v>956</v>
      </c>
      <c r="C619" s="25" t="s">
        <v>1042</v>
      </c>
      <c r="D619" s="26"/>
      <c r="E619" s="10" t="s">
        <v>1043</v>
      </c>
      <c r="F619" s="10" t="s">
        <v>557</v>
      </c>
      <c r="G619" s="55" t="str">
        <f t="shared" si="15"/>
        <v>Obsolete</v>
      </c>
      <c r="H619" s="10"/>
      <c r="I619" s="13"/>
      <c r="J619" s="56"/>
      <c r="K619" s="57"/>
      <c r="M619" s="14"/>
      <c r="N619" s="14"/>
      <c r="O619" s="14"/>
      <c r="P619" s="14"/>
      <c r="Q619" s="14"/>
      <c r="R619" s="14"/>
      <c r="S619" s="14"/>
      <c r="T619" s="70"/>
      <c r="U619" s="76" t="s">
        <v>54</v>
      </c>
      <c r="V619" s="97"/>
      <c r="W619" s="76" t="s">
        <v>54</v>
      </c>
      <c r="X619" s="76"/>
      <c r="Y619" s="97"/>
      <c r="Z619" s="87"/>
      <c r="AA619" s="79"/>
      <c r="AB619" s="79" t="s">
        <v>37</v>
      </c>
      <c r="AC619" s="79" t="s">
        <v>37</v>
      </c>
      <c r="AD619" s="79"/>
      <c r="AE619" s="79" t="s">
        <v>1044</v>
      </c>
      <c r="AF619" s="79" t="s">
        <v>1045</v>
      </c>
      <c r="AG619" s="79" t="s">
        <v>1046</v>
      </c>
      <c r="AH619" s="79"/>
      <c r="AI619" s="53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</row>
    <row r="620" spans="1:110" ht="13.8" x14ac:dyDescent="0.25">
      <c r="A620" s="24">
        <v>1405002</v>
      </c>
      <c r="B620" s="10" t="s">
        <v>956</v>
      </c>
      <c r="C620" s="25" t="s">
        <v>1047</v>
      </c>
      <c r="D620" s="26"/>
      <c r="E620" s="10" t="s">
        <v>64</v>
      </c>
      <c r="F620" s="10" t="s">
        <v>557</v>
      </c>
      <c r="G620" s="55" t="str">
        <f t="shared" si="15"/>
        <v>Obsolete</v>
      </c>
      <c r="H620" s="10"/>
      <c r="I620" s="13"/>
      <c r="J620" s="56"/>
      <c r="K620" s="57"/>
      <c r="M620" s="14"/>
      <c r="N620" s="14"/>
      <c r="O620" s="14"/>
      <c r="P620" s="14"/>
      <c r="Q620" s="14"/>
      <c r="R620" s="14"/>
      <c r="S620" s="14"/>
      <c r="T620" s="70"/>
      <c r="U620" s="76" t="s">
        <v>54</v>
      </c>
      <c r="V620" s="97"/>
      <c r="W620" s="76" t="s">
        <v>54</v>
      </c>
      <c r="X620" s="76"/>
      <c r="Y620" s="97"/>
      <c r="Z620" s="87"/>
      <c r="AA620" s="79" t="s">
        <v>64</v>
      </c>
      <c r="AB620" s="79" t="s">
        <v>37</v>
      </c>
      <c r="AC620" s="79" t="s">
        <v>37</v>
      </c>
      <c r="AD620" s="79"/>
      <c r="AE620" s="79"/>
      <c r="AF620" s="79"/>
      <c r="AG620" s="79"/>
      <c r="AH620" s="79"/>
      <c r="AI620" s="53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</row>
    <row r="621" spans="1:110" ht="13.8" x14ac:dyDescent="0.25">
      <c r="A621" s="24">
        <v>1405003</v>
      </c>
      <c r="B621" s="10" t="s">
        <v>956</v>
      </c>
      <c r="C621" s="25" t="s">
        <v>1048</v>
      </c>
      <c r="D621" s="26" t="s">
        <v>1049</v>
      </c>
      <c r="E621" s="10" t="s">
        <v>1043</v>
      </c>
      <c r="F621" s="10" t="s">
        <v>557</v>
      </c>
      <c r="G621" s="55" t="str">
        <f t="shared" si="15"/>
        <v>Obsolete</v>
      </c>
      <c r="H621" s="10"/>
      <c r="I621" s="13"/>
      <c r="J621" s="56"/>
      <c r="K621" s="57"/>
      <c r="M621" s="14"/>
      <c r="N621" s="14"/>
      <c r="O621" s="14"/>
      <c r="P621" s="14"/>
      <c r="Q621" s="14"/>
      <c r="R621" s="14"/>
      <c r="S621" s="14"/>
      <c r="T621" s="70"/>
      <c r="U621" s="76" t="s">
        <v>54</v>
      </c>
      <c r="V621" s="97"/>
      <c r="W621" s="76" t="s">
        <v>54</v>
      </c>
      <c r="X621" s="76"/>
      <c r="Y621" s="97"/>
      <c r="Z621" s="87"/>
      <c r="AA621" s="79" t="s">
        <v>64</v>
      </c>
      <c r="AB621" s="79" t="s">
        <v>37</v>
      </c>
      <c r="AC621" s="79" t="s">
        <v>37</v>
      </c>
      <c r="AD621" s="79"/>
      <c r="AE621" s="79" t="s">
        <v>1044</v>
      </c>
      <c r="AF621" s="79" t="s">
        <v>1045</v>
      </c>
      <c r="AG621" s="79" t="s">
        <v>1046</v>
      </c>
      <c r="AH621" s="79"/>
      <c r="AI621" s="53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</row>
    <row r="622" spans="1:110" ht="13.8" x14ac:dyDescent="0.25">
      <c r="A622" s="24">
        <v>1405004</v>
      </c>
      <c r="B622" s="10" t="s">
        <v>956</v>
      </c>
      <c r="C622" s="25" t="s">
        <v>1050</v>
      </c>
      <c r="D622" s="26"/>
      <c r="E622" s="10" t="s">
        <v>1043</v>
      </c>
      <c r="F622" s="10" t="s">
        <v>557</v>
      </c>
      <c r="G622" s="55" t="str">
        <f t="shared" si="15"/>
        <v>Obsolete</v>
      </c>
      <c r="H622" s="10"/>
      <c r="I622" s="13"/>
      <c r="J622" s="56"/>
      <c r="K622" s="57"/>
      <c r="M622" s="14"/>
      <c r="N622" s="14"/>
      <c r="O622" s="14"/>
      <c r="P622" s="14"/>
      <c r="Q622" s="14"/>
      <c r="R622" s="14"/>
      <c r="S622" s="14"/>
      <c r="T622" s="70"/>
      <c r="U622" s="76" t="s">
        <v>54</v>
      </c>
      <c r="V622" s="97"/>
      <c r="W622" s="76" t="s">
        <v>54</v>
      </c>
      <c r="X622" s="76"/>
      <c r="Y622" s="97"/>
      <c r="Z622" s="87"/>
      <c r="AA622" s="79" t="s">
        <v>64</v>
      </c>
      <c r="AB622" s="79" t="s">
        <v>37</v>
      </c>
      <c r="AC622" s="79" t="s">
        <v>37</v>
      </c>
      <c r="AD622" s="79"/>
      <c r="AE622" s="79" t="s">
        <v>1044</v>
      </c>
      <c r="AF622" s="79" t="s">
        <v>1045</v>
      </c>
      <c r="AG622" s="79" t="s">
        <v>1046</v>
      </c>
      <c r="AH622" s="79"/>
      <c r="AI622" s="53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</row>
    <row r="623" spans="1:110" ht="13.8" x14ac:dyDescent="0.25">
      <c r="A623" s="24">
        <v>1405005</v>
      </c>
      <c r="B623" s="10" t="s">
        <v>956</v>
      </c>
      <c r="C623" s="25" t="s">
        <v>1051</v>
      </c>
      <c r="D623" s="26"/>
      <c r="E623" s="17" t="s">
        <v>57</v>
      </c>
      <c r="F623" s="10" t="s">
        <v>557</v>
      </c>
      <c r="G623" s="55" t="str">
        <f t="shared" si="15"/>
        <v>Obsolete</v>
      </c>
      <c r="H623" s="10"/>
      <c r="I623" s="13"/>
      <c r="J623" s="56"/>
      <c r="K623" s="57"/>
      <c r="M623" s="14"/>
      <c r="N623" s="14"/>
      <c r="O623" s="14"/>
      <c r="P623" s="14"/>
      <c r="Q623" s="14"/>
      <c r="R623" s="14"/>
      <c r="S623" s="14"/>
      <c r="T623" s="70"/>
      <c r="U623" s="76" t="s">
        <v>54</v>
      </c>
      <c r="V623" s="97"/>
      <c r="W623" s="76" t="s">
        <v>54</v>
      </c>
      <c r="X623" s="76"/>
      <c r="Y623" s="97"/>
      <c r="Z623" s="87"/>
      <c r="AA623" s="79"/>
      <c r="AB623" s="79" t="s">
        <v>37</v>
      </c>
      <c r="AC623" s="79" t="s">
        <v>37</v>
      </c>
      <c r="AD623" s="79"/>
      <c r="AE623" s="79"/>
      <c r="AF623" s="79"/>
      <c r="AG623" s="79"/>
      <c r="AH623" s="79"/>
      <c r="AI623" s="53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</row>
    <row r="624" spans="1:110" ht="13.8" x14ac:dyDescent="0.25">
      <c r="A624" s="24">
        <v>1405006</v>
      </c>
      <c r="B624" s="10" t="s">
        <v>956</v>
      </c>
      <c r="C624" s="25" t="s">
        <v>1052</v>
      </c>
      <c r="D624" s="26"/>
      <c r="E624" s="10" t="s">
        <v>966</v>
      </c>
      <c r="F624" s="10" t="s">
        <v>557</v>
      </c>
      <c r="G624" s="55" t="str">
        <f t="shared" si="15"/>
        <v>Obsolete</v>
      </c>
      <c r="H624" s="10"/>
      <c r="I624" s="13"/>
      <c r="J624" s="56"/>
      <c r="K624" s="57"/>
      <c r="M624" s="14"/>
      <c r="N624" s="14"/>
      <c r="O624" s="14"/>
      <c r="P624" s="14"/>
      <c r="Q624" s="14"/>
      <c r="R624" s="14"/>
      <c r="S624" s="14"/>
      <c r="T624" s="70"/>
      <c r="U624" s="76" t="s">
        <v>54</v>
      </c>
      <c r="V624" s="97"/>
      <c r="W624" s="76" t="s">
        <v>54</v>
      </c>
      <c r="X624" s="76"/>
      <c r="Y624" s="97"/>
      <c r="Z624" s="87"/>
      <c r="AA624" s="79" t="s">
        <v>966</v>
      </c>
      <c r="AB624" s="79" t="s">
        <v>37</v>
      </c>
      <c r="AC624" s="79" t="s">
        <v>37</v>
      </c>
      <c r="AD624" s="79"/>
      <c r="AE624" s="79"/>
      <c r="AF624" s="79"/>
      <c r="AG624" s="79"/>
      <c r="AH624" s="79"/>
      <c r="AI624" s="53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</row>
    <row r="625" spans="1:110" ht="20.399999999999999" x14ac:dyDescent="0.25">
      <c r="A625" s="24">
        <v>1405007</v>
      </c>
      <c r="B625" s="10" t="s">
        <v>956</v>
      </c>
      <c r="C625" s="25" t="s">
        <v>1053</v>
      </c>
      <c r="D625" s="26" t="s">
        <v>1054</v>
      </c>
      <c r="E625" s="10" t="s">
        <v>1043</v>
      </c>
      <c r="F625" s="10" t="s">
        <v>557</v>
      </c>
      <c r="G625" s="55" t="str">
        <f t="shared" si="15"/>
        <v>Obsolete</v>
      </c>
      <c r="H625" s="10"/>
      <c r="I625" s="13"/>
      <c r="J625" s="56"/>
      <c r="K625" s="57"/>
      <c r="M625" s="10"/>
      <c r="N625" s="10"/>
      <c r="O625" s="29"/>
      <c r="P625" s="29"/>
      <c r="Q625" s="29"/>
      <c r="R625" s="29"/>
      <c r="S625" s="29"/>
      <c r="T625" s="72"/>
      <c r="U625" s="97" t="s">
        <v>54</v>
      </c>
      <c r="V625" s="97"/>
      <c r="W625" s="97" t="s">
        <v>54</v>
      </c>
      <c r="X625" s="97"/>
      <c r="Y625" s="97"/>
      <c r="Z625" s="87"/>
      <c r="AA625" s="79" t="s">
        <v>64</v>
      </c>
      <c r="AB625" s="79" t="s">
        <v>37</v>
      </c>
      <c r="AC625" s="79" t="s">
        <v>37</v>
      </c>
      <c r="AD625" s="79"/>
      <c r="AE625" s="79" t="s">
        <v>1044</v>
      </c>
      <c r="AF625" s="79" t="s">
        <v>1045</v>
      </c>
      <c r="AG625" s="79" t="s">
        <v>1046</v>
      </c>
      <c r="AH625" s="79"/>
      <c r="AI625" s="53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</row>
    <row r="626" spans="1:110" ht="20.399999999999999" x14ac:dyDescent="0.25">
      <c r="A626" s="24">
        <v>1405008</v>
      </c>
      <c r="B626" s="10" t="s">
        <v>956</v>
      </c>
      <c r="C626" s="25" t="s">
        <v>1055</v>
      </c>
      <c r="D626" s="26" t="s">
        <v>1054</v>
      </c>
      <c r="E626" s="10" t="s">
        <v>1043</v>
      </c>
      <c r="F626" s="10" t="s">
        <v>557</v>
      </c>
      <c r="G626" s="55" t="str">
        <f t="shared" si="15"/>
        <v>Obsolete</v>
      </c>
      <c r="H626" s="10"/>
      <c r="I626" s="13"/>
      <c r="J626" s="56"/>
      <c r="K626" s="57"/>
      <c r="M626" s="10"/>
      <c r="N626" s="10"/>
      <c r="O626" s="29"/>
      <c r="P626" s="29"/>
      <c r="Q626" s="29"/>
      <c r="R626" s="29"/>
      <c r="S626" s="29"/>
      <c r="T626" s="72"/>
      <c r="U626" s="97" t="s">
        <v>54</v>
      </c>
      <c r="V626" s="97"/>
      <c r="W626" s="97" t="s">
        <v>54</v>
      </c>
      <c r="X626" s="97"/>
      <c r="Y626" s="97"/>
      <c r="Z626" s="87"/>
      <c r="AA626" s="79" t="s">
        <v>64</v>
      </c>
      <c r="AB626" s="79" t="s">
        <v>37</v>
      </c>
      <c r="AC626" s="79" t="s">
        <v>37</v>
      </c>
      <c r="AD626" s="79"/>
      <c r="AE626" s="79" t="s">
        <v>1044</v>
      </c>
      <c r="AF626" s="79" t="s">
        <v>1045</v>
      </c>
      <c r="AG626" s="79" t="s">
        <v>1046</v>
      </c>
      <c r="AH626" s="79"/>
      <c r="AI626" s="53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</row>
    <row r="627" spans="1:110" ht="20.399999999999999" x14ac:dyDescent="0.25">
      <c r="A627" s="24">
        <v>1405009</v>
      </c>
      <c r="B627" s="10" t="s">
        <v>956</v>
      </c>
      <c r="C627" s="25" t="s">
        <v>1056</v>
      </c>
      <c r="D627" s="26" t="s">
        <v>1054</v>
      </c>
      <c r="E627" s="10" t="s">
        <v>1043</v>
      </c>
      <c r="F627" s="10" t="s">
        <v>557</v>
      </c>
      <c r="G627" s="55" t="str">
        <f t="shared" si="15"/>
        <v>Obsolete</v>
      </c>
      <c r="H627" s="10"/>
      <c r="I627" s="13"/>
      <c r="J627" s="56"/>
      <c r="K627" s="57"/>
      <c r="M627" s="10"/>
      <c r="N627" s="10"/>
      <c r="O627" s="29"/>
      <c r="P627" s="29"/>
      <c r="Q627" s="29"/>
      <c r="R627" s="29"/>
      <c r="S627" s="29"/>
      <c r="T627" s="72"/>
      <c r="U627" s="97" t="s">
        <v>54</v>
      </c>
      <c r="V627" s="97"/>
      <c r="W627" s="97" t="s">
        <v>54</v>
      </c>
      <c r="X627" s="97"/>
      <c r="Y627" s="97"/>
      <c r="Z627" s="87"/>
      <c r="AA627" s="79" t="s">
        <v>64</v>
      </c>
      <c r="AB627" s="79" t="s">
        <v>37</v>
      </c>
      <c r="AC627" s="79" t="s">
        <v>37</v>
      </c>
      <c r="AD627" s="79"/>
      <c r="AE627" s="79" t="s">
        <v>1044</v>
      </c>
      <c r="AF627" s="79" t="s">
        <v>1045</v>
      </c>
      <c r="AG627" s="79" t="s">
        <v>1046</v>
      </c>
      <c r="AH627" s="79"/>
      <c r="AI627" s="53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</row>
    <row r="628" spans="1:110" ht="20.399999999999999" x14ac:dyDescent="0.25">
      <c r="A628" s="24">
        <v>1405010</v>
      </c>
      <c r="B628" s="10" t="s">
        <v>956</v>
      </c>
      <c r="C628" s="25" t="s">
        <v>1057</v>
      </c>
      <c r="D628" s="26" t="s">
        <v>1054</v>
      </c>
      <c r="E628" s="10" t="s">
        <v>1043</v>
      </c>
      <c r="F628" s="10" t="s">
        <v>557</v>
      </c>
      <c r="G628" s="55" t="str">
        <f t="shared" si="15"/>
        <v>Obsolete</v>
      </c>
      <c r="H628" s="10"/>
      <c r="I628" s="13"/>
      <c r="J628" s="56"/>
      <c r="K628" s="57"/>
      <c r="M628" s="10"/>
      <c r="N628" s="10"/>
      <c r="O628" s="29"/>
      <c r="P628" s="29"/>
      <c r="Q628" s="29"/>
      <c r="R628" s="29"/>
      <c r="S628" s="29"/>
      <c r="T628" s="72"/>
      <c r="U628" s="97" t="s">
        <v>54</v>
      </c>
      <c r="V628" s="97"/>
      <c r="W628" s="97" t="s">
        <v>54</v>
      </c>
      <c r="X628" s="97"/>
      <c r="Y628" s="97"/>
      <c r="Z628" s="87"/>
      <c r="AA628" s="79" t="s">
        <v>64</v>
      </c>
      <c r="AB628" s="79" t="s">
        <v>37</v>
      </c>
      <c r="AC628" s="79" t="s">
        <v>37</v>
      </c>
      <c r="AD628" s="79"/>
      <c r="AE628" s="79" t="s">
        <v>1044</v>
      </c>
      <c r="AF628" s="79" t="s">
        <v>1045</v>
      </c>
      <c r="AG628" s="79" t="s">
        <v>1046</v>
      </c>
      <c r="AH628" s="79"/>
      <c r="AI628" s="53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</row>
    <row r="629" spans="1:110" ht="20.399999999999999" x14ac:dyDescent="0.25">
      <c r="A629" s="24">
        <v>1405011</v>
      </c>
      <c r="B629" s="10" t="s">
        <v>956</v>
      </c>
      <c r="C629" s="25" t="s">
        <v>1058</v>
      </c>
      <c r="D629" s="26" t="s">
        <v>1054</v>
      </c>
      <c r="E629" s="10" t="s">
        <v>1043</v>
      </c>
      <c r="F629" s="10" t="s">
        <v>557</v>
      </c>
      <c r="G629" s="55" t="str">
        <f t="shared" si="15"/>
        <v>Obsolete</v>
      </c>
      <c r="H629" s="10"/>
      <c r="I629" s="13"/>
      <c r="J629" s="56"/>
      <c r="K629" s="57"/>
      <c r="M629" s="10"/>
      <c r="N629" s="10"/>
      <c r="O629" s="29"/>
      <c r="P629" s="29"/>
      <c r="Q629" s="29"/>
      <c r="R629" s="29"/>
      <c r="S629" s="29"/>
      <c r="T629" s="72"/>
      <c r="U629" s="97" t="s">
        <v>54</v>
      </c>
      <c r="V629" s="97"/>
      <c r="W629" s="97" t="s">
        <v>54</v>
      </c>
      <c r="X629" s="97"/>
      <c r="Y629" s="97"/>
      <c r="Z629" s="87"/>
      <c r="AA629" s="79" t="s">
        <v>64</v>
      </c>
      <c r="AB629" s="79" t="s">
        <v>37</v>
      </c>
      <c r="AC629" s="79" t="s">
        <v>37</v>
      </c>
      <c r="AD629" s="79"/>
      <c r="AE629" s="79" t="s">
        <v>1044</v>
      </c>
      <c r="AF629" s="79" t="s">
        <v>1045</v>
      </c>
      <c r="AG629" s="79" t="s">
        <v>1046</v>
      </c>
      <c r="AH629" s="79"/>
      <c r="AI629" s="53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</row>
    <row r="630" spans="1:110" ht="20.399999999999999" x14ac:dyDescent="0.25">
      <c r="A630" s="24">
        <v>1405012</v>
      </c>
      <c r="B630" s="10" t="s">
        <v>956</v>
      </c>
      <c r="C630" s="25" t="s">
        <v>1059</v>
      </c>
      <c r="D630" s="26" t="s">
        <v>1054</v>
      </c>
      <c r="E630" s="10" t="s">
        <v>1043</v>
      </c>
      <c r="F630" s="10" t="s">
        <v>557</v>
      </c>
      <c r="G630" s="55" t="str">
        <f t="shared" si="15"/>
        <v>Obsolete</v>
      </c>
      <c r="H630" s="10"/>
      <c r="I630" s="13"/>
      <c r="J630" s="56"/>
      <c r="K630" s="57"/>
      <c r="M630" s="10"/>
      <c r="N630" s="10"/>
      <c r="O630" s="29"/>
      <c r="P630" s="29"/>
      <c r="Q630" s="29"/>
      <c r="R630" s="29"/>
      <c r="S630" s="29"/>
      <c r="T630" s="72"/>
      <c r="U630" s="97" t="s">
        <v>54</v>
      </c>
      <c r="V630" s="97"/>
      <c r="W630" s="97" t="s">
        <v>54</v>
      </c>
      <c r="X630" s="97"/>
      <c r="Y630" s="97"/>
      <c r="Z630" s="87"/>
      <c r="AA630" s="79" t="s">
        <v>64</v>
      </c>
      <c r="AB630" s="79" t="s">
        <v>37</v>
      </c>
      <c r="AC630" s="79" t="s">
        <v>37</v>
      </c>
      <c r="AD630" s="79"/>
      <c r="AE630" s="79" t="s">
        <v>1044</v>
      </c>
      <c r="AF630" s="79" t="s">
        <v>1045</v>
      </c>
      <c r="AG630" s="79" t="s">
        <v>1046</v>
      </c>
      <c r="AH630" s="79"/>
      <c r="AI630" s="53"/>
      <c r="AJ630" s="7"/>
      <c r="AK630" s="44" t="e">
        <v>#REF!</v>
      </c>
      <c r="AL630" s="44" t="e">
        <v>#REF!</v>
      </c>
      <c r="AM630" s="44" t="e">
        <v>#REF!</v>
      </c>
      <c r="AN630" s="44" t="e">
        <v>#REF!</v>
      </c>
      <c r="AO630" s="44" t="e">
        <v>#REF!</v>
      </c>
      <c r="AP630" s="44" t="e">
        <v>#REF!</v>
      </c>
      <c r="AQ630" s="44" t="e">
        <v>#REF!</v>
      </c>
      <c r="AR630" s="44" t="e">
        <v>#REF!</v>
      </c>
      <c r="AS630" s="44" t="e">
        <v>#REF!</v>
      </c>
      <c r="AT630" s="44" t="e">
        <v>#REF!</v>
      </c>
      <c r="AU630" s="44" t="e">
        <v>#REF!</v>
      </c>
      <c r="AV630" s="44" t="e">
        <v>#REF!</v>
      </c>
      <c r="AW630" s="44" t="e">
        <v>#REF!</v>
      </c>
      <c r="AX630" s="44" t="e">
        <v>#REF!</v>
      </c>
      <c r="AY630" s="44" t="e">
        <v>#REF!</v>
      </c>
      <c r="AZ630" s="44" t="e">
        <v>#REF!</v>
      </c>
      <c r="BA630" s="44" t="e">
        <v>#REF!</v>
      </c>
      <c r="BB630" s="44" t="e">
        <v>#REF!</v>
      </c>
      <c r="BC630" s="44" t="e">
        <v>#REF!</v>
      </c>
      <c r="BD630" s="44" t="e">
        <v>#REF!</v>
      </c>
      <c r="BE630" s="44" t="e">
        <v>#REF!</v>
      </c>
      <c r="BF630" s="44" t="e">
        <v>#REF!</v>
      </c>
      <c r="BG630" s="44" t="e">
        <v>#REF!</v>
      </c>
      <c r="BH630" s="44" t="e">
        <v>#REF!</v>
      </c>
      <c r="BI630" s="44" t="e">
        <v>#REF!</v>
      </c>
      <c r="BJ630" s="44" t="e">
        <v>#REF!</v>
      </c>
      <c r="BK630" s="44" t="e">
        <v>#REF!</v>
      </c>
      <c r="BL630" s="44" t="e">
        <v>#REF!</v>
      </c>
      <c r="BM630" s="44" t="e">
        <v>#REF!</v>
      </c>
      <c r="BN630" s="44" t="e">
        <v>#REF!</v>
      </c>
      <c r="BO630" s="44" t="e">
        <v>#REF!</v>
      </c>
      <c r="BP630" s="44" t="e">
        <v>#REF!</v>
      </c>
      <c r="BQ630" s="44" t="e">
        <v>#REF!</v>
      </c>
      <c r="BR630" s="44" t="e">
        <v>#REF!</v>
      </c>
      <c r="BS630" s="44" t="e">
        <v>#REF!</v>
      </c>
      <c r="BT630" s="44" t="e">
        <v>#REF!</v>
      </c>
      <c r="BU630" s="44" t="e">
        <v>#REF!</v>
      </c>
      <c r="BV630" s="44" t="e">
        <v>#REF!</v>
      </c>
      <c r="BW630" s="44" t="e">
        <v>#REF!</v>
      </c>
      <c r="BX630" s="44" t="e">
        <v>#REF!</v>
      </c>
      <c r="BY630" s="44" t="e">
        <v>#REF!</v>
      </c>
      <c r="BZ630" s="44" t="e">
        <v>#REF!</v>
      </c>
      <c r="CA630" s="44" t="e">
        <v>#REF!</v>
      </c>
      <c r="CB630" s="44" t="e">
        <v>#REF!</v>
      </c>
      <c r="CC630" s="44" t="e">
        <v>#REF!</v>
      </c>
      <c r="CD630" s="44" t="e">
        <v>#REF!</v>
      </c>
      <c r="CE630" s="44" t="e">
        <v>#REF!</v>
      </c>
      <c r="CF630" s="44" t="e">
        <v>#REF!</v>
      </c>
      <c r="CG630" s="44" t="e">
        <v>#REF!</v>
      </c>
      <c r="CH630" s="44" t="e">
        <v>#REF!</v>
      </c>
      <c r="CI630" s="44" t="e">
        <v>#REF!</v>
      </c>
      <c r="CJ630" s="44" t="e">
        <v>#REF!</v>
      </c>
      <c r="CK630" s="44" t="e">
        <v>#REF!</v>
      </c>
      <c r="CL630" s="44" t="e">
        <v>#REF!</v>
      </c>
      <c r="CM630" s="44" t="e">
        <v>#REF!</v>
      </c>
      <c r="CN630" s="44" t="e">
        <v>#REF!</v>
      </c>
      <c r="CO630" s="44" t="e">
        <v>#REF!</v>
      </c>
      <c r="CP630" s="44" t="e">
        <v>#REF!</v>
      </c>
      <c r="CQ630" s="44" t="e">
        <v>#REF!</v>
      </c>
      <c r="CR630" s="44" t="e">
        <v>#REF!</v>
      </c>
      <c r="CS630" s="44" t="e">
        <v>#REF!</v>
      </c>
      <c r="CT630" s="44" t="e">
        <v>#REF!</v>
      </c>
      <c r="CU630" s="44" t="e">
        <v>#REF!</v>
      </c>
      <c r="CV630" s="44" t="e">
        <v>#REF!</v>
      </c>
      <c r="CW630" s="44" t="e">
        <v>#REF!</v>
      </c>
      <c r="CX630" s="44" t="e">
        <v>#REF!</v>
      </c>
      <c r="CY630" s="44" t="e">
        <v>#REF!</v>
      </c>
      <c r="CZ630" s="44" t="e">
        <v>#REF!</v>
      </c>
      <c r="DA630" s="44" t="e">
        <v>#REF!</v>
      </c>
      <c r="DB630" s="44" t="e">
        <v>#REF!</v>
      </c>
      <c r="DC630" s="44" t="e">
        <v>#REF!</v>
      </c>
      <c r="DD630" s="44" t="e">
        <v>#REF!</v>
      </c>
      <c r="DE630" s="44" t="e">
        <v>#REF!</v>
      </c>
      <c r="DF630" s="44" t="e">
        <v>#REF!</v>
      </c>
    </row>
    <row r="631" spans="1:110" ht="13.8" x14ac:dyDescent="0.25">
      <c r="A631" s="24">
        <v>1405013</v>
      </c>
      <c r="B631" s="10" t="s">
        <v>956</v>
      </c>
      <c r="C631" s="25" t="s">
        <v>1060</v>
      </c>
      <c r="D631" s="26" t="s">
        <v>1061</v>
      </c>
      <c r="E631" s="10" t="s">
        <v>1062</v>
      </c>
      <c r="F631" s="10" t="s">
        <v>557</v>
      </c>
      <c r="G631" s="55" t="str">
        <f t="shared" si="15"/>
        <v>Obsolete</v>
      </c>
      <c r="H631" s="10">
        <v>6</v>
      </c>
      <c r="I631" s="13">
        <v>600</v>
      </c>
      <c r="J631" s="56"/>
      <c r="K631" s="57"/>
      <c r="M631" s="10">
        <v>7.3999999999999996E-2</v>
      </c>
      <c r="N631" s="10"/>
      <c r="O631" s="29"/>
      <c r="P631" s="29"/>
      <c r="Q631" s="29"/>
      <c r="R631" s="29"/>
      <c r="S631" s="29"/>
      <c r="T631" s="72"/>
      <c r="U631" s="97" t="s">
        <v>54</v>
      </c>
      <c r="V631" s="97"/>
      <c r="W631" s="97" t="s">
        <v>54</v>
      </c>
      <c r="X631" s="97"/>
      <c r="Y631" s="97"/>
      <c r="Z631" s="87"/>
      <c r="AA631" s="79" t="s">
        <v>64</v>
      </c>
      <c r="AB631" s="79" t="s">
        <v>37</v>
      </c>
      <c r="AC631" s="79" t="s">
        <v>37</v>
      </c>
      <c r="AD631" s="79"/>
      <c r="AE631" s="79"/>
      <c r="AF631" s="79"/>
      <c r="AG631" s="79"/>
      <c r="AH631" s="79"/>
      <c r="AI631" s="53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</row>
    <row r="632" spans="1:110" ht="20.399999999999999" x14ac:dyDescent="0.25">
      <c r="A632" s="24">
        <v>1405015</v>
      </c>
      <c r="B632" s="10" t="s">
        <v>956</v>
      </c>
      <c r="C632" s="25" t="s">
        <v>1063</v>
      </c>
      <c r="D632" s="26" t="s">
        <v>1064</v>
      </c>
      <c r="E632" s="10" t="s">
        <v>1043</v>
      </c>
      <c r="F632" s="10" t="s">
        <v>557</v>
      </c>
      <c r="G632" s="55" t="str">
        <f t="shared" si="15"/>
        <v>Obsolete</v>
      </c>
      <c r="H632" s="10"/>
      <c r="I632" s="13"/>
      <c r="J632" s="56"/>
      <c r="K632" s="57"/>
      <c r="M632" s="10"/>
      <c r="N632" s="10"/>
      <c r="O632" s="29"/>
      <c r="P632" s="29"/>
      <c r="Q632" s="29"/>
      <c r="R632" s="29"/>
      <c r="S632" s="29"/>
      <c r="T632" s="72"/>
      <c r="U632" s="97" t="s">
        <v>54</v>
      </c>
      <c r="V632" s="97"/>
      <c r="W632" s="97" t="s">
        <v>54</v>
      </c>
      <c r="X632" s="97"/>
      <c r="Y632" s="97"/>
      <c r="Z632" s="87"/>
      <c r="AA632" s="79" t="s">
        <v>64</v>
      </c>
      <c r="AB632" s="79" t="s">
        <v>37</v>
      </c>
      <c r="AC632" s="79" t="s">
        <v>37</v>
      </c>
      <c r="AD632" s="79"/>
      <c r="AE632" s="79" t="s">
        <v>1044</v>
      </c>
      <c r="AF632" s="79" t="s">
        <v>1045</v>
      </c>
      <c r="AG632" s="79" t="s">
        <v>1046</v>
      </c>
      <c r="AH632" s="79"/>
      <c r="AI632" s="53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</row>
    <row r="633" spans="1:110" ht="20.399999999999999" x14ac:dyDescent="0.25">
      <c r="A633" s="24">
        <v>1405016</v>
      </c>
      <c r="B633" s="10" t="s">
        <v>956</v>
      </c>
      <c r="C633" s="25" t="s">
        <v>1065</v>
      </c>
      <c r="D633" s="26" t="s">
        <v>1064</v>
      </c>
      <c r="E633" s="10" t="s">
        <v>1043</v>
      </c>
      <c r="F633" s="10" t="s">
        <v>557</v>
      </c>
      <c r="G633" s="55" t="str">
        <f t="shared" ref="G633:G696" si="16">IF(U633="Obsolete",U633,U633+V633)</f>
        <v>Obsolete</v>
      </c>
      <c r="H633" s="10"/>
      <c r="I633" s="13"/>
      <c r="J633" s="56"/>
      <c r="K633" s="57"/>
      <c r="M633" s="10"/>
      <c r="N633" s="10"/>
      <c r="O633" s="29"/>
      <c r="P633" s="29"/>
      <c r="Q633" s="29"/>
      <c r="R633" s="29"/>
      <c r="S633" s="29"/>
      <c r="T633" s="72"/>
      <c r="U633" s="97" t="s">
        <v>54</v>
      </c>
      <c r="V633" s="97"/>
      <c r="W633" s="97" t="s">
        <v>54</v>
      </c>
      <c r="X633" s="97"/>
      <c r="Y633" s="97"/>
      <c r="Z633" s="87"/>
      <c r="AA633" s="79" t="s">
        <v>64</v>
      </c>
      <c r="AB633" s="79" t="s">
        <v>37</v>
      </c>
      <c r="AC633" s="79" t="s">
        <v>37</v>
      </c>
      <c r="AD633" s="79"/>
      <c r="AE633" s="79" t="s">
        <v>1044</v>
      </c>
      <c r="AF633" s="79" t="s">
        <v>1045</v>
      </c>
      <c r="AG633" s="79" t="s">
        <v>1046</v>
      </c>
      <c r="AH633" s="79"/>
      <c r="AI633" s="53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</row>
    <row r="634" spans="1:110" ht="20.399999999999999" x14ac:dyDescent="0.25">
      <c r="A634" s="24">
        <v>1405017</v>
      </c>
      <c r="B634" s="10" t="s">
        <v>956</v>
      </c>
      <c r="C634" s="25" t="s">
        <v>1066</v>
      </c>
      <c r="D634" s="26" t="s">
        <v>1064</v>
      </c>
      <c r="E634" s="10" t="s">
        <v>1043</v>
      </c>
      <c r="F634" s="10" t="s">
        <v>557</v>
      </c>
      <c r="G634" s="55" t="str">
        <f t="shared" si="16"/>
        <v>Obsolete</v>
      </c>
      <c r="H634" s="10"/>
      <c r="I634" s="13"/>
      <c r="J634" s="56"/>
      <c r="K634" s="57"/>
      <c r="M634" s="10"/>
      <c r="N634" s="10"/>
      <c r="O634" s="29"/>
      <c r="P634" s="29"/>
      <c r="Q634" s="29"/>
      <c r="R634" s="29"/>
      <c r="S634" s="29"/>
      <c r="T634" s="72"/>
      <c r="U634" s="97" t="s">
        <v>54</v>
      </c>
      <c r="V634" s="97"/>
      <c r="W634" s="97" t="s">
        <v>54</v>
      </c>
      <c r="X634" s="97"/>
      <c r="Y634" s="97"/>
      <c r="Z634" s="87"/>
      <c r="AA634" s="79" t="s">
        <v>64</v>
      </c>
      <c r="AB634" s="79" t="s">
        <v>37</v>
      </c>
      <c r="AC634" s="79" t="s">
        <v>37</v>
      </c>
      <c r="AD634" s="79"/>
      <c r="AE634" s="79" t="s">
        <v>1044</v>
      </c>
      <c r="AF634" s="79" t="s">
        <v>1045</v>
      </c>
      <c r="AG634" s="79" t="s">
        <v>1046</v>
      </c>
      <c r="AH634" s="79"/>
      <c r="AI634" s="53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</row>
    <row r="635" spans="1:110" ht="20.399999999999999" x14ac:dyDescent="0.25">
      <c r="A635" s="24">
        <v>1405018</v>
      </c>
      <c r="B635" s="10" t="s">
        <v>956</v>
      </c>
      <c r="C635" s="25" t="s">
        <v>1067</v>
      </c>
      <c r="D635" s="26" t="s">
        <v>1064</v>
      </c>
      <c r="E635" s="10" t="s">
        <v>1043</v>
      </c>
      <c r="F635" s="10" t="s">
        <v>557</v>
      </c>
      <c r="G635" s="55" t="str">
        <f t="shared" si="16"/>
        <v>Obsolete</v>
      </c>
      <c r="H635" s="10"/>
      <c r="I635" s="13"/>
      <c r="J635" s="56"/>
      <c r="K635" s="57"/>
      <c r="M635" s="10"/>
      <c r="N635" s="10"/>
      <c r="O635" s="29"/>
      <c r="P635" s="29"/>
      <c r="Q635" s="29"/>
      <c r="R635" s="29"/>
      <c r="S635" s="29"/>
      <c r="T635" s="72"/>
      <c r="U635" s="97" t="s">
        <v>54</v>
      </c>
      <c r="V635" s="97"/>
      <c r="W635" s="97" t="s">
        <v>54</v>
      </c>
      <c r="X635" s="97"/>
      <c r="Y635" s="97"/>
      <c r="Z635" s="87"/>
      <c r="AA635" s="79" t="s">
        <v>64</v>
      </c>
      <c r="AB635" s="79" t="s">
        <v>37</v>
      </c>
      <c r="AC635" s="79" t="s">
        <v>37</v>
      </c>
      <c r="AD635" s="79"/>
      <c r="AE635" s="79" t="s">
        <v>1044</v>
      </c>
      <c r="AF635" s="79" t="s">
        <v>1045</v>
      </c>
      <c r="AG635" s="79" t="s">
        <v>1046</v>
      </c>
      <c r="AH635" s="79"/>
      <c r="AI635" s="53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</row>
    <row r="636" spans="1:110" ht="20.399999999999999" x14ac:dyDescent="0.25">
      <c r="A636" s="24">
        <v>1405019</v>
      </c>
      <c r="B636" s="10" t="s">
        <v>956</v>
      </c>
      <c r="C636" s="25" t="s">
        <v>1068</v>
      </c>
      <c r="D636" s="26" t="s">
        <v>1064</v>
      </c>
      <c r="E636" s="10" t="s">
        <v>1043</v>
      </c>
      <c r="F636" s="10" t="s">
        <v>557</v>
      </c>
      <c r="G636" s="55" t="str">
        <f t="shared" si="16"/>
        <v>Obsolete</v>
      </c>
      <c r="H636" s="10"/>
      <c r="I636" s="13"/>
      <c r="J636" s="56"/>
      <c r="K636" s="57"/>
      <c r="M636" s="10"/>
      <c r="N636" s="10"/>
      <c r="O636" s="29"/>
      <c r="P636" s="29"/>
      <c r="Q636" s="29"/>
      <c r="R636" s="29"/>
      <c r="S636" s="29"/>
      <c r="T636" s="72"/>
      <c r="U636" s="97" t="s">
        <v>54</v>
      </c>
      <c r="V636" s="97"/>
      <c r="W636" s="97" t="s">
        <v>54</v>
      </c>
      <c r="X636" s="97"/>
      <c r="Y636" s="97"/>
      <c r="Z636" s="87"/>
      <c r="AA636" s="79" t="s">
        <v>64</v>
      </c>
      <c r="AB636" s="79" t="s">
        <v>37</v>
      </c>
      <c r="AC636" s="79" t="s">
        <v>37</v>
      </c>
      <c r="AD636" s="79"/>
      <c r="AE636" s="79" t="s">
        <v>1044</v>
      </c>
      <c r="AF636" s="79" t="s">
        <v>1045</v>
      </c>
      <c r="AG636" s="79" t="s">
        <v>1046</v>
      </c>
      <c r="AH636" s="79"/>
      <c r="AI636" s="53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</row>
    <row r="637" spans="1:110" ht="20.399999999999999" x14ac:dyDescent="0.25">
      <c r="A637" s="24">
        <v>1405020</v>
      </c>
      <c r="B637" s="10" t="s">
        <v>956</v>
      </c>
      <c r="C637" s="25" t="s">
        <v>1069</v>
      </c>
      <c r="D637" s="26" t="s">
        <v>1064</v>
      </c>
      <c r="E637" s="10" t="s">
        <v>1043</v>
      </c>
      <c r="F637" s="10" t="s">
        <v>557</v>
      </c>
      <c r="G637" s="55" t="str">
        <f t="shared" si="16"/>
        <v>Obsolete</v>
      </c>
      <c r="H637" s="10"/>
      <c r="I637" s="13"/>
      <c r="J637" s="56"/>
      <c r="K637" s="57"/>
      <c r="M637" s="10"/>
      <c r="N637" s="10"/>
      <c r="O637" s="29"/>
      <c r="P637" s="29"/>
      <c r="Q637" s="29"/>
      <c r="R637" s="29"/>
      <c r="S637" s="29"/>
      <c r="T637" s="72"/>
      <c r="U637" s="97" t="s">
        <v>54</v>
      </c>
      <c r="V637" s="97"/>
      <c r="W637" s="97" t="s">
        <v>54</v>
      </c>
      <c r="X637" s="97"/>
      <c r="Y637" s="97"/>
      <c r="Z637" s="87"/>
      <c r="AA637" s="79" t="s">
        <v>64</v>
      </c>
      <c r="AB637" s="79" t="s">
        <v>37</v>
      </c>
      <c r="AC637" s="79" t="s">
        <v>37</v>
      </c>
      <c r="AD637" s="79"/>
      <c r="AE637" s="79" t="s">
        <v>1044</v>
      </c>
      <c r="AF637" s="79" t="s">
        <v>1045</v>
      </c>
      <c r="AG637" s="79" t="s">
        <v>1046</v>
      </c>
      <c r="AH637" s="79"/>
      <c r="AI637" s="53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</row>
    <row r="638" spans="1:110" ht="13.8" x14ac:dyDescent="0.25">
      <c r="A638" s="24">
        <v>1405021</v>
      </c>
      <c r="B638" s="10" t="s">
        <v>956</v>
      </c>
      <c r="C638" s="25" t="s">
        <v>1070</v>
      </c>
      <c r="D638" s="26"/>
      <c r="E638" s="10" t="s">
        <v>1016</v>
      </c>
      <c r="F638" s="10" t="s">
        <v>557</v>
      </c>
      <c r="G638" s="55" t="str">
        <f t="shared" si="16"/>
        <v>Obsolete</v>
      </c>
      <c r="H638" s="10"/>
      <c r="I638" s="13"/>
      <c r="J638" s="56"/>
      <c r="K638" s="57"/>
      <c r="M638" s="10"/>
      <c r="N638" s="10"/>
      <c r="O638" s="29"/>
      <c r="P638" s="29"/>
      <c r="Q638" s="29"/>
      <c r="R638" s="29"/>
      <c r="S638" s="29"/>
      <c r="T638" s="72"/>
      <c r="U638" s="97" t="s">
        <v>54</v>
      </c>
      <c r="V638" s="97"/>
      <c r="W638" s="97" t="s">
        <v>54</v>
      </c>
      <c r="X638" s="97"/>
      <c r="Y638" s="97"/>
      <c r="Z638" s="87"/>
      <c r="AA638" s="79" t="s">
        <v>496</v>
      </c>
      <c r="AB638" s="79" t="s">
        <v>37</v>
      </c>
      <c r="AC638" s="79" t="s">
        <v>37</v>
      </c>
      <c r="AD638" s="79"/>
      <c r="AE638" s="79"/>
      <c r="AF638" s="79"/>
      <c r="AG638" s="79"/>
      <c r="AH638" s="79"/>
      <c r="AI638" s="53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</row>
    <row r="639" spans="1:110" ht="13.8" x14ac:dyDescent="0.25">
      <c r="A639" s="24">
        <v>1405022</v>
      </c>
      <c r="B639" s="10" t="s">
        <v>956</v>
      </c>
      <c r="C639" s="25" t="s">
        <v>1071</v>
      </c>
      <c r="D639" s="26"/>
      <c r="E639" s="10" t="s">
        <v>1016</v>
      </c>
      <c r="F639" s="10" t="s">
        <v>557</v>
      </c>
      <c r="G639" s="55" t="str">
        <f t="shared" si="16"/>
        <v>Obsolete</v>
      </c>
      <c r="H639" s="10"/>
      <c r="I639" s="13"/>
      <c r="J639" s="56"/>
      <c r="K639" s="57"/>
      <c r="M639" s="10"/>
      <c r="N639" s="10"/>
      <c r="O639" s="29"/>
      <c r="P639" s="29"/>
      <c r="Q639" s="29"/>
      <c r="R639" s="29"/>
      <c r="S639" s="29"/>
      <c r="T639" s="72"/>
      <c r="U639" s="97" t="s">
        <v>54</v>
      </c>
      <c r="V639" s="97"/>
      <c r="W639" s="97" t="s">
        <v>54</v>
      </c>
      <c r="X639" s="97"/>
      <c r="Y639" s="97"/>
      <c r="Z639" s="87"/>
      <c r="AA639" s="79" t="s">
        <v>496</v>
      </c>
      <c r="AB639" s="79" t="s">
        <v>37</v>
      </c>
      <c r="AC639" s="79" t="s">
        <v>37</v>
      </c>
      <c r="AD639" s="79"/>
      <c r="AE639" s="79"/>
      <c r="AF639" s="79"/>
      <c r="AG639" s="79"/>
      <c r="AH639" s="79"/>
      <c r="AI639" s="53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</row>
    <row r="640" spans="1:110" ht="13.8" x14ac:dyDescent="0.25">
      <c r="A640" s="24">
        <v>1405023</v>
      </c>
      <c r="B640" s="10" t="s">
        <v>956</v>
      </c>
      <c r="C640" s="25" t="s">
        <v>1072</v>
      </c>
      <c r="D640" s="26"/>
      <c r="E640" s="10" t="s">
        <v>1016</v>
      </c>
      <c r="F640" s="10" t="s">
        <v>557</v>
      </c>
      <c r="G640" s="55" t="str">
        <f t="shared" si="16"/>
        <v>Obsolete</v>
      </c>
      <c r="H640" s="10"/>
      <c r="I640" s="13"/>
      <c r="J640" s="56"/>
      <c r="K640" s="57"/>
      <c r="M640" s="10"/>
      <c r="N640" s="10"/>
      <c r="O640" s="29"/>
      <c r="P640" s="29"/>
      <c r="Q640" s="29"/>
      <c r="R640" s="29"/>
      <c r="S640" s="29"/>
      <c r="T640" s="72"/>
      <c r="U640" s="97" t="s">
        <v>54</v>
      </c>
      <c r="V640" s="97"/>
      <c r="W640" s="97" t="s">
        <v>54</v>
      </c>
      <c r="X640" s="97"/>
      <c r="Y640" s="97"/>
      <c r="Z640" s="87"/>
      <c r="AA640" s="79" t="s">
        <v>496</v>
      </c>
      <c r="AB640" s="79" t="s">
        <v>37</v>
      </c>
      <c r="AC640" s="79" t="s">
        <v>37</v>
      </c>
      <c r="AD640" s="79"/>
      <c r="AE640" s="79"/>
      <c r="AF640" s="79"/>
      <c r="AG640" s="79"/>
      <c r="AH640" s="79"/>
      <c r="AI640" s="53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</row>
    <row r="641" spans="1:110" ht="13.8" x14ac:dyDescent="0.25">
      <c r="A641" s="24">
        <v>1405024</v>
      </c>
      <c r="B641" s="10" t="s">
        <v>956</v>
      </c>
      <c r="C641" s="25" t="s">
        <v>1073</v>
      </c>
      <c r="D641" s="26" t="s">
        <v>1074</v>
      </c>
      <c r="E641" s="10" t="s">
        <v>1075</v>
      </c>
      <c r="F641" s="10" t="s">
        <v>557</v>
      </c>
      <c r="G641" s="55" t="str">
        <f t="shared" si="16"/>
        <v>Obsolete</v>
      </c>
      <c r="H641" s="10"/>
      <c r="I641" s="13"/>
      <c r="J641" s="56"/>
      <c r="K641" s="57"/>
      <c r="M641" s="45">
        <v>0.16500000000000001</v>
      </c>
      <c r="N641" s="10"/>
      <c r="O641" s="29"/>
      <c r="P641" s="29"/>
      <c r="Q641" s="29"/>
      <c r="R641" s="29"/>
      <c r="S641" s="29"/>
      <c r="T641" s="72"/>
      <c r="U641" s="97" t="s">
        <v>54</v>
      </c>
      <c r="V641" s="97"/>
      <c r="W641" s="97" t="s">
        <v>54</v>
      </c>
      <c r="X641" s="97"/>
      <c r="Y641" s="97"/>
      <c r="Z641" s="87"/>
      <c r="AA641" s="79" t="s">
        <v>64</v>
      </c>
      <c r="AB641" s="79" t="s">
        <v>37</v>
      </c>
      <c r="AC641" s="79" t="s">
        <v>37</v>
      </c>
      <c r="AD641" s="79"/>
      <c r="AE641" s="79" t="s">
        <v>1076</v>
      </c>
      <c r="AF641" s="79" t="s">
        <v>1077</v>
      </c>
      <c r="AG641" s="79" t="s">
        <v>1078</v>
      </c>
      <c r="AH641" s="79"/>
      <c r="AI641" s="53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</row>
    <row r="642" spans="1:110" ht="13.8" x14ac:dyDescent="0.25">
      <c r="A642" s="24">
        <v>1405025</v>
      </c>
      <c r="B642" s="10" t="s">
        <v>956</v>
      </c>
      <c r="C642" s="25" t="s">
        <v>1079</v>
      </c>
      <c r="D642" s="26" t="s">
        <v>1074</v>
      </c>
      <c r="E642" s="10" t="s">
        <v>1075</v>
      </c>
      <c r="F642" s="10" t="s">
        <v>557</v>
      </c>
      <c r="G642" s="55" t="str">
        <f t="shared" si="16"/>
        <v>Obsolete</v>
      </c>
      <c r="H642" s="10"/>
      <c r="I642" s="13"/>
      <c r="J642" s="56"/>
      <c r="K642" s="57"/>
      <c r="M642" s="45">
        <v>2.477E-2</v>
      </c>
      <c r="N642" s="10"/>
      <c r="O642" s="29"/>
      <c r="P642" s="29"/>
      <c r="Q642" s="29"/>
      <c r="R642" s="29"/>
      <c r="S642" s="29"/>
      <c r="T642" s="72"/>
      <c r="U642" s="97" t="s">
        <v>54</v>
      </c>
      <c r="V642" s="97"/>
      <c r="W642" s="97" t="s">
        <v>54</v>
      </c>
      <c r="X642" s="97"/>
      <c r="Y642" s="97"/>
      <c r="Z642" s="87"/>
      <c r="AA642" s="79" t="s">
        <v>64</v>
      </c>
      <c r="AB642" s="79" t="s">
        <v>37</v>
      </c>
      <c r="AC642" s="79" t="s">
        <v>37</v>
      </c>
      <c r="AD642" s="79"/>
      <c r="AE642" s="79" t="s">
        <v>1076</v>
      </c>
      <c r="AF642" s="79" t="s">
        <v>1077</v>
      </c>
      <c r="AG642" s="79" t="s">
        <v>1078</v>
      </c>
      <c r="AH642" s="79"/>
      <c r="AI642" s="53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</row>
    <row r="643" spans="1:110" ht="13.8" x14ac:dyDescent="0.25">
      <c r="A643" s="24">
        <v>1405025</v>
      </c>
      <c r="B643" s="10" t="s">
        <v>956</v>
      </c>
      <c r="C643" s="25" t="s">
        <v>1080</v>
      </c>
      <c r="D643" s="10"/>
      <c r="E643" s="10" t="s">
        <v>1075</v>
      </c>
      <c r="F643" s="10" t="s">
        <v>557</v>
      </c>
      <c r="G643" s="55" t="str">
        <f t="shared" si="16"/>
        <v>Obsolete</v>
      </c>
      <c r="H643" s="10"/>
      <c r="I643" s="13"/>
      <c r="J643" s="56"/>
      <c r="K643" s="57"/>
      <c r="M643" s="10"/>
      <c r="N643" s="10"/>
      <c r="O643" s="29"/>
      <c r="P643" s="29"/>
      <c r="Q643" s="29"/>
      <c r="R643" s="29"/>
      <c r="S643" s="29"/>
      <c r="T643" s="72"/>
      <c r="U643" s="97" t="s">
        <v>54</v>
      </c>
      <c r="V643" s="97"/>
      <c r="W643" s="97" t="s">
        <v>54</v>
      </c>
      <c r="X643" s="97"/>
      <c r="Y643" s="97"/>
      <c r="Z643" s="87"/>
      <c r="AA643" s="79"/>
      <c r="AB643" s="79" t="s">
        <v>37</v>
      </c>
      <c r="AC643" s="79" t="s">
        <v>37</v>
      </c>
      <c r="AD643" s="79"/>
      <c r="AE643" s="79"/>
      <c r="AF643" s="79"/>
      <c r="AG643" s="79"/>
      <c r="AH643" s="79"/>
      <c r="AI643" s="53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</row>
    <row r="644" spans="1:110" ht="13.8" x14ac:dyDescent="0.25">
      <c r="A644" s="24">
        <v>1405026</v>
      </c>
      <c r="B644" s="10" t="s">
        <v>956</v>
      </c>
      <c r="C644" s="25" t="s">
        <v>1081</v>
      </c>
      <c r="D644" s="26" t="s">
        <v>1074</v>
      </c>
      <c r="E644" s="10" t="s">
        <v>1043</v>
      </c>
      <c r="F644" s="10" t="s">
        <v>557</v>
      </c>
      <c r="G644" s="55" t="str">
        <f t="shared" si="16"/>
        <v>Obsolete</v>
      </c>
      <c r="H644" s="10">
        <v>12</v>
      </c>
      <c r="I644" s="13">
        <v>5000</v>
      </c>
      <c r="J644" s="56"/>
      <c r="K644" s="57"/>
      <c r="M644" s="10">
        <v>8.3000000000000004E-2</v>
      </c>
      <c r="N644" s="10"/>
      <c r="O644" s="29"/>
      <c r="P644" s="29"/>
      <c r="Q644" s="29"/>
      <c r="R644" s="29"/>
      <c r="S644" s="29"/>
      <c r="T644" s="72"/>
      <c r="U644" s="97" t="s">
        <v>54</v>
      </c>
      <c r="V644" s="97"/>
      <c r="W644" s="97" t="s">
        <v>54</v>
      </c>
      <c r="X644" s="97"/>
      <c r="Y644" s="97"/>
      <c r="Z644" s="87"/>
      <c r="AA644" s="79" t="s">
        <v>64</v>
      </c>
      <c r="AB644" s="79" t="s">
        <v>37</v>
      </c>
      <c r="AC644" s="79" t="s">
        <v>37</v>
      </c>
      <c r="AD644" s="79"/>
      <c r="AE644" s="79" t="s">
        <v>1044</v>
      </c>
      <c r="AF644" s="79" t="s">
        <v>1045</v>
      </c>
      <c r="AG644" s="79" t="s">
        <v>1046</v>
      </c>
      <c r="AH644" s="79"/>
      <c r="AI644" s="53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</row>
    <row r="645" spans="1:110" ht="20.399999999999999" x14ac:dyDescent="0.25">
      <c r="A645" s="24">
        <v>1405027</v>
      </c>
      <c r="B645" s="10" t="s">
        <v>956</v>
      </c>
      <c r="C645" s="25" t="s">
        <v>1082</v>
      </c>
      <c r="D645" s="26" t="s">
        <v>1074</v>
      </c>
      <c r="E645" s="10" t="s">
        <v>1043</v>
      </c>
      <c r="F645" s="10" t="s">
        <v>557</v>
      </c>
      <c r="G645" s="55" t="str">
        <f t="shared" si="16"/>
        <v>Obsolete</v>
      </c>
      <c r="H645" s="10">
        <v>12</v>
      </c>
      <c r="I645" s="13">
        <v>4000</v>
      </c>
      <c r="J645" s="56"/>
      <c r="K645" s="57"/>
      <c r="M645" s="19">
        <v>0.20599999999999999</v>
      </c>
      <c r="N645" s="10"/>
      <c r="O645" s="29"/>
      <c r="P645" s="29"/>
      <c r="Q645" s="29"/>
      <c r="R645" s="29"/>
      <c r="S645" s="29"/>
      <c r="T645" s="72"/>
      <c r="U645" s="97" t="s">
        <v>54</v>
      </c>
      <c r="V645" s="97"/>
      <c r="W645" s="97" t="s">
        <v>54</v>
      </c>
      <c r="X645" s="97"/>
      <c r="Y645" s="97"/>
      <c r="Z645" s="87"/>
      <c r="AA645" s="79" t="s">
        <v>64</v>
      </c>
      <c r="AB645" s="79" t="s">
        <v>37</v>
      </c>
      <c r="AC645" s="79" t="s">
        <v>37</v>
      </c>
      <c r="AD645" s="79"/>
      <c r="AE645" s="79" t="s">
        <v>1044</v>
      </c>
      <c r="AF645" s="79" t="s">
        <v>1045</v>
      </c>
      <c r="AG645" s="79" t="s">
        <v>1046</v>
      </c>
      <c r="AH645" s="79"/>
      <c r="AI645" s="53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</row>
    <row r="646" spans="1:110" ht="20.399999999999999" x14ac:dyDescent="0.25">
      <c r="A646" s="24">
        <v>1405028</v>
      </c>
      <c r="B646" s="10" t="s">
        <v>956</v>
      </c>
      <c r="C646" s="25" t="s">
        <v>1083</v>
      </c>
      <c r="D646" s="26" t="s">
        <v>1074</v>
      </c>
      <c r="E646" s="10" t="s">
        <v>1043</v>
      </c>
      <c r="F646" s="10" t="s">
        <v>557</v>
      </c>
      <c r="G646" s="55" t="str">
        <f t="shared" si="16"/>
        <v>Obsolete</v>
      </c>
      <c r="H646" s="10">
        <v>12</v>
      </c>
      <c r="I646" s="13">
        <v>2500</v>
      </c>
      <c r="J646" s="56"/>
      <c r="K646" s="57"/>
      <c r="M646" s="10">
        <v>0.20200000000000001</v>
      </c>
      <c r="N646" s="10"/>
      <c r="O646" s="29"/>
      <c r="P646" s="29"/>
      <c r="Q646" s="29"/>
      <c r="R646" s="29"/>
      <c r="S646" s="29"/>
      <c r="T646" s="72"/>
      <c r="U646" s="97" t="s">
        <v>54</v>
      </c>
      <c r="V646" s="97"/>
      <c r="W646" s="97" t="s">
        <v>54</v>
      </c>
      <c r="X646" s="97"/>
      <c r="Y646" s="97"/>
      <c r="Z646" s="87"/>
      <c r="AA646" s="79" t="s">
        <v>64</v>
      </c>
      <c r="AB646" s="79" t="s">
        <v>37</v>
      </c>
      <c r="AC646" s="79" t="s">
        <v>37</v>
      </c>
      <c r="AD646" s="79"/>
      <c r="AE646" s="79" t="s">
        <v>1044</v>
      </c>
      <c r="AF646" s="79" t="s">
        <v>1045</v>
      </c>
      <c r="AG646" s="79" t="s">
        <v>1046</v>
      </c>
      <c r="AH646" s="79"/>
      <c r="AI646" s="53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</row>
    <row r="647" spans="1:110" ht="20.399999999999999" x14ac:dyDescent="0.25">
      <c r="A647" s="24">
        <v>1405029</v>
      </c>
      <c r="B647" s="10" t="s">
        <v>956</v>
      </c>
      <c r="C647" s="25" t="s">
        <v>1084</v>
      </c>
      <c r="D647" s="26" t="s">
        <v>1074</v>
      </c>
      <c r="E647" s="10" t="s">
        <v>1043</v>
      </c>
      <c r="F647" s="10" t="s">
        <v>557</v>
      </c>
      <c r="G647" s="55" t="str">
        <f t="shared" si="16"/>
        <v>Obsolete</v>
      </c>
      <c r="H647" s="10">
        <v>12</v>
      </c>
      <c r="I647" s="13">
        <v>1000</v>
      </c>
      <c r="J647" s="56"/>
      <c r="K647" s="57"/>
      <c r="M647" s="10">
        <v>7.0999999999999994E-2</v>
      </c>
      <c r="N647" s="10"/>
      <c r="O647" s="29"/>
      <c r="P647" s="29"/>
      <c r="Q647" s="29"/>
      <c r="R647" s="29"/>
      <c r="S647" s="29"/>
      <c r="T647" s="72"/>
      <c r="U647" s="97" t="s">
        <v>54</v>
      </c>
      <c r="V647" s="97"/>
      <c r="W647" s="97" t="s">
        <v>54</v>
      </c>
      <c r="X647" s="97"/>
      <c r="Y647" s="97"/>
      <c r="Z647" s="87"/>
      <c r="AA647" s="79" t="s">
        <v>64</v>
      </c>
      <c r="AB647" s="79" t="s">
        <v>37</v>
      </c>
      <c r="AC647" s="79" t="s">
        <v>37</v>
      </c>
      <c r="AD647" s="79"/>
      <c r="AE647" s="79" t="s">
        <v>1044</v>
      </c>
      <c r="AF647" s="79" t="s">
        <v>1045</v>
      </c>
      <c r="AG647" s="79" t="s">
        <v>1046</v>
      </c>
      <c r="AH647" s="79"/>
      <c r="AI647" s="53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</row>
    <row r="648" spans="1:110" ht="13.8" x14ac:dyDescent="0.25">
      <c r="A648" s="24">
        <v>1405030</v>
      </c>
      <c r="B648" s="10" t="s">
        <v>956</v>
      </c>
      <c r="C648" s="25" t="s">
        <v>1085</v>
      </c>
      <c r="D648" s="26" t="s">
        <v>1074</v>
      </c>
      <c r="E648" s="10" t="s">
        <v>1043</v>
      </c>
      <c r="F648" s="10" t="s">
        <v>557</v>
      </c>
      <c r="G648" s="55" t="str">
        <f t="shared" si="16"/>
        <v>Obsolete</v>
      </c>
      <c r="H648" s="10">
        <v>12</v>
      </c>
      <c r="I648" s="13">
        <v>10000</v>
      </c>
      <c r="J648" s="56"/>
      <c r="K648" s="57"/>
      <c r="M648" s="10">
        <v>7.8E-2</v>
      </c>
      <c r="N648" s="10"/>
      <c r="O648" s="29"/>
      <c r="P648" s="29"/>
      <c r="Q648" s="29"/>
      <c r="R648" s="29"/>
      <c r="S648" s="29"/>
      <c r="T648" s="72"/>
      <c r="U648" s="97" t="s">
        <v>54</v>
      </c>
      <c r="V648" s="97"/>
      <c r="W648" s="97" t="s">
        <v>54</v>
      </c>
      <c r="X648" s="97"/>
      <c r="Y648" s="97"/>
      <c r="Z648" s="87"/>
      <c r="AA648" s="79" t="s">
        <v>64</v>
      </c>
      <c r="AB648" s="79" t="s">
        <v>37</v>
      </c>
      <c r="AC648" s="79" t="s">
        <v>37</v>
      </c>
      <c r="AD648" s="79"/>
      <c r="AE648" s="79" t="s">
        <v>1044</v>
      </c>
      <c r="AF648" s="79" t="s">
        <v>1045</v>
      </c>
      <c r="AG648" s="79" t="s">
        <v>1046</v>
      </c>
      <c r="AH648" s="79"/>
      <c r="AI648" s="53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</row>
    <row r="649" spans="1:110" ht="20.399999999999999" x14ac:dyDescent="0.25">
      <c r="A649" s="24">
        <v>1405031</v>
      </c>
      <c r="B649" s="10" t="s">
        <v>956</v>
      </c>
      <c r="C649" s="25" t="s">
        <v>1086</v>
      </c>
      <c r="D649" s="26" t="s">
        <v>1087</v>
      </c>
      <c r="E649" s="10" t="s">
        <v>1043</v>
      </c>
      <c r="F649" s="10" t="s">
        <v>557</v>
      </c>
      <c r="G649" s="55" t="str">
        <f t="shared" si="16"/>
        <v>Obsolete</v>
      </c>
      <c r="H649" s="10"/>
      <c r="I649" s="13"/>
      <c r="J649" s="56"/>
      <c r="K649" s="57"/>
      <c r="M649" s="10"/>
      <c r="N649" s="10"/>
      <c r="O649" s="29"/>
      <c r="P649" s="29"/>
      <c r="Q649" s="29"/>
      <c r="R649" s="29"/>
      <c r="S649" s="29"/>
      <c r="T649" s="72"/>
      <c r="U649" s="97" t="s">
        <v>54</v>
      </c>
      <c r="V649" s="97"/>
      <c r="W649" s="97" t="s">
        <v>54</v>
      </c>
      <c r="X649" s="97"/>
      <c r="Y649" s="97"/>
      <c r="Z649" s="87"/>
      <c r="AA649" s="79" t="s">
        <v>64</v>
      </c>
      <c r="AB649" s="79" t="s">
        <v>37</v>
      </c>
      <c r="AC649" s="79" t="s">
        <v>37</v>
      </c>
      <c r="AD649" s="79"/>
      <c r="AE649" s="79" t="s">
        <v>1044</v>
      </c>
      <c r="AF649" s="79" t="s">
        <v>1045</v>
      </c>
      <c r="AG649" s="79" t="s">
        <v>1046</v>
      </c>
      <c r="AH649" s="79"/>
      <c r="AI649" s="53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</row>
    <row r="650" spans="1:110" ht="20.399999999999999" x14ac:dyDescent="0.25">
      <c r="A650" s="24">
        <v>1405032</v>
      </c>
      <c r="B650" s="10" t="s">
        <v>956</v>
      </c>
      <c r="C650" s="25" t="s">
        <v>1088</v>
      </c>
      <c r="D650" s="26" t="s">
        <v>1087</v>
      </c>
      <c r="E650" s="10" t="s">
        <v>1043</v>
      </c>
      <c r="F650" s="10" t="s">
        <v>557</v>
      </c>
      <c r="G650" s="55" t="str">
        <f t="shared" si="16"/>
        <v>Obsolete</v>
      </c>
      <c r="H650" s="10"/>
      <c r="I650" s="13"/>
      <c r="J650" s="56"/>
      <c r="K650" s="57"/>
      <c r="M650" s="10"/>
      <c r="N650" s="10"/>
      <c r="O650" s="29"/>
      <c r="P650" s="29"/>
      <c r="Q650" s="29"/>
      <c r="R650" s="29"/>
      <c r="S650" s="29"/>
      <c r="T650" s="72"/>
      <c r="U650" s="97" t="s">
        <v>54</v>
      </c>
      <c r="V650" s="97"/>
      <c r="W650" s="97" t="s">
        <v>54</v>
      </c>
      <c r="X650" s="97"/>
      <c r="Y650" s="97"/>
      <c r="Z650" s="87"/>
      <c r="AA650" s="79" t="s">
        <v>64</v>
      </c>
      <c r="AB650" s="79" t="s">
        <v>37</v>
      </c>
      <c r="AC650" s="79" t="s">
        <v>37</v>
      </c>
      <c r="AD650" s="79"/>
      <c r="AE650" s="79" t="s">
        <v>1044</v>
      </c>
      <c r="AF650" s="79" t="s">
        <v>1045</v>
      </c>
      <c r="AG650" s="79" t="s">
        <v>1046</v>
      </c>
      <c r="AH650" s="79"/>
      <c r="AI650" s="53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</row>
    <row r="651" spans="1:110" ht="20.399999999999999" x14ac:dyDescent="0.25">
      <c r="A651" s="24">
        <v>1405033</v>
      </c>
      <c r="B651" s="10" t="s">
        <v>956</v>
      </c>
      <c r="C651" s="25" t="s">
        <v>1089</v>
      </c>
      <c r="D651" s="26" t="s">
        <v>1087</v>
      </c>
      <c r="E651" s="10" t="s">
        <v>1043</v>
      </c>
      <c r="F651" s="10" t="s">
        <v>557</v>
      </c>
      <c r="G651" s="55" t="str">
        <f t="shared" si="16"/>
        <v>Obsolete</v>
      </c>
      <c r="H651" s="10"/>
      <c r="I651" s="13"/>
      <c r="J651" s="56"/>
      <c r="K651" s="57"/>
      <c r="M651" s="10"/>
      <c r="N651" s="10"/>
      <c r="O651" s="29"/>
      <c r="P651" s="29"/>
      <c r="Q651" s="29"/>
      <c r="R651" s="29"/>
      <c r="S651" s="29"/>
      <c r="T651" s="72"/>
      <c r="U651" s="97" t="s">
        <v>54</v>
      </c>
      <c r="V651" s="97"/>
      <c r="W651" s="97" t="s">
        <v>54</v>
      </c>
      <c r="X651" s="97"/>
      <c r="Y651" s="97"/>
      <c r="Z651" s="87"/>
      <c r="AA651" s="79" t="s">
        <v>64</v>
      </c>
      <c r="AB651" s="79" t="s">
        <v>37</v>
      </c>
      <c r="AC651" s="79" t="s">
        <v>37</v>
      </c>
      <c r="AD651" s="79"/>
      <c r="AE651" s="79" t="s">
        <v>1044</v>
      </c>
      <c r="AF651" s="79" t="s">
        <v>1045</v>
      </c>
      <c r="AG651" s="79" t="s">
        <v>1046</v>
      </c>
      <c r="AH651" s="79"/>
      <c r="AI651" s="53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</row>
    <row r="652" spans="1:110" ht="20.399999999999999" x14ac:dyDescent="0.25">
      <c r="A652" s="24">
        <v>1405034</v>
      </c>
      <c r="B652" s="10" t="s">
        <v>956</v>
      </c>
      <c r="C652" s="25" t="s">
        <v>1090</v>
      </c>
      <c r="D652" s="26" t="s">
        <v>1087</v>
      </c>
      <c r="E652" s="10" t="s">
        <v>1043</v>
      </c>
      <c r="F652" s="10" t="s">
        <v>557</v>
      </c>
      <c r="G652" s="55" t="str">
        <f t="shared" si="16"/>
        <v>Obsolete</v>
      </c>
      <c r="H652" s="10"/>
      <c r="I652" s="13"/>
      <c r="J652" s="56"/>
      <c r="K652" s="57"/>
      <c r="M652" s="10"/>
      <c r="N652" s="10"/>
      <c r="O652" s="29"/>
      <c r="P652" s="29"/>
      <c r="Q652" s="29"/>
      <c r="R652" s="29"/>
      <c r="S652" s="29"/>
      <c r="T652" s="72"/>
      <c r="U652" s="97" t="s">
        <v>54</v>
      </c>
      <c r="V652" s="97"/>
      <c r="W652" s="97" t="s">
        <v>54</v>
      </c>
      <c r="X652" s="97"/>
      <c r="Y652" s="97"/>
      <c r="Z652" s="87"/>
      <c r="AA652" s="79" t="s">
        <v>64</v>
      </c>
      <c r="AB652" s="79" t="s">
        <v>37</v>
      </c>
      <c r="AC652" s="79" t="s">
        <v>37</v>
      </c>
      <c r="AD652" s="79"/>
      <c r="AE652" s="79" t="s">
        <v>1044</v>
      </c>
      <c r="AF652" s="79" t="s">
        <v>1045</v>
      </c>
      <c r="AG652" s="79" t="s">
        <v>1046</v>
      </c>
      <c r="AH652" s="79"/>
      <c r="AI652" s="53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</row>
    <row r="653" spans="1:110" ht="20.399999999999999" x14ac:dyDescent="0.25">
      <c r="A653" s="24">
        <v>1405035</v>
      </c>
      <c r="B653" s="10" t="s">
        <v>956</v>
      </c>
      <c r="C653" s="25" t="s">
        <v>1091</v>
      </c>
      <c r="D653" s="26" t="s">
        <v>1087</v>
      </c>
      <c r="E653" s="10" t="s">
        <v>1043</v>
      </c>
      <c r="F653" s="10" t="s">
        <v>557</v>
      </c>
      <c r="G653" s="55" t="str">
        <f t="shared" si="16"/>
        <v>Obsolete</v>
      </c>
      <c r="H653" s="10"/>
      <c r="I653" s="13"/>
      <c r="J653" s="56"/>
      <c r="K653" s="57"/>
      <c r="M653" s="10"/>
      <c r="N653" s="10"/>
      <c r="O653" s="29"/>
      <c r="P653" s="29"/>
      <c r="Q653" s="29"/>
      <c r="R653" s="29"/>
      <c r="S653" s="29"/>
      <c r="T653" s="72"/>
      <c r="U653" s="97" t="s">
        <v>54</v>
      </c>
      <c r="V653" s="97"/>
      <c r="W653" s="97" t="s">
        <v>54</v>
      </c>
      <c r="X653" s="97"/>
      <c r="Y653" s="97"/>
      <c r="Z653" s="87"/>
      <c r="AA653" s="79" t="s">
        <v>64</v>
      </c>
      <c r="AB653" s="79" t="s">
        <v>37</v>
      </c>
      <c r="AC653" s="79" t="s">
        <v>37</v>
      </c>
      <c r="AD653" s="79"/>
      <c r="AE653" s="79" t="s">
        <v>1044</v>
      </c>
      <c r="AF653" s="79" t="s">
        <v>1045</v>
      </c>
      <c r="AG653" s="79" t="s">
        <v>1046</v>
      </c>
      <c r="AH653" s="79"/>
      <c r="AI653" s="53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</row>
    <row r="654" spans="1:110" ht="20.399999999999999" x14ac:dyDescent="0.25">
      <c r="A654" s="24">
        <v>1405036</v>
      </c>
      <c r="B654" s="10" t="s">
        <v>956</v>
      </c>
      <c r="C654" s="25" t="s">
        <v>1092</v>
      </c>
      <c r="D654" s="26" t="s">
        <v>1087</v>
      </c>
      <c r="E654" s="10" t="s">
        <v>1043</v>
      </c>
      <c r="F654" s="10" t="s">
        <v>557</v>
      </c>
      <c r="G654" s="55" t="str">
        <f t="shared" si="16"/>
        <v>Obsolete</v>
      </c>
      <c r="H654" s="10"/>
      <c r="I654" s="13"/>
      <c r="J654" s="56"/>
      <c r="K654" s="57"/>
      <c r="M654" s="10"/>
      <c r="N654" s="10"/>
      <c r="O654" s="29"/>
      <c r="P654" s="29"/>
      <c r="Q654" s="29"/>
      <c r="R654" s="29"/>
      <c r="S654" s="29"/>
      <c r="T654" s="72"/>
      <c r="U654" s="97" t="s">
        <v>54</v>
      </c>
      <c r="V654" s="97"/>
      <c r="W654" s="97" t="s">
        <v>54</v>
      </c>
      <c r="X654" s="97"/>
      <c r="Y654" s="97"/>
      <c r="Z654" s="87"/>
      <c r="AA654" s="79" t="s">
        <v>64</v>
      </c>
      <c r="AB654" s="79" t="s">
        <v>37</v>
      </c>
      <c r="AC654" s="79" t="s">
        <v>37</v>
      </c>
      <c r="AD654" s="79"/>
      <c r="AE654" s="79" t="s">
        <v>1044</v>
      </c>
      <c r="AF654" s="79" t="s">
        <v>1045</v>
      </c>
      <c r="AG654" s="79" t="s">
        <v>1046</v>
      </c>
      <c r="AH654" s="79"/>
      <c r="AI654" s="53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</row>
    <row r="655" spans="1:110" ht="20.399999999999999" x14ac:dyDescent="0.25">
      <c r="A655" s="24">
        <v>1405037</v>
      </c>
      <c r="B655" s="10" t="s">
        <v>956</v>
      </c>
      <c r="C655" s="25" t="s">
        <v>1093</v>
      </c>
      <c r="D655" s="26" t="s">
        <v>1087</v>
      </c>
      <c r="E655" s="10" t="s">
        <v>1043</v>
      </c>
      <c r="F655" s="10" t="s">
        <v>557</v>
      </c>
      <c r="G655" s="55" t="str">
        <f t="shared" si="16"/>
        <v>Obsolete</v>
      </c>
      <c r="H655" s="10"/>
      <c r="I655" s="13"/>
      <c r="J655" s="56"/>
      <c r="K655" s="57"/>
      <c r="M655" s="10"/>
      <c r="N655" s="10"/>
      <c r="O655" s="29"/>
      <c r="P655" s="29"/>
      <c r="Q655" s="29"/>
      <c r="R655" s="29"/>
      <c r="S655" s="29"/>
      <c r="T655" s="72"/>
      <c r="U655" s="97" t="s">
        <v>54</v>
      </c>
      <c r="V655" s="97"/>
      <c r="W655" s="97" t="s">
        <v>54</v>
      </c>
      <c r="X655" s="97"/>
      <c r="Y655" s="97"/>
      <c r="Z655" s="87"/>
      <c r="AA655" s="79" t="s">
        <v>64</v>
      </c>
      <c r="AB655" s="79" t="s">
        <v>37</v>
      </c>
      <c r="AC655" s="79" t="s">
        <v>37</v>
      </c>
      <c r="AD655" s="79"/>
      <c r="AE655" s="79" t="s">
        <v>1044</v>
      </c>
      <c r="AF655" s="79" t="s">
        <v>1045</v>
      </c>
      <c r="AG655" s="79" t="s">
        <v>1046</v>
      </c>
      <c r="AH655" s="79"/>
      <c r="AI655" s="53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</row>
    <row r="656" spans="1:110" ht="20.399999999999999" x14ac:dyDescent="0.25">
      <c r="A656" s="24">
        <v>1405038</v>
      </c>
      <c r="B656" s="10" t="s">
        <v>956</v>
      </c>
      <c r="C656" s="25" t="s">
        <v>1094</v>
      </c>
      <c r="D656" s="26" t="s">
        <v>1087</v>
      </c>
      <c r="E656" s="10" t="s">
        <v>1043</v>
      </c>
      <c r="F656" s="10" t="s">
        <v>557</v>
      </c>
      <c r="G656" s="55" t="str">
        <f t="shared" si="16"/>
        <v>Obsolete</v>
      </c>
      <c r="H656" s="10"/>
      <c r="I656" s="13"/>
      <c r="J656" s="56"/>
      <c r="K656" s="57"/>
      <c r="M656" s="10"/>
      <c r="N656" s="10"/>
      <c r="O656" s="29"/>
      <c r="P656" s="29"/>
      <c r="Q656" s="29"/>
      <c r="R656" s="29"/>
      <c r="S656" s="29"/>
      <c r="T656" s="72"/>
      <c r="U656" s="97" t="s">
        <v>54</v>
      </c>
      <c r="V656" s="97"/>
      <c r="W656" s="97" t="s">
        <v>54</v>
      </c>
      <c r="X656" s="97"/>
      <c r="Y656" s="97"/>
      <c r="Z656" s="87"/>
      <c r="AA656" s="79" t="s">
        <v>64</v>
      </c>
      <c r="AB656" s="79" t="s">
        <v>37</v>
      </c>
      <c r="AC656" s="79" t="s">
        <v>37</v>
      </c>
      <c r="AD656" s="79"/>
      <c r="AE656" s="79" t="s">
        <v>1044</v>
      </c>
      <c r="AF656" s="79" t="s">
        <v>1045</v>
      </c>
      <c r="AG656" s="79" t="s">
        <v>1046</v>
      </c>
      <c r="AH656" s="79"/>
      <c r="AI656" s="53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</row>
    <row r="657" spans="1:110" ht="20.399999999999999" x14ac:dyDescent="0.25">
      <c r="A657" s="24">
        <v>1405039</v>
      </c>
      <c r="B657" s="10" t="s">
        <v>956</v>
      </c>
      <c r="C657" s="25" t="s">
        <v>1095</v>
      </c>
      <c r="D657" s="26" t="s">
        <v>1087</v>
      </c>
      <c r="E657" s="10" t="s">
        <v>1043</v>
      </c>
      <c r="F657" s="10" t="s">
        <v>557</v>
      </c>
      <c r="G657" s="55" t="str">
        <f t="shared" si="16"/>
        <v>Obsolete</v>
      </c>
      <c r="H657" s="10"/>
      <c r="I657" s="13"/>
      <c r="J657" s="56"/>
      <c r="K657" s="57"/>
      <c r="M657" s="10"/>
      <c r="N657" s="10"/>
      <c r="O657" s="29"/>
      <c r="P657" s="29"/>
      <c r="Q657" s="29"/>
      <c r="R657" s="29"/>
      <c r="S657" s="29"/>
      <c r="T657" s="72"/>
      <c r="U657" s="97" t="s">
        <v>54</v>
      </c>
      <c r="V657" s="97"/>
      <c r="W657" s="97" t="s">
        <v>54</v>
      </c>
      <c r="X657" s="97"/>
      <c r="Y657" s="97"/>
      <c r="Z657" s="87"/>
      <c r="AA657" s="79" t="s">
        <v>64</v>
      </c>
      <c r="AB657" s="79" t="s">
        <v>37</v>
      </c>
      <c r="AC657" s="79" t="s">
        <v>37</v>
      </c>
      <c r="AD657" s="79"/>
      <c r="AE657" s="79" t="s">
        <v>1044</v>
      </c>
      <c r="AF657" s="79" t="s">
        <v>1045</v>
      </c>
      <c r="AG657" s="79" t="s">
        <v>1046</v>
      </c>
      <c r="AH657" s="79"/>
      <c r="AI657" s="53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</row>
    <row r="658" spans="1:110" ht="13.8" x14ac:dyDescent="0.25">
      <c r="A658" s="24">
        <v>1405040</v>
      </c>
      <c r="B658" s="10" t="s">
        <v>956</v>
      </c>
      <c r="C658" s="16" t="s">
        <v>1096</v>
      </c>
      <c r="D658" s="26" t="s">
        <v>1087</v>
      </c>
      <c r="E658" s="10" t="s">
        <v>1043</v>
      </c>
      <c r="F658" s="10" t="s">
        <v>557</v>
      </c>
      <c r="G658" s="55" t="str">
        <f t="shared" si="16"/>
        <v>Obsolete</v>
      </c>
      <c r="H658" s="10">
        <v>12</v>
      </c>
      <c r="I658" s="13">
        <v>523</v>
      </c>
      <c r="J658" s="56"/>
      <c r="K658" s="57"/>
      <c r="M658" s="10"/>
      <c r="N658" s="10"/>
      <c r="O658" s="29"/>
      <c r="P658" s="29"/>
      <c r="Q658" s="29"/>
      <c r="R658" s="29"/>
      <c r="S658" s="29"/>
      <c r="T658" s="72"/>
      <c r="U658" s="97" t="s">
        <v>54</v>
      </c>
      <c r="V658" s="97"/>
      <c r="W658" s="97" t="s">
        <v>54</v>
      </c>
      <c r="X658" s="97"/>
      <c r="Y658" s="97"/>
      <c r="Z658" s="87"/>
      <c r="AA658" s="79" t="s">
        <v>64</v>
      </c>
      <c r="AB658" s="79" t="s">
        <v>37</v>
      </c>
      <c r="AC658" s="79" t="s">
        <v>37</v>
      </c>
      <c r="AD658" s="79"/>
      <c r="AE658" s="79" t="s">
        <v>1044</v>
      </c>
      <c r="AF658" s="79" t="s">
        <v>1045</v>
      </c>
      <c r="AG658" s="79" t="s">
        <v>1046</v>
      </c>
      <c r="AH658" s="79"/>
      <c r="AI658" s="53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</row>
    <row r="659" spans="1:110" ht="13.8" x14ac:dyDescent="0.25">
      <c r="A659" s="24">
        <v>1405041</v>
      </c>
      <c r="B659" s="10" t="s">
        <v>956</v>
      </c>
      <c r="C659" s="16" t="s">
        <v>1097</v>
      </c>
      <c r="D659" s="26" t="s">
        <v>1087</v>
      </c>
      <c r="E659" s="10" t="s">
        <v>1043</v>
      </c>
      <c r="F659" s="10" t="s">
        <v>557</v>
      </c>
      <c r="G659" s="55" t="str">
        <f t="shared" si="16"/>
        <v>Obsolete</v>
      </c>
      <c r="H659" s="10"/>
      <c r="I659" s="13"/>
      <c r="J659" s="56"/>
      <c r="K659" s="57"/>
      <c r="M659" s="10"/>
      <c r="N659" s="10"/>
      <c r="O659" s="29"/>
      <c r="P659" s="29"/>
      <c r="Q659" s="29"/>
      <c r="R659" s="29"/>
      <c r="S659" s="29"/>
      <c r="T659" s="72"/>
      <c r="U659" s="97" t="s">
        <v>54</v>
      </c>
      <c r="V659" s="97"/>
      <c r="W659" s="97" t="s">
        <v>54</v>
      </c>
      <c r="X659" s="97"/>
      <c r="Y659" s="97"/>
      <c r="Z659" s="87"/>
      <c r="AA659" s="79" t="s">
        <v>64</v>
      </c>
      <c r="AB659" s="79" t="s">
        <v>37</v>
      </c>
      <c r="AC659" s="79" t="s">
        <v>37</v>
      </c>
      <c r="AD659" s="79"/>
      <c r="AE659" s="79" t="s">
        <v>1044</v>
      </c>
      <c r="AF659" s="79" t="s">
        <v>1045</v>
      </c>
      <c r="AG659" s="79" t="s">
        <v>1046</v>
      </c>
      <c r="AH659" s="79"/>
      <c r="AI659" s="53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</row>
    <row r="660" spans="1:110" ht="13.8" x14ac:dyDescent="0.25">
      <c r="A660" s="24">
        <v>1405042</v>
      </c>
      <c r="B660" s="10" t="s">
        <v>956</v>
      </c>
      <c r="C660" s="16" t="s">
        <v>1098</v>
      </c>
      <c r="D660" s="26" t="s">
        <v>1087</v>
      </c>
      <c r="E660" s="10" t="s">
        <v>1043</v>
      </c>
      <c r="F660" s="10" t="s">
        <v>557</v>
      </c>
      <c r="G660" s="55" t="str">
        <f t="shared" si="16"/>
        <v>Obsolete</v>
      </c>
      <c r="H660" s="10"/>
      <c r="I660" s="13"/>
      <c r="J660" s="56"/>
      <c r="K660" s="57"/>
      <c r="M660" s="10"/>
      <c r="N660" s="10"/>
      <c r="O660" s="29"/>
      <c r="P660" s="29"/>
      <c r="Q660" s="29"/>
      <c r="R660" s="29"/>
      <c r="S660" s="29"/>
      <c r="T660" s="72"/>
      <c r="U660" s="97" t="s">
        <v>54</v>
      </c>
      <c r="V660" s="97"/>
      <c r="W660" s="97" t="s">
        <v>54</v>
      </c>
      <c r="X660" s="97"/>
      <c r="Y660" s="97"/>
      <c r="Z660" s="87"/>
      <c r="AA660" s="79" t="s">
        <v>64</v>
      </c>
      <c r="AB660" s="79" t="s">
        <v>37</v>
      </c>
      <c r="AC660" s="79" t="s">
        <v>37</v>
      </c>
      <c r="AD660" s="79"/>
      <c r="AE660" s="79" t="s">
        <v>1044</v>
      </c>
      <c r="AF660" s="79" t="s">
        <v>1045</v>
      </c>
      <c r="AG660" s="79" t="s">
        <v>1046</v>
      </c>
      <c r="AH660" s="79"/>
      <c r="AI660" s="53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</row>
    <row r="661" spans="1:110" ht="13.8" x14ac:dyDescent="0.25">
      <c r="A661" s="24">
        <v>1405043</v>
      </c>
      <c r="B661" s="10" t="s">
        <v>956</v>
      </c>
      <c r="C661" s="16" t="s">
        <v>1099</v>
      </c>
      <c r="D661" s="26" t="s">
        <v>1087</v>
      </c>
      <c r="E661" s="10" t="s">
        <v>1043</v>
      </c>
      <c r="F661" s="10" t="s">
        <v>557</v>
      </c>
      <c r="G661" s="55" t="str">
        <f t="shared" si="16"/>
        <v>Obsolete</v>
      </c>
      <c r="H661" s="10"/>
      <c r="I661" s="13"/>
      <c r="J661" s="56"/>
      <c r="K661" s="57"/>
      <c r="M661" s="10"/>
      <c r="N661" s="10"/>
      <c r="O661" s="29"/>
      <c r="P661" s="29"/>
      <c r="Q661" s="29"/>
      <c r="R661" s="29"/>
      <c r="S661" s="29"/>
      <c r="T661" s="72"/>
      <c r="U661" s="97" t="s">
        <v>54</v>
      </c>
      <c r="V661" s="97"/>
      <c r="W661" s="97" t="s">
        <v>54</v>
      </c>
      <c r="X661" s="97"/>
      <c r="Y661" s="97"/>
      <c r="Z661" s="87"/>
      <c r="AA661" s="79" t="s">
        <v>64</v>
      </c>
      <c r="AB661" s="79" t="s">
        <v>37</v>
      </c>
      <c r="AC661" s="79" t="s">
        <v>37</v>
      </c>
      <c r="AD661" s="79"/>
      <c r="AE661" s="79" t="s">
        <v>1044</v>
      </c>
      <c r="AF661" s="79" t="s">
        <v>1045</v>
      </c>
      <c r="AG661" s="79" t="s">
        <v>1046</v>
      </c>
      <c r="AH661" s="79"/>
      <c r="AI661" s="53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</row>
    <row r="662" spans="1:110" ht="13.8" x14ac:dyDescent="0.25">
      <c r="A662" s="24">
        <v>1405044</v>
      </c>
      <c r="B662" s="10" t="s">
        <v>956</v>
      </c>
      <c r="C662" s="16" t="s">
        <v>1100</v>
      </c>
      <c r="D662" s="26" t="s">
        <v>1087</v>
      </c>
      <c r="E662" s="10" t="s">
        <v>1043</v>
      </c>
      <c r="F662" s="10" t="s">
        <v>557</v>
      </c>
      <c r="G662" s="55" t="str">
        <f t="shared" si="16"/>
        <v>Obsolete</v>
      </c>
      <c r="H662" s="10"/>
      <c r="I662" s="13"/>
      <c r="J662" s="56"/>
      <c r="K662" s="57"/>
      <c r="M662" s="10"/>
      <c r="N662" s="10"/>
      <c r="O662" s="29"/>
      <c r="P662" s="29"/>
      <c r="Q662" s="29"/>
      <c r="R662" s="29"/>
      <c r="S662" s="29"/>
      <c r="T662" s="72"/>
      <c r="U662" s="97" t="s">
        <v>54</v>
      </c>
      <c r="V662" s="97"/>
      <c r="W662" s="97" t="s">
        <v>54</v>
      </c>
      <c r="X662" s="97"/>
      <c r="Y662" s="97"/>
      <c r="Z662" s="87"/>
      <c r="AA662" s="79" t="s">
        <v>64</v>
      </c>
      <c r="AB662" s="79" t="s">
        <v>37</v>
      </c>
      <c r="AC662" s="79" t="s">
        <v>37</v>
      </c>
      <c r="AD662" s="79"/>
      <c r="AE662" s="79" t="s">
        <v>1044</v>
      </c>
      <c r="AF662" s="79" t="s">
        <v>1045</v>
      </c>
      <c r="AG662" s="79" t="s">
        <v>1046</v>
      </c>
      <c r="AH662" s="79"/>
      <c r="AI662" s="53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</row>
    <row r="663" spans="1:110" ht="13.8" x14ac:dyDescent="0.25">
      <c r="A663" s="24">
        <v>1405045</v>
      </c>
      <c r="B663" s="10" t="s">
        <v>956</v>
      </c>
      <c r="C663" s="16" t="s">
        <v>1101</v>
      </c>
      <c r="D663" s="26" t="s">
        <v>1087</v>
      </c>
      <c r="E663" s="10" t="s">
        <v>1043</v>
      </c>
      <c r="F663" s="10" t="s">
        <v>557</v>
      </c>
      <c r="G663" s="55" t="str">
        <f t="shared" si="16"/>
        <v>Obsolete</v>
      </c>
      <c r="H663" s="10">
        <v>12</v>
      </c>
      <c r="I663" s="13">
        <v>523</v>
      </c>
      <c r="J663" s="56"/>
      <c r="K663" s="57"/>
      <c r="M663" s="10"/>
      <c r="N663" s="10"/>
      <c r="O663" s="29"/>
      <c r="P663" s="29"/>
      <c r="Q663" s="29"/>
      <c r="R663" s="29"/>
      <c r="S663" s="29"/>
      <c r="T663" s="72"/>
      <c r="U663" s="97" t="s">
        <v>54</v>
      </c>
      <c r="V663" s="97"/>
      <c r="W663" s="97" t="s">
        <v>54</v>
      </c>
      <c r="X663" s="97"/>
      <c r="Y663" s="97"/>
      <c r="Z663" s="87"/>
      <c r="AA663" s="79" t="s">
        <v>64</v>
      </c>
      <c r="AB663" s="79" t="s">
        <v>37</v>
      </c>
      <c r="AC663" s="79" t="s">
        <v>37</v>
      </c>
      <c r="AD663" s="79"/>
      <c r="AE663" s="79" t="s">
        <v>1044</v>
      </c>
      <c r="AF663" s="79" t="s">
        <v>1045</v>
      </c>
      <c r="AG663" s="79" t="s">
        <v>1046</v>
      </c>
      <c r="AH663" s="79"/>
      <c r="AI663" s="53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</row>
    <row r="664" spans="1:110" ht="13.8" x14ac:dyDescent="0.25">
      <c r="A664" s="24">
        <v>1405046</v>
      </c>
      <c r="B664" s="10" t="s">
        <v>956</v>
      </c>
      <c r="C664" s="16" t="s">
        <v>1102</v>
      </c>
      <c r="D664" s="26" t="s">
        <v>1087</v>
      </c>
      <c r="E664" s="10" t="s">
        <v>1043</v>
      </c>
      <c r="F664" s="10" t="s">
        <v>557</v>
      </c>
      <c r="G664" s="55" t="str">
        <f t="shared" si="16"/>
        <v>Obsolete</v>
      </c>
      <c r="H664" s="10">
        <v>12</v>
      </c>
      <c r="I664" s="13">
        <v>523</v>
      </c>
      <c r="J664" s="56"/>
      <c r="K664" s="57"/>
      <c r="M664" s="10"/>
      <c r="N664" s="10"/>
      <c r="O664" s="29"/>
      <c r="P664" s="29"/>
      <c r="Q664" s="29"/>
      <c r="R664" s="29"/>
      <c r="S664" s="29"/>
      <c r="T664" s="72"/>
      <c r="U664" s="97" t="s">
        <v>54</v>
      </c>
      <c r="V664" s="97"/>
      <c r="W664" s="97" t="s">
        <v>54</v>
      </c>
      <c r="X664" s="97"/>
      <c r="Y664" s="97"/>
      <c r="Z664" s="87"/>
      <c r="AA664" s="79" t="s">
        <v>64</v>
      </c>
      <c r="AB664" s="79" t="s">
        <v>37</v>
      </c>
      <c r="AC664" s="79" t="s">
        <v>37</v>
      </c>
      <c r="AD664" s="79"/>
      <c r="AE664" s="79" t="s">
        <v>1044</v>
      </c>
      <c r="AF664" s="79" t="s">
        <v>1045</v>
      </c>
      <c r="AG664" s="79" t="s">
        <v>1046</v>
      </c>
      <c r="AH664" s="79"/>
      <c r="AI664" s="53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</row>
    <row r="665" spans="1:110" ht="13.8" x14ac:dyDescent="0.25">
      <c r="A665" s="24">
        <v>1405047</v>
      </c>
      <c r="B665" s="10" t="s">
        <v>956</v>
      </c>
      <c r="C665" s="16" t="s">
        <v>1103</v>
      </c>
      <c r="D665" s="26" t="s">
        <v>1087</v>
      </c>
      <c r="E665" s="10" t="s">
        <v>1043</v>
      </c>
      <c r="F665" s="10" t="s">
        <v>557</v>
      </c>
      <c r="G665" s="55" t="str">
        <f t="shared" si="16"/>
        <v>Obsolete</v>
      </c>
      <c r="H665" s="10"/>
      <c r="I665" s="13"/>
      <c r="J665" s="56"/>
      <c r="K665" s="57"/>
      <c r="M665" s="10"/>
      <c r="N665" s="10"/>
      <c r="O665" s="29"/>
      <c r="P665" s="29"/>
      <c r="Q665" s="29"/>
      <c r="R665" s="29"/>
      <c r="S665" s="29"/>
      <c r="T665" s="72"/>
      <c r="U665" s="97" t="s">
        <v>54</v>
      </c>
      <c r="V665" s="97"/>
      <c r="W665" s="97" t="s">
        <v>54</v>
      </c>
      <c r="X665" s="97"/>
      <c r="Y665" s="97"/>
      <c r="Z665" s="87"/>
      <c r="AA665" s="79" t="s">
        <v>64</v>
      </c>
      <c r="AB665" s="79" t="s">
        <v>37</v>
      </c>
      <c r="AC665" s="79" t="s">
        <v>37</v>
      </c>
      <c r="AD665" s="79"/>
      <c r="AE665" s="79" t="s">
        <v>1044</v>
      </c>
      <c r="AF665" s="79" t="s">
        <v>1045</v>
      </c>
      <c r="AG665" s="79" t="s">
        <v>1046</v>
      </c>
      <c r="AH665" s="79"/>
      <c r="AI665" s="53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</row>
    <row r="666" spans="1:110" ht="13.8" x14ac:dyDescent="0.25">
      <c r="A666" s="24">
        <v>1405048</v>
      </c>
      <c r="B666" s="10" t="s">
        <v>956</v>
      </c>
      <c r="C666" s="16" t="s">
        <v>1104</v>
      </c>
      <c r="D666" s="26" t="s">
        <v>1087</v>
      </c>
      <c r="E666" s="10" t="s">
        <v>1043</v>
      </c>
      <c r="F666" s="10" t="s">
        <v>557</v>
      </c>
      <c r="G666" s="55" t="str">
        <f t="shared" si="16"/>
        <v>Obsolete</v>
      </c>
      <c r="H666" s="10"/>
      <c r="I666" s="13"/>
      <c r="J666" s="56"/>
      <c r="K666" s="57"/>
      <c r="M666" s="10"/>
      <c r="N666" s="10"/>
      <c r="O666" s="29"/>
      <c r="P666" s="29"/>
      <c r="Q666" s="29"/>
      <c r="R666" s="29"/>
      <c r="S666" s="29"/>
      <c r="T666" s="72"/>
      <c r="U666" s="97" t="s">
        <v>54</v>
      </c>
      <c r="V666" s="97"/>
      <c r="W666" s="97" t="s">
        <v>54</v>
      </c>
      <c r="X666" s="97"/>
      <c r="Y666" s="97"/>
      <c r="Z666" s="87"/>
      <c r="AA666" s="79" t="s">
        <v>64</v>
      </c>
      <c r="AB666" s="79" t="s">
        <v>37</v>
      </c>
      <c r="AC666" s="79" t="s">
        <v>37</v>
      </c>
      <c r="AD666" s="79"/>
      <c r="AE666" s="79" t="s">
        <v>1044</v>
      </c>
      <c r="AF666" s="79" t="s">
        <v>1045</v>
      </c>
      <c r="AG666" s="79" t="s">
        <v>1046</v>
      </c>
      <c r="AH666" s="79"/>
      <c r="AI666" s="53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</row>
    <row r="667" spans="1:110" ht="13.8" x14ac:dyDescent="0.25">
      <c r="A667" s="24">
        <v>1405049</v>
      </c>
      <c r="B667" s="10" t="s">
        <v>956</v>
      </c>
      <c r="C667" s="16" t="s">
        <v>1105</v>
      </c>
      <c r="D667" s="26" t="s">
        <v>1087</v>
      </c>
      <c r="E667" s="10" t="s">
        <v>1043</v>
      </c>
      <c r="F667" s="10" t="s">
        <v>557</v>
      </c>
      <c r="G667" s="55" t="str">
        <f t="shared" si="16"/>
        <v>Obsolete</v>
      </c>
      <c r="H667" s="10"/>
      <c r="I667" s="13"/>
      <c r="J667" s="56"/>
      <c r="K667" s="57"/>
      <c r="M667" s="10"/>
      <c r="N667" s="10"/>
      <c r="O667" s="29"/>
      <c r="P667" s="29"/>
      <c r="Q667" s="29"/>
      <c r="R667" s="29"/>
      <c r="S667" s="29"/>
      <c r="T667" s="72"/>
      <c r="U667" s="97" t="s">
        <v>54</v>
      </c>
      <c r="V667" s="97"/>
      <c r="W667" s="97" t="s">
        <v>54</v>
      </c>
      <c r="X667" s="97"/>
      <c r="Y667" s="97"/>
      <c r="Z667" s="87"/>
      <c r="AA667" s="79" t="s">
        <v>64</v>
      </c>
      <c r="AB667" s="79" t="s">
        <v>37</v>
      </c>
      <c r="AC667" s="79" t="s">
        <v>37</v>
      </c>
      <c r="AD667" s="79"/>
      <c r="AE667" s="79" t="s">
        <v>1044</v>
      </c>
      <c r="AF667" s="79" t="s">
        <v>1045</v>
      </c>
      <c r="AG667" s="79" t="s">
        <v>1046</v>
      </c>
      <c r="AH667" s="79"/>
      <c r="AI667" s="53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</row>
    <row r="668" spans="1:110" ht="13.8" x14ac:dyDescent="0.25">
      <c r="A668" s="24">
        <v>1405050</v>
      </c>
      <c r="B668" s="10" t="s">
        <v>956</v>
      </c>
      <c r="C668" s="16" t="s">
        <v>1106</v>
      </c>
      <c r="D668" s="26" t="s">
        <v>1087</v>
      </c>
      <c r="E668" s="10" t="s">
        <v>1043</v>
      </c>
      <c r="F668" s="10" t="s">
        <v>557</v>
      </c>
      <c r="G668" s="55" t="str">
        <f t="shared" si="16"/>
        <v>Obsolete</v>
      </c>
      <c r="H668" s="10"/>
      <c r="I668" s="13"/>
      <c r="J668" s="56"/>
      <c r="K668" s="57"/>
      <c r="M668" s="10"/>
      <c r="N668" s="10"/>
      <c r="O668" s="29"/>
      <c r="P668" s="29"/>
      <c r="Q668" s="29"/>
      <c r="R668" s="29"/>
      <c r="S668" s="29"/>
      <c r="T668" s="72"/>
      <c r="U668" s="97" t="s">
        <v>54</v>
      </c>
      <c r="V668" s="97"/>
      <c r="W668" s="97" t="s">
        <v>54</v>
      </c>
      <c r="X668" s="97"/>
      <c r="Y668" s="97"/>
      <c r="Z668" s="87"/>
      <c r="AA668" s="79" t="s">
        <v>64</v>
      </c>
      <c r="AB668" s="79" t="s">
        <v>37</v>
      </c>
      <c r="AC668" s="79" t="s">
        <v>37</v>
      </c>
      <c r="AD668" s="79"/>
      <c r="AE668" s="79" t="s">
        <v>1044</v>
      </c>
      <c r="AF668" s="79" t="s">
        <v>1045</v>
      </c>
      <c r="AG668" s="79" t="s">
        <v>1046</v>
      </c>
      <c r="AH668" s="79"/>
      <c r="AI668" s="53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</row>
    <row r="669" spans="1:110" ht="13.8" x14ac:dyDescent="0.25">
      <c r="A669" s="24">
        <v>1405051</v>
      </c>
      <c r="B669" s="10" t="s">
        <v>956</v>
      </c>
      <c r="C669" s="16" t="s">
        <v>1107</v>
      </c>
      <c r="D669" s="26" t="s">
        <v>1087</v>
      </c>
      <c r="E669" s="10" t="s">
        <v>1043</v>
      </c>
      <c r="F669" s="10" t="s">
        <v>557</v>
      </c>
      <c r="G669" s="55" t="str">
        <f t="shared" si="16"/>
        <v>Obsolete</v>
      </c>
      <c r="H669" s="10"/>
      <c r="I669" s="13"/>
      <c r="J669" s="56"/>
      <c r="K669" s="57"/>
      <c r="M669" s="10"/>
      <c r="N669" s="10"/>
      <c r="O669" s="29"/>
      <c r="P669" s="29"/>
      <c r="Q669" s="29"/>
      <c r="R669" s="29"/>
      <c r="S669" s="29"/>
      <c r="T669" s="72"/>
      <c r="U669" s="97" t="s">
        <v>54</v>
      </c>
      <c r="V669" s="97"/>
      <c r="W669" s="97" t="s">
        <v>54</v>
      </c>
      <c r="X669" s="97"/>
      <c r="Y669" s="97"/>
      <c r="Z669" s="87"/>
      <c r="AA669" s="79" t="s">
        <v>64</v>
      </c>
      <c r="AB669" s="79" t="s">
        <v>37</v>
      </c>
      <c r="AC669" s="79" t="s">
        <v>37</v>
      </c>
      <c r="AD669" s="79"/>
      <c r="AE669" s="79" t="s">
        <v>1044</v>
      </c>
      <c r="AF669" s="79" t="s">
        <v>1045</v>
      </c>
      <c r="AG669" s="79" t="s">
        <v>1046</v>
      </c>
      <c r="AH669" s="79"/>
      <c r="AI669" s="53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</row>
    <row r="670" spans="1:110" ht="13.8" x14ac:dyDescent="0.25">
      <c r="A670" s="24">
        <v>1405052</v>
      </c>
      <c r="B670" s="10" t="s">
        <v>956</v>
      </c>
      <c r="C670" s="16" t="s">
        <v>1108</v>
      </c>
      <c r="D670" s="26" t="s">
        <v>1087</v>
      </c>
      <c r="E670" s="10" t="s">
        <v>1043</v>
      </c>
      <c r="F670" s="10" t="s">
        <v>557</v>
      </c>
      <c r="G670" s="55" t="str">
        <f t="shared" si="16"/>
        <v>Obsolete</v>
      </c>
      <c r="H670" s="10"/>
      <c r="I670" s="13"/>
      <c r="J670" s="56"/>
      <c r="K670" s="57"/>
      <c r="M670" s="10"/>
      <c r="N670" s="10"/>
      <c r="O670" s="29"/>
      <c r="P670" s="29"/>
      <c r="Q670" s="29"/>
      <c r="R670" s="29"/>
      <c r="S670" s="29"/>
      <c r="T670" s="72"/>
      <c r="U670" s="97" t="s">
        <v>54</v>
      </c>
      <c r="V670" s="97"/>
      <c r="W670" s="97" t="s">
        <v>54</v>
      </c>
      <c r="X670" s="97"/>
      <c r="Y670" s="97"/>
      <c r="Z670" s="87"/>
      <c r="AA670" s="79" t="s">
        <v>64</v>
      </c>
      <c r="AB670" s="79" t="s">
        <v>37</v>
      </c>
      <c r="AC670" s="79" t="s">
        <v>37</v>
      </c>
      <c r="AD670" s="79"/>
      <c r="AE670" s="79" t="s">
        <v>1044</v>
      </c>
      <c r="AF670" s="79" t="s">
        <v>1045</v>
      </c>
      <c r="AG670" s="79" t="s">
        <v>1046</v>
      </c>
      <c r="AH670" s="79"/>
      <c r="AI670" s="53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</row>
    <row r="671" spans="1:110" ht="13.8" x14ac:dyDescent="0.25">
      <c r="A671" s="24">
        <v>1405053</v>
      </c>
      <c r="B671" s="10" t="s">
        <v>956</v>
      </c>
      <c r="C671" s="16" t="s">
        <v>1109</v>
      </c>
      <c r="D671" s="26" t="s">
        <v>1087</v>
      </c>
      <c r="E671" s="10" t="s">
        <v>1043</v>
      </c>
      <c r="F671" s="10" t="s">
        <v>557</v>
      </c>
      <c r="G671" s="55" t="str">
        <f t="shared" si="16"/>
        <v>Obsolete</v>
      </c>
      <c r="H671" s="10"/>
      <c r="I671" s="13"/>
      <c r="J671" s="56"/>
      <c r="K671" s="57"/>
      <c r="M671" s="10"/>
      <c r="N671" s="10"/>
      <c r="O671" s="29"/>
      <c r="P671" s="29"/>
      <c r="Q671" s="29"/>
      <c r="R671" s="29"/>
      <c r="S671" s="29"/>
      <c r="T671" s="72"/>
      <c r="U671" s="97" t="s">
        <v>54</v>
      </c>
      <c r="V671" s="97"/>
      <c r="W671" s="97" t="s">
        <v>54</v>
      </c>
      <c r="X671" s="97"/>
      <c r="Y671" s="97"/>
      <c r="Z671" s="87"/>
      <c r="AA671" s="79" t="s">
        <v>64</v>
      </c>
      <c r="AB671" s="79" t="s">
        <v>37</v>
      </c>
      <c r="AC671" s="79" t="s">
        <v>37</v>
      </c>
      <c r="AD671" s="79"/>
      <c r="AE671" s="79" t="s">
        <v>1044</v>
      </c>
      <c r="AF671" s="79" t="s">
        <v>1045</v>
      </c>
      <c r="AG671" s="79" t="s">
        <v>1046</v>
      </c>
      <c r="AH671" s="79"/>
      <c r="AI671" s="53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</row>
    <row r="672" spans="1:110" ht="13.8" x14ac:dyDescent="0.25">
      <c r="A672" s="24">
        <v>1405054</v>
      </c>
      <c r="B672" s="10" t="s">
        <v>956</v>
      </c>
      <c r="C672" s="16" t="s">
        <v>1110</v>
      </c>
      <c r="D672" s="26" t="s">
        <v>1087</v>
      </c>
      <c r="E672" s="10" t="s">
        <v>1043</v>
      </c>
      <c r="F672" s="10" t="s">
        <v>557</v>
      </c>
      <c r="G672" s="55" t="str">
        <f t="shared" si="16"/>
        <v>Obsolete</v>
      </c>
      <c r="H672" s="10"/>
      <c r="I672" s="13"/>
      <c r="J672" s="56"/>
      <c r="K672" s="57"/>
      <c r="M672" s="10"/>
      <c r="N672" s="10"/>
      <c r="O672" s="29"/>
      <c r="P672" s="29"/>
      <c r="Q672" s="29"/>
      <c r="R672" s="29"/>
      <c r="S672" s="29"/>
      <c r="T672" s="72"/>
      <c r="U672" s="97" t="s">
        <v>54</v>
      </c>
      <c r="V672" s="97"/>
      <c r="W672" s="97" t="s">
        <v>54</v>
      </c>
      <c r="X672" s="97"/>
      <c r="Y672" s="97"/>
      <c r="Z672" s="87"/>
      <c r="AA672" s="79" t="s">
        <v>64</v>
      </c>
      <c r="AB672" s="79" t="s">
        <v>37</v>
      </c>
      <c r="AC672" s="79" t="s">
        <v>37</v>
      </c>
      <c r="AD672" s="79"/>
      <c r="AE672" s="79" t="s">
        <v>1044</v>
      </c>
      <c r="AF672" s="79" t="s">
        <v>1045</v>
      </c>
      <c r="AG672" s="79" t="s">
        <v>1046</v>
      </c>
      <c r="AH672" s="79"/>
      <c r="AI672" s="53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</row>
    <row r="673" spans="1:110" ht="13.8" x14ac:dyDescent="0.25">
      <c r="A673" s="24">
        <v>1405055</v>
      </c>
      <c r="B673" s="10" t="s">
        <v>956</v>
      </c>
      <c r="C673" s="16" t="s">
        <v>1111</v>
      </c>
      <c r="D673" s="26" t="s">
        <v>1087</v>
      </c>
      <c r="E673" s="10" t="s">
        <v>1043</v>
      </c>
      <c r="F673" s="10" t="s">
        <v>557</v>
      </c>
      <c r="G673" s="55" t="str">
        <f t="shared" si="16"/>
        <v>Obsolete</v>
      </c>
      <c r="H673" s="10"/>
      <c r="I673" s="13"/>
      <c r="J673" s="56"/>
      <c r="K673" s="57"/>
      <c r="M673" s="10"/>
      <c r="N673" s="10"/>
      <c r="O673" s="29"/>
      <c r="P673" s="29"/>
      <c r="Q673" s="29"/>
      <c r="R673" s="29"/>
      <c r="S673" s="29"/>
      <c r="T673" s="72"/>
      <c r="U673" s="97" t="s">
        <v>54</v>
      </c>
      <c r="V673" s="97"/>
      <c r="W673" s="97" t="s">
        <v>54</v>
      </c>
      <c r="X673" s="97"/>
      <c r="Y673" s="97"/>
      <c r="Z673" s="87"/>
      <c r="AA673" s="79" t="s">
        <v>64</v>
      </c>
      <c r="AB673" s="79" t="s">
        <v>37</v>
      </c>
      <c r="AC673" s="79" t="s">
        <v>37</v>
      </c>
      <c r="AD673" s="79"/>
      <c r="AE673" s="79" t="s">
        <v>1044</v>
      </c>
      <c r="AF673" s="79" t="s">
        <v>1045</v>
      </c>
      <c r="AG673" s="79" t="s">
        <v>1046</v>
      </c>
      <c r="AH673" s="79"/>
      <c r="AI673" s="53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</row>
    <row r="674" spans="1:110" ht="13.8" x14ac:dyDescent="0.25">
      <c r="A674" s="24">
        <v>1405056</v>
      </c>
      <c r="B674" s="10" t="s">
        <v>956</v>
      </c>
      <c r="C674" s="16" t="s">
        <v>1112</v>
      </c>
      <c r="D674" s="26" t="s">
        <v>1087</v>
      </c>
      <c r="E674" s="10" t="s">
        <v>1043</v>
      </c>
      <c r="F674" s="10" t="s">
        <v>557</v>
      </c>
      <c r="G674" s="55" t="str">
        <f t="shared" si="16"/>
        <v>Obsolete</v>
      </c>
      <c r="H674" s="10"/>
      <c r="I674" s="13"/>
      <c r="J674" s="56"/>
      <c r="K674" s="57"/>
      <c r="M674" s="10"/>
      <c r="N674" s="10"/>
      <c r="O674" s="29"/>
      <c r="P674" s="29"/>
      <c r="Q674" s="29"/>
      <c r="R674" s="29"/>
      <c r="S674" s="29"/>
      <c r="T674" s="72"/>
      <c r="U674" s="97" t="s">
        <v>54</v>
      </c>
      <c r="V674" s="97"/>
      <c r="W674" s="97" t="s">
        <v>54</v>
      </c>
      <c r="X674" s="97"/>
      <c r="Y674" s="97"/>
      <c r="Z674" s="87"/>
      <c r="AA674" s="79" t="s">
        <v>64</v>
      </c>
      <c r="AB674" s="79" t="s">
        <v>37</v>
      </c>
      <c r="AC674" s="79" t="s">
        <v>37</v>
      </c>
      <c r="AD674" s="79"/>
      <c r="AE674" s="79" t="s">
        <v>1044</v>
      </c>
      <c r="AF674" s="79" t="s">
        <v>1045</v>
      </c>
      <c r="AG674" s="79" t="s">
        <v>1046</v>
      </c>
      <c r="AH674" s="79"/>
      <c r="AI674" s="53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</row>
    <row r="675" spans="1:110" ht="13.8" x14ac:dyDescent="0.25">
      <c r="A675" s="24">
        <v>1405057</v>
      </c>
      <c r="B675" s="10" t="s">
        <v>956</v>
      </c>
      <c r="C675" s="16" t="s">
        <v>1113</v>
      </c>
      <c r="D675" s="26" t="s">
        <v>1087</v>
      </c>
      <c r="E675" s="10" t="s">
        <v>1043</v>
      </c>
      <c r="F675" s="10" t="s">
        <v>557</v>
      </c>
      <c r="G675" s="55" t="str">
        <f t="shared" si="16"/>
        <v>Obsolete</v>
      </c>
      <c r="H675" s="10"/>
      <c r="I675" s="13"/>
      <c r="J675" s="56"/>
      <c r="K675" s="57"/>
      <c r="M675" s="10"/>
      <c r="N675" s="10"/>
      <c r="O675" s="29"/>
      <c r="P675" s="29"/>
      <c r="Q675" s="29"/>
      <c r="R675" s="29"/>
      <c r="S675" s="29"/>
      <c r="T675" s="72"/>
      <c r="U675" s="97" t="s">
        <v>54</v>
      </c>
      <c r="V675" s="97"/>
      <c r="W675" s="97" t="s">
        <v>54</v>
      </c>
      <c r="X675" s="97"/>
      <c r="Y675" s="97"/>
      <c r="Z675" s="87"/>
      <c r="AA675" s="79" t="s">
        <v>64</v>
      </c>
      <c r="AB675" s="79" t="s">
        <v>37</v>
      </c>
      <c r="AC675" s="79" t="s">
        <v>37</v>
      </c>
      <c r="AD675" s="79"/>
      <c r="AE675" s="79" t="s">
        <v>1044</v>
      </c>
      <c r="AF675" s="79" t="s">
        <v>1045</v>
      </c>
      <c r="AG675" s="79" t="s">
        <v>1046</v>
      </c>
      <c r="AH675" s="79"/>
      <c r="AI675" s="53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</row>
    <row r="676" spans="1:110" ht="13.8" x14ac:dyDescent="0.25">
      <c r="A676" s="24">
        <v>1405058</v>
      </c>
      <c r="B676" s="10" t="s">
        <v>956</v>
      </c>
      <c r="C676" s="16" t="s">
        <v>1114</v>
      </c>
      <c r="D676" s="26" t="s">
        <v>1087</v>
      </c>
      <c r="E676" s="10" t="s">
        <v>1043</v>
      </c>
      <c r="F676" s="10" t="s">
        <v>557</v>
      </c>
      <c r="G676" s="55" t="str">
        <f t="shared" si="16"/>
        <v>Obsolete</v>
      </c>
      <c r="H676" s="10"/>
      <c r="I676" s="13"/>
      <c r="J676" s="56"/>
      <c r="K676" s="57"/>
      <c r="M676" s="10"/>
      <c r="N676" s="10"/>
      <c r="O676" s="29"/>
      <c r="P676" s="29"/>
      <c r="Q676" s="29"/>
      <c r="R676" s="29"/>
      <c r="S676" s="29"/>
      <c r="T676" s="72"/>
      <c r="U676" s="97" t="s">
        <v>54</v>
      </c>
      <c r="V676" s="97"/>
      <c r="W676" s="97" t="s">
        <v>54</v>
      </c>
      <c r="X676" s="97"/>
      <c r="Y676" s="97"/>
      <c r="Z676" s="87"/>
      <c r="AA676" s="79" t="s">
        <v>64</v>
      </c>
      <c r="AB676" s="79" t="s">
        <v>37</v>
      </c>
      <c r="AC676" s="79" t="s">
        <v>37</v>
      </c>
      <c r="AD676" s="79"/>
      <c r="AE676" s="79" t="s">
        <v>1044</v>
      </c>
      <c r="AF676" s="79" t="s">
        <v>1045</v>
      </c>
      <c r="AG676" s="79" t="s">
        <v>1046</v>
      </c>
      <c r="AH676" s="79"/>
      <c r="AI676" s="53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</row>
    <row r="677" spans="1:110" ht="13.8" x14ac:dyDescent="0.25">
      <c r="A677" s="24">
        <v>1405059</v>
      </c>
      <c r="B677" s="10" t="s">
        <v>956</v>
      </c>
      <c r="C677" s="16" t="s">
        <v>1115</v>
      </c>
      <c r="D677" s="26" t="s">
        <v>1087</v>
      </c>
      <c r="E677" s="10" t="s">
        <v>1043</v>
      </c>
      <c r="F677" s="10" t="s">
        <v>557</v>
      </c>
      <c r="G677" s="55" t="str">
        <f t="shared" si="16"/>
        <v>Obsolete</v>
      </c>
      <c r="H677" s="10"/>
      <c r="I677" s="13"/>
      <c r="J677" s="56"/>
      <c r="K677" s="57"/>
      <c r="M677" s="10"/>
      <c r="N677" s="10"/>
      <c r="O677" s="29"/>
      <c r="P677" s="29"/>
      <c r="Q677" s="29"/>
      <c r="R677" s="29"/>
      <c r="S677" s="29"/>
      <c r="T677" s="72"/>
      <c r="U677" s="97" t="s">
        <v>54</v>
      </c>
      <c r="V677" s="97"/>
      <c r="W677" s="97" t="s">
        <v>54</v>
      </c>
      <c r="X677" s="97"/>
      <c r="Y677" s="97"/>
      <c r="Z677" s="87"/>
      <c r="AA677" s="79" t="s">
        <v>64</v>
      </c>
      <c r="AB677" s="79" t="s">
        <v>37</v>
      </c>
      <c r="AC677" s="79" t="s">
        <v>37</v>
      </c>
      <c r="AD677" s="79"/>
      <c r="AE677" s="79" t="s">
        <v>1044</v>
      </c>
      <c r="AF677" s="79" t="s">
        <v>1045</v>
      </c>
      <c r="AG677" s="79" t="s">
        <v>1046</v>
      </c>
      <c r="AH677" s="79"/>
      <c r="AI677" s="53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</row>
    <row r="678" spans="1:110" ht="13.8" x14ac:dyDescent="0.25">
      <c r="A678" s="24">
        <v>1405060</v>
      </c>
      <c r="B678" s="10" t="s">
        <v>956</v>
      </c>
      <c r="C678" s="16" t="s">
        <v>1116</v>
      </c>
      <c r="D678" s="26" t="s">
        <v>1087</v>
      </c>
      <c r="E678" s="10" t="s">
        <v>1043</v>
      </c>
      <c r="F678" s="10" t="s">
        <v>557</v>
      </c>
      <c r="G678" s="55" t="str">
        <f t="shared" si="16"/>
        <v>Obsolete</v>
      </c>
      <c r="H678" s="10">
        <v>12</v>
      </c>
      <c r="I678" s="13">
        <v>4150</v>
      </c>
      <c r="J678" s="56"/>
      <c r="K678" s="57"/>
      <c r="M678" s="10"/>
      <c r="N678" s="10"/>
      <c r="O678" s="29"/>
      <c r="P678" s="29"/>
      <c r="Q678" s="29"/>
      <c r="R678" s="29"/>
      <c r="S678" s="29"/>
      <c r="T678" s="72"/>
      <c r="U678" s="97" t="s">
        <v>54</v>
      </c>
      <c r="V678" s="97"/>
      <c r="W678" s="97" t="s">
        <v>54</v>
      </c>
      <c r="X678" s="97"/>
      <c r="Y678" s="97"/>
      <c r="Z678" s="87"/>
      <c r="AA678" s="79" t="s">
        <v>64</v>
      </c>
      <c r="AB678" s="79" t="s">
        <v>37</v>
      </c>
      <c r="AC678" s="79" t="s">
        <v>37</v>
      </c>
      <c r="AD678" s="79"/>
      <c r="AE678" s="79" t="s">
        <v>1044</v>
      </c>
      <c r="AF678" s="79" t="s">
        <v>1045</v>
      </c>
      <c r="AG678" s="79" t="s">
        <v>1046</v>
      </c>
      <c r="AH678" s="79"/>
      <c r="AI678" s="53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</row>
    <row r="679" spans="1:110" ht="13.8" x14ac:dyDescent="0.25">
      <c r="A679" s="24">
        <v>1405061</v>
      </c>
      <c r="B679" s="10" t="s">
        <v>956</v>
      </c>
      <c r="C679" s="16" t="s">
        <v>1117</v>
      </c>
      <c r="D679" s="26" t="s">
        <v>1087</v>
      </c>
      <c r="E679" s="10" t="s">
        <v>1043</v>
      </c>
      <c r="F679" s="10" t="s">
        <v>557</v>
      </c>
      <c r="G679" s="55" t="str">
        <f t="shared" si="16"/>
        <v>Obsolete</v>
      </c>
      <c r="H679" s="10"/>
      <c r="I679" s="13"/>
      <c r="J679" s="56"/>
      <c r="K679" s="57"/>
      <c r="M679" s="10"/>
      <c r="N679" s="10"/>
      <c r="O679" s="29"/>
      <c r="P679" s="29"/>
      <c r="Q679" s="29"/>
      <c r="R679" s="29"/>
      <c r="S679" s="29"/>
      <c r="T679" s="72"/>
      <c r="U679" s="97" t="s">
        <v>54</v>
      </c>
      <c r="V679" s="97"/>
      <c r="W679" s="97" t="s">
        <v>54</v>
      </c>
      <c r="X679" s="97"/>
      <c r="Y679" s="97"/>
      <c r="Z679" s="87"/>
      <c r="AA679" s="79" t="s">
        <v>64</v>
      </c>
      <c r="AB679" s="79" t="s">
        <v>37</v>
      </c>
      <c r="AC679" s="79" t="s">
        <v>37</v>
      </c>
      <c r="AD679" s="79"/>
      <c r="AE679" s="79" t="s">
        <v>1044</v>
      </c>
      <c r="AF679" s="79" t="s">
        <v>1045</v>
      </c>
      <c r="AG679" s="79" t="s">
        <v>1046</v>
      </c>
      <c r="AH679" s="79"/>
      <c r="AI679" s="53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</row>
    <row r="680" spans="1:110" ht="13.8" x14ac:dyDescent="0.25">
      <c r="A680" s="24">
        <v>1405062</v>
      </c>
      <c r="B680" s="10" t="s">
        <v>956</v>
      </c>
      <c r="C680" s="16" t="s">
        <v>1118</v>
      </c>
      <c r="D680" s="26" t="s">
        <v>1087</v>
      </c>
      <c r="E680" s="10" t="s">
        <v>1043</v>
      </c>
      <c r="F680" s="10" t="s">
        <v>557</v>
      </c>
      <c r="G680" s="55" t="str">
        <f t="shared" si="16"/>
        <v>Obsolete</v>
      </c>
      <c r="H680" s="10"/>
      <c r="I680" s="13"/>
      <c r="J680" s="56"/>
      <c r="K680" s="57"/>
      <c r="M680" s="10"/>
      <c r="N680" s="10"/>
      <c r="O680" s="29"/>
      <c r="P680" s="29"/>
      <c r="Q680" s="29"/>
      <c r="R680" s="29"/>
      <c r="S680" s="29"/>
      <c r="T680" s="72"/>
      <c r="U680" s="97" t="s">
        <v>54</v>
      </c>
      <c r="V680" s="97"/>
      <c r="W680" s="97" t="s">
        <v>54</v>
      </c>
      <c r="X680" s="97"/>
      <c r="Y680" s="97"/>
      <c r="Z680" s="87"/>
      <c r="AA680" s="79" t="s">
        <v>64</v>
      </c>
      <c r="AB680" s="79" t="s">
        <v>37</v>
      </c>
      <c r="AC680" s="79" t="s">
        <v>37</v>
      </c>
      <c r="AD680" s="79"/>
      <c r="AE680" s="79" t="s">
        <v>1044</v>
      </c>
      <c r="AF680" s="79" t="s">
        <v>1045</v>
      </c>
      <c r="AG680" s="79" t="s">
        <v>1046</v>
      </c>
      <c r="AH680" s="79"/>
      <c r="AI680" s="53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</row>
    <row r="681" spans="1:110" ht="13.8" x14ac:dyDescent="0.25">
      <c r="A681" s="24">
        <v>1405063</v>
      </c>
      <c r="B681" s="10" t="s">
        <v>956</v>
      </c>
      <c r="C681" s="16" t="s">
        <v>1119</v>
      </c>
      <c r="D681" s="26" t="s">
        <v>1087</v>
      </c>
      <c r="E681" s="10" t="s">
        <v>1043</v>
      </c>
      <c r="F681" s="10" t="s">
        <v>557</v>
      </c>
      <c r="G681" s="55" t="str">
        <f t="shared" si="16"/>
        <v>Obsolete</v>
      </c>
      <c r="H681" s="10">
        <v>12</v>
      </c>
      <c r="I681" s="13">
        <v>4150</v>
      </c>
      <c r="J681" s="56"/>
      <c r="K681" s="57"/>
      <c r="M681" s="10"/>
      <c r="N681" s="10"/>
      <c r="O681" s="29"/>
      <c r="P681" s="29"/>
      <c r="Q681" s="29"/>
      <c r="R681" s="29"/>
      <c r="S681" s="29"/>
      <c r="T681" s="72"/>
      <c r="U681" s="97" t="s">
        <v>54</v>
      </c>
      <c r="V681" s="97"/>
      <c r="W681" s="97" t="s">
        <v>54</v>
      </c>
      <c r="X681" s="97"/>
      <c r="Y681" s="97"/>
      <c r="Z681" s="87"/>
      <c r="AA681" s="79" t="s">
        <v>64</v>
      </c>
      <c r="AB681" s="79" t="s">
        <v>37</v>
      </c>
      <c r="AC681" s="79" t="s">
        <v>37</v>
      </c>
      <c r="AD681" s="79"/>
      <c r="AE681" s="79" t="s">
        <v>1044</v>
      </c>
      <c r="AF681" s="79" t="s">
        <v>1045</v>
      </c>
      <c r="AG681" s="79" t="s">
        <v>1046</v>
      </c>
      <c r="AH681" s="79"/>
      <c r="AI681" s="53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</row>
    <row r="682" spans="1:110" ht="13.8" x14ac:dyDescent="0.25">
      <c r="A682" s="24">
        <v>1405064</v>
      </c>
      <c r="B682" s="10" t="s">
        <v>956</v>
      </c>
      <c r="C682" s="16" t="s">
        <v>1120</v>
      </c>
      <c r="D682" s="26" t="s">
        <v>1087</v>
      </c>
      <c r="E682" s="10" t="s">
        <v>1043</v>
      </c>
      <c r="F682" s="10" t="s">
        <v>557</v>
      </c>
      <c r="G682" s="55" t="str">
        <f t="shared" si="16"/>
        <v>Obsolete</v>
      </c>
      <c r="H682" s="10">
        <v>12</v>
      </c>
      <c r="I682" s="13">
        <v>4150</v>
      </c>
      <c r="J682" s="56"/>
      <c r="K682" s="57"/>
      <c r="M682" s="10"/>
      <c r="N682" s="10"/>
      <c r="O682" s="29"/>
      <c r="P682" s="29"/>
      <c r="Q682" s="29"/>
      <c r="R682" s="29"/>
      <c r="S682" s="29"/>
      <c r="T682" s="72"/>
      <c r="U682" s="97" t="s">
        <v>54</v>
      </c>
      <c r="V682" s="97"/>
      <c r="W682" s="97" t="s">
        <v>54</v>
      </c>
      <c r="X682" s="97"/>
      <c r="Y682" s="97"/>
      <c r="Z682" s="87"/>
      <c r="AA682" s="79" t="s">
        <v>64</v>
      </c>
      <c r="AB682" s="79" t="s">
        <v>37</v>
      </c>
      <c r="AC682" s="79" t="s">
        <v>37</v>
      </c>
      <c r="AD682" s="79"/>
      <c r="AE682" s="79" t="s">
        <v>1044</v>
      </c>
      <c r="AF682" s="79" t="s">
        <v>1045</v>
      </c>
      <c r="AG682" s="79" t="s">
        <v>1046</v>
      </c>
      <c r="AH682" s="79"/>
      <c r="AI682" s="53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</row>
    <row r="683" spans="1:110" ht="13.8" x14ac:dyDescent="0.25">
      <c r="A683" s="24">
        <v>1405065</v>
      </c>
      <c r="B683" s="10" t="s">
        <v>956</v>
      </c>
      <c r="C683" s="16" t="s">
        <v>1121</v>
      </c>
      <c r="D683" s="26" t="s">
        <v>1087</v>
      </c>
      <c r="E683" s="10" t="s">
        <v>1043</v>
      </c>
      <c r="F683" s="10" t="s">
        <v>557</v>
      </c>
      <c r="G683" s="55" t="str">
        <f t="shared" si="16"/>
        <v>Obsolete</v>
      </c>
      <c r="H683" s="10">
        <v>12</v>
      </c>
      <c r="I683" s="13">
        <v>3200</v>
      </c>
      <c r="J683" s="56"/>
      <c r="K683" s="57"/>
      <c r="M683" s="10"/>
      <c r="N683" s="10"/>
      <c r="O683" s="29"/>
      <c r="P683" s="29"/>
      <c r="Q683" s="29"/>
      <c r="R683" s="29"/>
      <c r="S683" s="29"/>
      <c r="T683" s="72"/>
      <c r="U683" s="97" t="s">
        <v>54</v>
      </c>
      <c r="V683" s="97"/>
      <c r="W683" s="97" t="s">
        <v>54</v>
      </c>
      <c r="X683" s="97"/>
      <c r="Y683" s="97"/>
      <c r="Z683" s="87"/>
      <c r="AA683" s="79" t="s">
        <v>64</v>
      </c>
      <c r="AB683" s="79" t="s">
        <v>37</v>
      </c>
      <c r="AC683" s="79" t="s">
        <v>37</v>
      </c>
      <c r="AD683" s="79"/>
      <c r="AE683" s="79" t="s">
        <v>1044</v>
      </c>
      <c r="AF683" s="79" t="s">
        <v>1045</v>
      </c>
      <c r="AG683" s="79" t="s">
        <v>1046</v>
      </c>
      <c r="AH683" s="79"/>
      <c r="AI683" s="53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</row>
    <row r="684" spans="1:110" ht="13.8" x14ac:dyDescent="0.25">
      <c r="A684" s="24">
        <v>1405066</v>
      </c>
      <c r="B684" s="10" t="s">
        <v>956</v>
      </c>
      <c r="C684" s="16" t="s">
        <v>1122</v>
      </c>
      <c r="D684" s="26" t="s">
        <v>1087</v>
      </c>
      <c r="E684" s="10" t="s">
        <v>1043</v>
      </c>
      <c r="F684" s="10" t="s">
        <v>557</v>
      </c>
      <c r="G684" s="55" t="str">
        <f t="shared" si="16"/>
        <v>Obsolete</v>
      </c>
      <c r="H684" s="10">
        <v>12</v>
      </c>
      <c r="I684" s="13">
        <v>3200</v>
      </c>
      <c r="J684" s="56"/>
      <c r="K684" s="57"/>
      <c r="M684" s="10"/>
      <c r="N684" s="10"/>
      <c r="O684" s="29"/>
      <c r="P684" s="29"/>
      <c r="Q684" s="29"/>
      <c r="R684" s="29"/>
      <c r="S684" s="29"/>
      <c r="T684" s="72"/>
      <c r="U684" s="97" t="s">
        <v>54</v>
      </c>
      <c r="V684" s="97"/>
      <c r="W684" s="97" t="s">
        <v>54</v>
      </c>
      <c r="X684" s="97"/>
      <c r="Y684" s="97"/>
      <c r="Z684" s="87"/>
      <c r="AA684" s="79" t="s">
        <v>64</v>
      </c>
      <c r="AB684" s="79" t="s">
        <v>37</v>
      </c>
      <c r="AC684" s="79" t="s">
        <v>37</v>
      </c>
      <c r="AD684" s="79"/>
      <c r="AE684" s="79" t="s">
        <v>1044</v>
      </c>
      <c r="AF684" s="79" t="s">
        <v>1045</v>
      </c>
      <c r="AG684" s="79" t="s">
        <v>1046</v>
      </c>
      <c r="AH684" s="79"/>
      <c r="AI684" s="53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</row>
    <row r="685" spans="1:110" ht="13.8" x14ac:dyDescent="0.25">
      <c r="A685" s="24">
        <v>1405067</v>
      </c>
      <c r="B685" s="10" t="s">
        <v>956</v>
      </c>
      <c r="C685" s="16" t="s">
        <v>1123</v>
      </c>
      <c r="D685" s="26" t="s">
        <v>1087</v>
      </c>
      <c r="E685" s="10" t="s">
        <v>1043</v>
      </c>
      <c r="F685" s="10" t="s">
        <v>557</v>
      </c>
      <c r="G685" s="55" t="str">
        <f t="shared" si="16"/>
        <v>Obsolete</v>
      </c>
      <c r="H685" s="10">
        <v>12</v>
      </c>
      <c r="I685" s="13">
        <v>3200</v>
      </c>
      <c r="J685" s="56"/>
      <c r="K685" s="57"/>
      <c r="M685" s="10"/>
      <c r="N685" s="10"/>
      <c r="O685" s="29"/>
      <c r="P685" s="29"/>
      <c r="Q685" s="29"/>
      <c r="R685" s="29"/>
      <c r="S685" s="29"/>
      <c r="T685" s="72"/>
      <c r="U685" s="97" t="s">
        <v>54</v>
      </c>
      <c r="V685" s="97"/>
      <c r="W685" s="97" t="s">
        <v>54</v>
      </c>
      <c r="X685" s="97"/>
      <c r="Y685" s="97"/>
      <c r="Z685" s="87"/>
      <c r="AA685" s="79" t="s">
        <v>64</v>
      </c>
      <c r="AB685" s="79" t="s">
        <v>37</v>
      </c>
      <c r="AC685" s="79" t="s">
        <v>37</v>
      </c>
      <c r="AD685" s="79"/>
      <c r="AE685" s="79" t="s">
        <v>1044</v>
      </c>
      <c r="AF685" s="79" t="s">
        <v>1045</v>
      </c>
      <c r="AG685" s="79" t="s">
        <v>1046</v>
      </c>
      <c r="AH685" s="79"/>
      <c r="AI685" s="53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</row>
    <row r="686" spans="1:110" ht="13.8" x14ac:dyDescent="0.25">
      <c r="A686" s="24">
        <v>1405068</v>
      </c>
      <c r="B686" s="10" t="s">
        <v>956</v>
      </c>
      <c r="C686" s="16" t="s">
        <v>1124</v>
      </c>
      <c r="D686" s="26" t="s">
        <v>1087</v>
      </c>
      <c r="E686" s="10" t="s">
        <v>1043</v>
      </c>
      <c r="F686" s="10" t="s">
        <v>557</v>
      </c>
      <c r="G686" s="55" t="str">
        <f t="shared" si="16"/>
        <v>Obsolete</v>
      </c>
      <c r="H686" s="10">
        <v>12</v>
      </c>
      <c r="I686" s="13">
        <v>3200</v>
      </c>
      <c r="J686" s="56"/>
      <c r="K686" s="57"/>
      <c r="M686" s="10"/>
      <c r="N686" s="10"/>
      <c r="O686" s="29"/>
      <c r="P686" s="29"/>
      <c r="Q686" s="29"/>
      <c r="R686" s="29"/>
      <c r="S686" s="29"/>
      <c r="T686" s="72"/>
      <c r="U686" s="97" t="s">
        <v>54</v>
      </c>
      <c r="V686" s="97"/>
      <c r="W686" s="97" t="s">
        <v>54</v>
      </c>
      <c r="X686" s="97"/>
      <c r="Y686" s="97"/>
      <c r="Z686" s="87"/>
      <c r="AA686" s="79" t="s">
        <v>64</v>
      </c>
      <c r="AB686" s="79" t="s">
        <v>37</v>
      </c>
      <c r="AC686" s="79" t="s">
        <v>37</v>
      </c>
      <c r="AD686" s="79"/>
      <c r="AE686" s="79" t="s">
        <v>1044</v>
      </c>
      <c r="AF686" s="79" t="s">
        <v>1045</v>
      </c>
      <c r="AG686" s="79" t="s">
        <v>1046</v>
      </c>
      <c r="AH686" s="79"/>
      <c r="AI686" s="53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</row>
    <row r="687" spans="1:110" ht="13.8" x14ac:dyDescent="0.25">
      <c r="A687" s="24">
        <v>1405069</v>
      </c>
      <c r="B687" s="10" t="s">
        <v>956</v>
      </c>
      <c r="C687" s="16" t="s">
        <v>1125</v>
      </c>
      <c r="D687" s="26" t="s">
        <v>1087</v>
      </c>
      <c r="E687" s="10" t="s">
        <v>1043</v>
      </c>
      <c r="F687" s="10" t="s">
        <v>557</v>
      </c>
      <c r="G687" s="55" t="str">
        <f t="shared" si="16"/>
        <v>Obsolete</v>
      </c>
      <c r="H687" s="10"/>
      <c r="I687" s="13"/>
      <c r="J687" s="56"/>
      <c r="K687" s="57"/>
      <c r="M687" s="10"/>
      <c r="N687" s="10"/>
      <c r="O687" s="29"/>
      <c r="P687" s="29"/>
      <c r="Q687" s="29"/>
      <c r="R687" s="29"/>
      <c r="S687" s="29"/>
      <c r="T687" s="72"/>
      <c r="U687" s="97" t="s">
        <v>54</v>
      </c>
      <c r="V687" s="97"/>
      <c r="W687" s="97" t="s">
        <v>54</v>
      </c>
      <c r="X687" s="97"/>
      <c r="Y687" s="97"/>
      <c r="Z687" s="87"/>
      <c r="AA687" s="79" t="s">
        <v>64</v>
      </c>
      <c r="AB687" s="79" t="s">
        <v>37</v>
      </c>
      <c r="AC687" s="79" t="s">
        <v>37</v>
      </c>
      <c r="AD687" s="79"/>
      <c r="AE687" s="79" t="s">
        <v>1044</v>
      </c>
      <c r="AF687" s="79" t="s">
        <v>1045</v>
      </c>
      <c r="AG687" s="79" t="s">
        <v>1046</v>
      </c>
      <c r="AH687" s="79"/>
      <c r="AI687" s="53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</row>
    <row r="688" spans="1:110" ht="13.8" x14ac:dyDescent="0.25">
      <c r="A688" s="24">
        <v>1405070</v>
      </c>
      <c r="B688" s="10" t="s">
        <v>956</v>
      </c>
      <c r="C688" s="16" t="s">
        <v>1126</v>
      </c>
      <c r="D688" s="26" t="s">
        <v>1087</v>
      </c>
      <c r="E688" s="10" t="s">
        <v>1043</v>
      </c>
      <c r="F688" s="10" t="s">
        <v>557</v>
      </c>
      <c r="G688" s="55" t="str">
        <f t="shared" si="16"/>
        <v>Obsolete</v>
      </c>
      <c r="H688" s="10"/>
      <c r="I688" s="13"/>
      <c r="J688" s="56"/>
      <c r="K688" s="57"/>
      <c r="M688" s="10"/>
      <c r="N688" s="10"/>
      <c r="O688" s="29"/>
      <c r="P688" s="29"/>
      <c r="Q688" s="29"/>
      <c r="R688" s="29"/>
      <c r="S688" s="29"/>
      <c r="T688" s="72"/>
      <c r="U688" s="97" t="s">
        <v>54</v>
      </c>
      <c r="V688" s="97"/>
      <c r="W688" s="97" t="s">
        <v>54</v>
      </c>
      <c r="X688" s="97"/>
      <c r="Y688" s="97"/>
      <c r="Z688" s="87"/>
      <c r="AA688" s="79" t="s">
        <v>64</v>
      </c>
      <c r="AB688" s="79" t="s">
        <v>37</v>
      </c>
      <c r="AC688" s="79" t="s">
        <v>37</v>
      </c>
      <c r="AD688" s="79"/>
      <c r="AE688" s="79" t="s">
        <v>1044</v>
      </c>
      <c r="AF688" s="79" t="s">
        <v>1045</v>
      </c>
      <c r="AG688" s="79" t="s">
        <v>1046</v>
      </c>
      <c r="AH688" s="79"/>
      <c r="AI688" s="53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</row>
    <row r="689" spans="1:110" ht="13.8" x14ac:dyDescent="0.25">
      <c r="A689" s="24">
        <v>1405071</v>
      </c>
      <c r="B689" s="10" t="s">
        <v>956</v>
      </c>
      <c r="C689" s="16" t="s">
        <v>1127</v>
      </c>
      <c r="D689" s="26" t="s">
        <v>1087</v>
      </c>
      <c r="E689" s="10" t="s">
        <v>1043</v>
      </c>
      <c r="F689" s="10" t="s">
        <v>557</v>
      </c>
      <c r="G689" s="55" t="str">
        <f t="shared" si="16"/>
        <v>Obsolete</v>
      </c>
      <c r="H689" s="10"/>
      <c r="I689" s="13"/>
      <c r="J689" s="56"/>
      <c r="K689" s="57"/>
      <c r="M689" s="10"/>
      <c r="N689" s="10"/>
      <c r="O689" s="29"/>
      <c r="P689" s="29"/>
      <c r="Q689" s="29"/>
      <c r="R689" s="29"/>
      <c r="S689" s="29"/>
      <c r="T689" s="72"/>
      <c r="U689" s="97" t="s">
        <v>54</v>
      </c>
      <c r="V689" s="97"/>
      <c r="W689" s="97" t="s">
        <v>54</v>
      </c>
      <c r="X689" s="97"/>
      <c r="Y689" s="97"/>
      <c r="Z689" s="87"/>
      <c r="AA689" s="79" t="s">
        <v>64</v>
      </c>
      <c r="AB689" s="79" t="s">
        <v>37</v>
      </c>
      <c r="AC689" s="79" t="s">
        <v>37</v>
      </c>
      <c r="AD689" s="79"/>
      <c r="AE689" s="79" t="s">
        <v>1044</v>
      </c>
      <c r="AF689" s="79" t="s">
        <v>1045</v>
      </c>
      <c r="AG689" s="79" t="s">
        <v>1046</v>
      </c>
      <c r="AH689" s="79"/>
      <c r="AI689" s="53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</row>
    <row r="690" spans="1:110" ht="13.8" x14ac:dyDescent="0.25">
      <c r="A690" s="24">
        <v>1405072</v>
      </c>
      <c r="B690" s="10" t="s">
        <v>956</v>
      </c>
      <c r="C690" s="16" t="s">
        <v>1128</v>
      </c>
      <c r="D690" s="26" t="s">
        <v>1087</v>
      </c>
      <c r="E690" s="10" t="s">
        <v>1043</v>
      </c>
      <c r="F690" s="10" t="s">
        <v>557</v>
      </c>
      <c r="G690" s="55" t="str">
        <f t="shared" si="16"/>
        <v>Obsolete</v>
      </c>
      <c r="H690" s="10"/>
      <c r="I690" s="13"/>
      <c r="J690" s="56"/>
      <c r="K690" s="57"/>
      <c r="M690" s="10"/>
      <c r="N690" s="10"/>
      <c r="O690" s="29"/>
      <c r="P690" s="29"/>
      <c r="Q690" s="29"/>
      <c r="R690" s="29"/>
      <c r="S690" s="29"/>
      <c r="T690" s="72"/>
      <c r="U690" s="97" t="s">
        <v>54</v>
      </c>
      <c r="V690" s="97"/>
      <c r="W690" s="97" t="s">
        <v>54</v>
      </c>
      <c r="X690" s="97"/>
      <c r="Y690" s="97"/>
      <c r="Z690" s="87"/>
      <c r="AA690" s="79" t="s">
        <v>64</v>
      </c>
      <c r="AB690" s="79" t="s">
        <v>37</v>
      </c>
      <c r="AC690" s="79" t="s">
        <v>37</v>
      </c>
      <c r="AD690" s="79"/>
      <c r="AE690" s="79" t="s">
        <v>1044</v>
      </c>
      <c r="AF690" s="79" t="s">
        <v>1045</v>
      </c>
      <c r="AG690" s="79" t="s">
        <v>1046</v>
      </c>
      <c r="AH690" s="79"/>
      <c r="AI690" s="53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</row>
    <row r="691" spans="1:110" ht="13.8" x14ac:dyDescent="0.25">
      <c r="A691" s="24">
        <v>1405073</v>
      </c>
      <c r="B691" s="10" t="s">
        <v>956</v>
      </c>
      <c r="C691" s="16" t="s">
        <v>1129</v>
      </c>
      <c r="D691" s="26" t="s">
        <v>1087</v>
      </c>
      <c r="E691" s="10" t="s">
        <v>1043</v>
      </c>
      <c r="F691" s="10" t="s">
        <v>557</v>
      </c>
      <c r="G691" s="55" t="str">
        <f t="shared" si="16"/>
        <v>Obsolete</v>
      </c>
      <c r="H691" s="10"/>
      <c r="I691" s="13"/>
      <c r="J691" s="56"/>
      <c r="K691" s="57"/>
      <c r="M691" s="10"/>
      <c r="N691" s="10"/>
      <c r="O691" s="29"/>
      <c r="P691" s="29"/>
      <c r="Q691" s="29"/>
      <c r="R691" s="29"/>
      <c r="S691" s="29"/>
      <c r="T691" s="72"/>
      <c r="U691" s="97" t="s">
        <v>54</v>
      </c>
      <c r="V691" s="97"/>
      <c r="W691" s="97" t="s">
        <v>54</v>
      </c>
      <c r="X691" s="97"/>
      <c r="Y691" s="97"/>
      <c r="Z691" s="87"/>
      <c r="AA691" s="79" t="s">
        <v>64</v>
      </c>
      <c r="AB691" s="79" t="s">
        <v>37</v>
      </c>
      <c r="AC691" s="79" t="s">
        <v>37</v>
      </c>
      <c r="AD691" s="79"/>
      <c r="AE691" s="79" t="s">
        <v>1044</v>
      </c>
      <c r="AF691" s="79" t="s">
        <v>1045</v>
      </c>
      <c r="AG691" s="79" t="s">
        <v>1046</v>
      </c>
      <c r="AH691" s="79"/>
      <c r="AI691" s="53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</row>
    <row r="692" spans="1:110" ht="13.8" x14ac:dyDescent="0.25">
      <c r="A692" s="24">
        <v>1405074</v>
      </c>
      <c r="B692" s="10" t="s">
        <v>956</v>
      </c>
      <c r="C692" s="16" t="s">
        <v>1130</v>
      </c>
      <c r="D692" s="26" t="s">
        <v>1087</v>
      </c>
      <c r="E692" s="10" t="s">
        <v>1043</v>
      </c>
      <c r="F692" s="10" t="s">
        <v>557</v>
      </c>
      <c r="G692" s="55" t="str">
        <f t="shared" si="16"/>
        <v>Obsolete</v>
      </c>
      <c r="H692" s="10"/>
      <c r="I692" s="13"/>
      <c r="J692" s="56"/>
      <c r="K692" s="57"/>
      <c r="M692" s="10"/>
      <c r="N692" s="10"/>
      <c r="O692" s="29"/>
      <c r="P692" s="29"/>
      <c r="Q692" s="29"/>
      <c r="R692" s="29"/>
      <c r="S692" s="29"/>
      <c r="T692" s="72"/>
      <c r="U692" s="97" t="s">
        <v>54</v>
      </c>
      <c r="V692" s="97"/>
      <c r="W692" s="97" t="s">
        <v>54</v>
      </c>
      <c r="X692" s="97"/>
      <c r="Y692" s="97"/>
      <c r="Z692" s="87"/>
      <c r="AA692" s="79" t="s">
        <v>64</v>
      </c>
      <c r="AB692" s="79" t="s">
        <v>37</v>
      </c>
      <c r="AC692" s="79" t="s">
        <v>37</v>
      </c>
      <c r="AD692" s="79"/>
      <c r="AE692" s="79" t="s">
        <v>1044</v>
      </c>
      <c r="AF692" s="79" t="s">
        <v>1045</v>
      </c>
      <c r="AG692" s="79" t="s">
        <v>1046</v>
      </c>
      <c r="AH692" s="79"/>
      <c r="AI692" s="53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</row>
    <row r="693" spans="1:110" ht="13.8" x14ac:dyDescent="0.25">
      <c r="A693" s="24">
        <v>1405075</v>
      </c>
      <c r="B693" s="10" t="s">
        <v>956</v>
      </c>
      <c r="C693" s="16" t="s">
        <v>1131</v>
      </c>
      <c r="D693" s="26" t="s">
        <v>1087</v>
      </c>
      <c r="E693" s="10" t="s">
        <v>1043</v>
      </c>
      <c r="F693" s="10" t="s">
        <v>557</v>
      </c>
      <c r="G693" s="55" t="str">
        <f t="shared" si="16"/>
        <v>Obsolete</v>
      </c>
      <c r="H693" s="10"/>
      <c r="I693" s="13"/>
      <c r="J693" s="56"/>
      <c r="K693" s="57"/>
      <c r="M693" s="10"/>
      <c r="N693" s="10"/>
      <c r="O693" s="29"/>
      <c r="P693" s="29"/>
      <c r="Q693" s="29"/>
      <c r="R693" s="29"/>
      <c r="S693" s="29"/>
      <c r="T693" s="72"/>
      <c r="U693" s="97" t="s">
        <v>54</v>
      </c>
      <c r="V693" s="97"/>
      <c r="W693" s="97" t="s">
        <v>54</v>
      </c>
      <c r="X693" s="97"/>
      <c r="Y693" s="97"/>
      <c r="Z693" s="87"/>
      <c r="AA693" s="79" t="s">
        <v>64</v>
      </c>
      <c r="AB693" s="79" t="s">
        <v>37</v>
      </c>
      <c r="AC693" s="79" t="s">
        <v>37</v>
      </c>
      <c r="AD693" s="79"/>
      <c r="AE693" s="79" t="s">
        <v>1044</v>
      </c>
      <c r="AF693" s="79" t="s">
        <v>1045</v>
      </c>
      <c r="AG693" s="79" t="s">
        <v>1046</v>
      </c>
      <c r="AH693" s="79"/>
      <c r="AI693" s="53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</row>
    <row r="694" spans="1:110" ht="13.8" x14ac:dyDescent="0.25">
      <c r="A694" s="24">
        <v>1405076</v>
      </c>
      <c r="B694" s="10" t="s">
        <v>956</v>
      </c>
      <c r="C694" s="16" t="s">
        <v>1132</v>
      </c>
      <c r="D694" s="26" t="s">
        <v>1087</v>
      </c>
      <c r="E694" s="10" t="s">
        <v>1043</v>
      </c>
      <c r="F694" s="10" t="s">
        <v>557</v>
      </c>
      <c r="G694" s="55" t="str">
        <f t="shared" si="16"/>
        <v>Obsolete</v>
      </c>
      <c r="H694" s="10"/>
      <c r="I694" s="13"/>
      <c r="J694" s="56"/>
      <c r="K694" s="57"/>
      <c r="M694" s="10"/>
      <c r="N694" s="10"/>
      <c r="O694" s="29"/>
      <c r="P694" s="29"/>
      <c r="Q694" s="29"/>
      <c r="R694" s="29"/>
      <c r="S694" s="29"/>
      <c r="T694" s="72"/>
      <c r="U694" s="97" t="s">
        <v>54</v>
      </c>
      <c r="V694" s="97"/>
      <c r="W694" s="97" t="s">
        <v>54</v>
      </c>
      <c r="X694" s="97"/>
      <c r="Y694" s="97"/>
      <c r="Z694" s="87"/>
      <c r="AA694" s="79" t="s">
        <v>64</v>
      </c>
      <c r="AB694" s="79" t="s">
        <v>37</v>
      </c>
      <c r="AC694" s="79" t="s">
        <v>37</v>
      </c>
      <c r="AD694" s="79"/>
      <c r="AE694" s="79" t="s">
        <v>1044</v>
      </c>
      <c r="AF694" s="79" t="s">
        <v>1045</v>
      </c>
      <c r="AG694" s="79" t="s">
        <v>1046</v>
      </c>
      <c r="AH694" s="79"/>
      <c r="AI694" s="53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</row>
    <row r="695" spans="1:110" ht="13.8" x14ac:dyDescent="0.25">
      <c r="A695" s="24">
        <v>1405077</v>
      </c>
      <c r="B695" s="10" t="s">
        <v>956</v>
      </c>
      <c r="C695" s="16" t="s">
        <v>1133</v>
      </c>
      <c r="D695" s="26" t="s">
        <v>1087</v>
      </c>
      <c r="E695" s="10" t="s">
        <v>1043</v>
      </c>
      <c r="F695" s="10" t="s">
        <v>557</v>
      </c>
      <c r="G695" s="55" t="str">
        <f t="shared" si="16"/>
        <v>Obsolete</v>
      </c>
      <c r="H695" s="10"/>
      <c r="I695" s="13"/>
      <c r="J695" s="56"/>
      <c r="K695" s="57"/>
      <c r="M695" s="10"/>
      <c r="N695" s="10"/>
      <c r="O695" s="29"/>
      <c r="P695" s="29"/>
      <c r="Q695" s="29"/>
      <c r="R695" s="29"/>
      <c r="S695" s="29"/>
      <c r="T695" s="72"/>
      <c r="U695" s="97" t="s">
        <v>54</v>
      </c>
      <c r="V695" s="97"/>
      <c r="W695" s="97" t="s">
        <v>54</v>
      </c>
      <c r="X695" s="97"/>
      <c r="Y695" s="97"/>
      <c r="Z695" s="87"/>
      <c r="AA695" s="79" t="s">
        <v>64</v>
      </c>
      <c r="AB695" s="79" t="s">
        <v>37</v>
      </c>
      <c r="AC695" s="79" t="s">
        <v>37</v>
      </c>
      <c r="AD695" s="79"/>
      <c r="AE695" s="79" t="s">
        <v>1044</v>
      </c>
      <c r="AF695" s="79" t="s">
        <v>1045</v>
      </c>
      <c r="AG695" s="79" t="s">
        <v>1046</v>
      </c>
      <c r="AH695" s="79"/>
      <c r="AI695" s="53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</row>
    <row r="696" spans="1:110" ht="13.8" x14ac:dyDescent="0.25">
      <c r="A696" s="24">
        <v>1405078</v>
      </c>
      <c r="B696" s="10" t="s">
        <v>956</v>
      </c>
      <c r="C696" s="16" t="s">
        <v>1134</v>
      </c>
      <c r="D696" s="26" t="s">
        <v>1087</v>
      </c>
      <c r="E696" s="10" t="s">
        <v>1043</v>
      </c>
      <c r="F696" s="10" t="s">
        <v>557</v>
      </c>
      <c r="G696" s="55" t="str">
        <f t="shared" si="16"/>
        <v>Obsolete</v>
      </c>
      <c r="H696" s="10"/>
      <c r="I696" s="13"/>
      <c r="J696" s="56"/>
      <c r="K696" s="57"/>
      <c r="M696" s="10"/>
      <c r="N696" s="10"/>
      <c r="O696" s="29"/>
      <c r="P696" s="29"/>
      <c r="Q696" s="29"/>
      <c r="R696" s="29"/>
      <c r="S696" s="29"/>
      <c r="T696" s="72"/>
      <c r="U696" s="97" t="s">
        <v>54</v>
      </c>
      <c r="V696" s="97"/>
      <c r="W696" s="97" t="s">
        <v>54</v>
      </c>
      <c r="X696" s="97"/>
      <c r="Y696" s="97"/>
      <c r="Z696" s="87"/>
      <c r="AA696" s="79" t="s">
        <v>64</v>
      </c>
      <c r="AB696" s="79" t="s">
        <v>37</v>
      </c>
      <c r="AC696" s="79" t="s">
        <v>37</v>
      </c>
      <c r="AD696" s="79"/>
      <c r="AE696" s="79" t="s">
        <v>1044</v>
      </c>
      <c r="AF696" s="79" t="s">
        <v>1045</v>
      </c>
      <c r="AG696" s="79" t="s">
        <v>1046</v>
      </c>
      <c r="AH696" s="79"/>
      <c r="AI696" s="53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</row>
    <row r="697" spans="1:110" ht="13.8" x14ac:dyDescent="0.25">
      <c r="A697" s="24">
        <v>1405079</v>
      </c>
      <c r="B697" s="10" t="s">
        <v>956</v>
      </c>
      <c r="C697" s="16" t="s">
        <v>1135</v>
      </c>
      <c r="D697" s="26" t="s">
        <v>1087</v>
      </c>
      <c r="E697" s="10" t="s">
        <v>1043</v>
      </c>
      <c r="F697" s="10" t="s">
        <v>557</v>
      </c>
      <c r="G697" s="55" t="str">
        <f t="shared" ref="G697:G760" si="17">IF(U697="Obsolete",U697,U697+V697)</f>
        <v>Obsolete</v>
      </c>
      <c r="H697" s="10"/>
      <c r="I697" s="13"/>
      <c r="J697" s="56"/>
      <c r="K697" s="57"/>
      <c r="M697" s="10"/>
      <c r="N697" s="10"/>
      <c r="O697" s="29"/>
      <c r="P697" s="29"/>
      <c r="Q697" s="29"/>
      <c r="R697" s="29"/>
      <c r="S697" s="29"/>
      <c r="T697" s="72"/>
      <c r="U697" s="97" t="s">
        <v>54</v>
      </c>
      <c r="V697" s="97"/>
      <c r="W697" s="97" t="s">
        <v>54</v>
      </c>
      <c r="X697" s="97"/>
      <c r="Y697" s="97"/>
      <c r="Z697" s="87"/>
      <c r="AA697" s="79" t="s">
        <v>64</v>
      </c>
      <c r="AB697" s="79" t="s">
        <v>37</v>
      </c>
      <c r="AC697" s="79" t="s">
        <v>37</v>
      </c>
      <c r="AD697" s="79"/>
      <c r="AE697" s="79" t="s">
        <v>1044</v>
      </c>
      <c r="AF697" s="79" t="s">
        <v>1045</v>
      </c>
      <c r="AG697" s="79" t="s">
        <v>1046</v>
      </c>
      <c r="AH697" s="79"/>
      <c r="AI697" s="53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</row>
    <row r="698" spans="1:110" ht="13.8" x14ac:dyDescent="0.25">
      <c r="A698" s="24">
        <v>1405080</v>
      </c>
      <c r="B698" s="10" t="s">
        <v>956</v>
      </c>
      <c r="C698" s="16" t="s">
        <v>1136</v>
      </c>
      <c r="D698" s="26" t="s">
        <v>1087</v>
      </c>
      <c r="E698" s="10" t="s">
        <v>1043</v>
      </c>
      <c r="F698" s="10" t="s">
        <v>557</v>
      </c>
      <c r="G698" s="55" t="str">
        <f t="shared" si="17"/>
        <v>Obsolete</v>
      </c>
      <c r="H698" s="10">
        <v>12</v>
      </c>
      <c r="I698" s="13">
        <v>3200</v>
      </c>
      <c r="J698" s="56"/>
      <c r="K698" s="57"/>
      <c r="M698" s="10"/>
      <c r="N698" s="10"/>
      <c r="O698" s="29"/>
      <c r="P698" s="29"/>
      <c r="Q698" s="29"/>
      <c r="R698" s="29"/>
      <c r="S698" s="29"/>
      <c r="T698" s="72"/>
      <c r="U698" s="97" t="s">
        <v>54</v>
      </c>
      <c r="V698" s="97"/>
      <c r="W698" s="97" t="s">
        <v>54</v>
      </c>
      <c r="X698" s="97"/>
      <c r="Y698" s="97"/>
      <c r="Z698" s="87"/>
      <c r="AA698" s="79" t="s">
        <v>64</v>
      </c>
      <c r="AB698" s="79" t="s">
        <v>37</v>
      </c>
      <c r="AC698" s="79" t="s">
        <v>37</v>
      </c>
      <c r="AD698" s="79"/>
      <c r="AE698" s="79" t="s">
        <v>1044</v>
      </c>
      <c r="AF698" s="79" t="s">
        <v>1045</v>
      </c>
      <c r="AG698" s="79" t="s">
        <v>1046</v>
      </c>
      <c r="AH698" s="79"/>
      <c r="AI698" s="53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</row>
    <row r="699" spans="1:110" ht="13.8" x14ac:dyDescent="0.25">
      <c r="A699" s="24">
        <v>1405081</v>
      </c>
      <c r="B699" s="10" t="s">
        <v>956</v>
      </c>
      <c r="C699" s="16" t="s">
        <v>1137</v>
      </c>
      <c r="D699" s="26" t="s">
        <v>1087</v>
      </c>
      <c r="E699" s="10" t="s">
        <v>1043</v>
      </c>
      <c r="F699" s="10" t="s">
        <v>557</v>
      </c>
      <c r="G699" s="55" t="str">
        <f t="shared" si="17"/>
        <v>Obsolete</v>
      </c>
      <c r="H699" s="10"/>
      <c r="I699" s="13"/>
      <c r="J699" s="56"/>
      <c r="K699" s="57"/>
      <c r="M699" s="10"/>
      <c r="N699" s="10"/>
      <c r="O699" s="29"/>
      <c r="P699" s="29"/>
      <c r="Q699" s="29"/>
      <c r="R699" s="29"/>
      <c r="S699" s="29"/>
      <c r="T699" s="72"/>
      <c r="U699" s="97" t="s">
        <v>54</v>
      </c>
      <c r="V699" s="97"/>
      <c r="W699" s="97" t="s">
        <v>54</v>
      </c>
      <c r="X699" s="97"/>
      <c r="Y699" s="97"/>
      <c r="Z699" s="87"/>
      <c r="AA699" s="79" t="s">
        <v>64</v>
      </c>
      <c r="AB699" s="79" t="s">
        <v>37</v>
      </c>
      <c r="AC699" s="79" t="s">
        <v>37</v>
      </c>
      <c r="AD699" s="79"/>
      <c r="AE699" s="79" t="s">
        <v>1044</v>
      </c>
      <c r="AF699" s="79" t="s">
        <v>1045</v>
      </c>
      <c r="AG699" s="79" t="s">
        <v>1046</v>
      </c>
      <c r="AH699" s="79"/>
      <c r="AI699" s="53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</row>
    <row r="700" spans="1:110" ht="13.8" x14ac:dyDescent="0.25">
      <c r="A700" s="24">
        <v>1405082</v>
      </c>
      <c r="B700" s="10" t="s">
        <v>956</v>
      </c>
      <c r="C700" s="16" t="s">
        <v>1138</v>
      </c>
      <c r="D700" s="26" t="s">
        <v>1087</v>
      </c>
      <c r="E700" s="10" t="s">
        <v>1043</v>
      </c>
      <c r="F700" s="10" t="s">
        <v>557</v>
      </c>
      <c r="G700" s="55" t="str">
        <f t="shared" si="17"/>
        <v>Obsolete</v>
      </c>
      <c r="H700" s="10"/>
      <c r="I700" s="13"/>
      <c r="J700" s="56"/>
      <c r="K700" s="57"/>
      <c r="M700" s="10"/>
      <c r="N700" s="10"/>
      <c r="O700" s="29"/>
      <c r="P700" s="29"/>
      <c r="Q700" s="29"/>
      <c r="R700" s="29"/>
      <c r="S700" s="29"/>
      <c r="T700" s="72"/>
      <c r="U700" s="97" t="s">
        <v>54</v>
      </c>
      <c r="V700" s="97"/>
      <c r="W700" s="97" t="s">
        <v>54</v>
      </c>
      <c r="X700" s="97"/>
      <c r="Y700" s="97"/>
      <c r="Z700" s="87"/>
      <c r="AA700" s="79" t="s">
        <v>64</v>
      </c>
      <c r="AB700" s="79" t="s">
        <v>37</v>
      </c>
      <c r="AC700" s="79" t="s">
        <v>37</v>
      </c>
      <c r="AD700" s="79"/>
      <c r="AE700" s="79" t="s">
        <v>1044</v>
      </c>
      <c r="AF700" s="79" t="s">
        <v>1045</v>
      </c>
      <c r="AG700" s="79" t="s">
        <v>1046</v>
      </c>
      <c r="AH700" s="79"/>
      <c r="AI700" s="53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</row>
    <row r="701" spans="1:110" ht="13.8" x14ac:dyDescent="0.25">
      <c r="A701" s="24">
        <v>1405083</v>
      </c>
      <c r="B701" s="10" t="s">
        <v>956</v>
      </c>
      <c r="C701" s="16" t="s">
        <v>1139</v>
      </c>
      <c r="D701" s="26" t="s">
        <v>1087</v>
      </c>
      <c r="E701" s="10" t="s">
        <v>1043</v>
      </c>
      <c r="F701" s="10" t="s">
        <v>557</v>
      </c>
      <c r="G701" s="55" t="str">
        <f t="shared" si="17"/>
        <v>Obsolete</v>
      </c>
      <c r="H701" s="10"/>
      <c r="I701" s="13"/>
      <c r="J701" s="56"/>
      <c r="K701" s="57"/>
      <c r="M701" s="10"/>
      <c r="N701" s="10"/>
      <c r="O701" s="29"/>
      <c r="P701" s="29"/>
      <c r="Q701" s="29"/>
      <c r="R701" s="29"/>
      <c r="S701" s="29"/>
      <c r="T701" s="72"/>
      <c r="U701" s="97" t="s">
        <v>54</v>
      </c>
      <c r="V701" s="97"/>
      <c r="W701" s="97" t="s">
        <v>54</v>
      </c>
      <c r="X701" s="97"/>
      <c r="Y701" s="97"/>
      <c r="Z701" s="87"/>
      <c r="AA701" s="79" t="s">
        <v>64</v>
      </c>
      <c r="AB701" s="79" t="s">
        <v>37</v>
      </c>
      <c r="AC701" s="79" t="s">
        <v>37</v>
      </c>
      <c r="AD701" s="79"/>
      <c r="AE701" s="79" t="s">
        <v>1044</v>
      </c>
      <c r="AF701" s="79" t="s">
        <v>1045</v>
      </c>
      <c r="AG701" s="79" t="s">
        <v>1046</v>
      </c>
      <c r="AH701" s="79"/>
      <c r="AI701" s="53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</row>
    <row r="702" spans="1:110" ht="13.8" x14ac:dyDescent="0.25">
      <c r="A702" s="24">
        <v>1405084</v>
      </c>
      <c r="B702" s="10" t="s">
        <v>956</v>
      </c>
      <c r="C702" s="16" t="s">
        <v>1140</v>
      </c>
      <c r="D702" s="10" t="s">
        <v>1141</v>
      </c>
      <c r="E702" s="10" t="s">
        <v>1043</v>
      </c>
      <c r="F702" s="10" t="s">
        <v>557</v>
      </c>
      <c r="G702" s="55" t="str">
        <f t="shared" si="17"/>
        <v>Obsolete</v>
      </c>
      <c r="H702" s="10"/>
      <c r="I702" s="13"/>
      <c r="J702" s="56"/>
      <c r="K702" s="57"/>
      <c r="M702" s="10"/>
      <c r="N702" s="10"/>
      <c r="O702" s="29"/>
      <c r="P702" s="29"/>
      <c r="Q702" s="29"/>
      <c r="R702" s="29"/>
      <c r="S702" s="29"/>
      <c r="T702" s="72"/>
      <c r="U702" s="97" t="s">
        <v>54</v>
      </c>
      <c r="V702" s="97"/>
      <c r="W702" s="97" t="s">
        <v>54</v>
      </c>
      <c r="X702" s="97"/>
      <c r="Y702" s="97"/>
      <c r="Z702" s="87"/>
      <c r="AA702" s="79"/>
      <c r="AB702" s="79" t="s">
        <v>37</v>
      </c>
      <c r="AC702" s="79" t="s">
        <v>37</v>
      </c>
      <c r="AD702" s="79"/>
      <c r="AE702" s="79" t="s">
        <v>1044</v>
      </c>
      <c r="AF702" s="79" t="s">
        <v>1045</v>
      </c>
      <c r="AG702" s="79" t="s">
        <v>1046</v>
      </c>
      <c r="AH702" s="79"/>
      <c r="AI702" s="53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</row>
    <row r="703" spans="1:110" ht="13.8" x14ac:dyDescent="0.25">
      <c r="A703" s="24">
        <v>1405085</v>
      </c>
      <c r="B703" s="10" t="s">
        <v>956</v>
      </c>
      <c r="C703" s="16" t="s">
        <v>1142</v>
      </c>
      <c r="D703" s="10" t="s">
        <v>1141</v>
      </c>
      <c r="E703" s="10" t="s">
        <v>1043</v>
      </c>
      <c r="F703" s="10" t="s">
        <v>557</v>
      </c>
      <c r="G703" s="55" t="str">
        <f t="shared" si="17"/>
        <v>Obsolete</v>
      </c>
      <c r="H703" s="10"/>
      <c r="I703" s="13"/>
      <c r="J703" s="56"/>
      <c r="K703" s="57"/>
      <c r="M703" s="10">
        <v>0.25800000000000001</v>
      </c>
      <c r="N703" s="10"/>
      <c r="O703" s="29"/>
      <c r="P703" s="29"/>
      <c r="Q703" s="29"/>
      <c r="R703" s="29"/>
      <c r="S703" s="29"/>
      <c r="T703" s="72"/>
      <c r="U703" s="97" t="s">
        <v>54</v>
      </c>
      <c r="V703" s="97"/>
      <c r="W703" s="97" t="s">
        <v>54</v>
      </c>
      <c r="X703" s="97"/>
      <c r="Y703" s="97"/>
      <c r="Z703" s="87"/>
      <c r="AA703" s="79" t="s">
        <v>64</v>
      </c>
      <c r="AB703" s="79" t="s">
        <v>37</v>
      </c>
      <c r="AC703" s="79" t="s">
        <v>37</v>
      </c>
      <c r="AD703" s="79"/>
      <c r="AE703" s="79" t="s">
        <v>1044</v>
      </c>
      <c r="AF703" s="79" t="s">
        <v>1045</v>
      </c>
      <c r="AG703" s="79" t="s">
        <v>1046</v>
      </c>
      <c r="AH703" s="79"/>
      <c r="AI703" s="53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</row>
    <row r="704" spans="1:110" ht="13.8" x14ac:dyDescent="0.25">
      <c r="A704" s="24">
        <v>1405086</v>
      </c>
      <c r="B704" s="10" t="s">
        <v>956</v>
      </c>
      <c r="C704" s="16" t="s">
        <v>1143</v>
      </c>
      <c r="D704" s="10" t="s">
        <v>1141</v>
      </c>
      <c r="E704" s="10" t="s">
        <v>1043</v>
      </c>
      <c r="F704" s="10" t="s">
        <v>557</v>
      </c>
      <c r="G704" s="55" t="str">
        <f t="shared" si="17"/>
        <v>Obsolete</v>
      </c>
      <c r="H704" s="10"/>
      <c r="I704" s="13"/>
      <c r="J704" s="56"/>
      <c r="K704" s="57"/>
      <c r="M704" s="10">
        <v>0.25800000000000001</v>
      </c>
      <c r="N704" s="10"/>
      <c r="O704" s="29"/>
      <c r="P704" s="29"/>
      <c r="Q704" s="29"/>
      <c r="R704" s="29"/>
      <c r="S704" s="29"/>
      <c r="T704" s="72"/>
      <c r="U704" s="97" t="s">
        <v>54</v>
      </c>
      <c r="V704" s="97"/>
      <c r="W704" s="97" t="s">
        <v>54</v>
      </c>
      <c r="X704" s="97"/>
      <c r="Y704" s="97"/>
      <c r="Z704" s="87"/>
      <c r="AA704" s="79" t="s">
        <v>64</v>
      </c>
      <c r="AB704" s="79" t="s">
        <v>37</v>
      </c>
      <c r="AC704" s="79" t="s">
        <v>37</v>
      </c>
      <c r="AD704" s="79"/>
      <c r="AE704" s="79" t="s">
        <v>1044</v>
      </c>
      <c r="AF704" s="79" t="s">
        <v>1045</v>
      </c>
      <c r="AG704" s="79" t="s">
        <v>1046</v>
      </c>
      <c r="AH704" s="79"/>
      <c r="AI704" s="53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</row>
    <row r="705" spans="1:110" ht="13.8" x14ac:dyDescent="0.25">
      <c r="A705" s="24">
        <v>1405087</v>
      </c>
      <c r="B705" s="10" t="s">
        <v>956</v>
      </c>
      <c r="C705" s="16" t="s">
        <v>1144</v>
      </c>
      <c r="D705" s="10" t="s">
        <v>1141</v>
      </c>
      <c r="E705" s="10" t="s">
        <v>1043</v>
      </c>
      <c r="F705" s="10" t="s">
        <v>557</v>
      </c>
      <c r="G705" s="55" t="str">
        <f t="shared" si="17"/>
        <v>Obsolete</v>
      </c>
      <c r="H705" s="10"/>
      <c r="I705" s="13"/>
      <c r="J705" s="56"/>
      <c r="K705" s="57"/>
      <c r="M705" s="10">
        <v>0.25800000000000001</v>
      </c>
      <c r="N705" s="10"/>
      <c r="O705" s="29"/>
      <c r="P705" s="29"/>
      <c r="Q705" s="29"/>
      <c r="R705" s="29"/>
      <c r="S705" s="29"/>
      <c r="T705" s="72"/>
      <c r="U705" s="97" t="s">
        <v>54</v>
      </c>
      <c r="V705" s="97"/>
      <c r="W705" s="97" t="s">
        <v>54</v>
      </c>
      <c r="X705" s="97"/>
      <c r="Y705" s="97"/>
      <c r="Z705" s="87"/>
      <c r="AA705" s="79" t="s">
        <v>64</v>
      </c>
      <c r="AB705" s="79" t="s">
        <v>37</v>
      </c>
      <c r="AC705" s="79" t="s">
        <v>37</v>
      </c>
      <c r="AD705" s="79"/>
      <c r="AE705" s="79" t="s">
        <v>1044</v>
      </c>
      <c r="AF705" s="79" t="s">
        <v>1045</v>
      </c>
      <c r="AG705" s="79" t="s">
        <v>1046</v>
      </c>
      <c r="AH705" s="79"/>
      <c r="AI705" s="53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</row>
    <row r="706" spans="1:110" ht="13.8" x14ac:dyDescent="0.25">
      <c r="A706" s="24">
        <v>1405088</v>
      </c>
      <c r="B706" s="10" t="s">
        <v>956</v>
      </c>
      <c r="C706" s="16" t="s">
        <v>1145</v>
      </c>
      <c r="D706" s="10" t="s">
        <v>1141</v>
      </c>
      <c r="E706" s="10" t="s">
        <v>1043</v>
      </c>
      <c r="F706" s="10" t="s">
        <v>557</v>
      </c>
      <c r="G706" s="55" t="str">
        <f t="shared" si="17"/>
        <v>Obsolete</v>
      </c>
      <c r="H706" s="10"/>
      <c r="I706" s="13"/>
      <c r="J706" s="56"/>
      <c r="K706" s="57"/>
      <c r="M706" s="10">
        <v>0.25800000000000001</v>
      </c>
      <c r="N706" s="10"/>
      <c r="O706" s="29"/>
      <c r="P706" s="29"/>
      <c r="Q706" s="29"/>
      <c r="R706" s="29"/>
      <c r="S706" s="29"/>
      <c r="T706" s="72"/>
      <c r="U706" s="97" t="s">
        <v>54</v>
      </c>
      <c r="V706" s="97"/>
      <c r="W706" s="97" t="s">
        <v>54</v>
      </c>
      <c r="X706" s="97"/>
      <c r="Y706" s="97"/>
      <c r="Z706" s="87"/>
      <c r="AA706" s="79" t="s">
        <v>64</v>
      </c>
      <c r="AB706" s="79" t="s">
        <v>37</v>
      </c>
      <c r="AC706" s="79" t="s">
        <v>37</v>
      </c>
      <c r="AD706" s="79"/>
      <c r="AE706" s="79" t="s">
        <v>1044</v>
      </c>
      <c r="AF706" s="79" t="s">
        <v>1045</v>
      </c>
      <c r="AG706" s="79" t="s">
        <v>1046</v>
      </c>
      <c r="AH706" s="79"/>
      <c r="AI706" s="53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</row>
    <row r="707" spans="1:110" ht="13.8" x14ac:dyDescent="0.25">
      <c r="A707" s="24">
        <v>1405089</v>
      </c>
      <c r="B707" s="10" t="s">
        <v>956</v>
      </c>
      <c r="C707" s="16" t="s">
        <v>1146</v>
      </c>
      <c r="D707" s="10" t="s">
        <v>1141</v>
      </c>
      <c r="E707" s="10" t="s">
        <v>1043</v>
      </c>
      <c r="F707" s="10" t="s">
        <v>557</v>
      </c>
      <c r="G707" s="55" t="str">
        <f t="shared" si="17"/>
        <v>Obsolete</v>
      </c>
      <c r="H707" s="10"/>
      <c r="I707" s="13"/>
      <c r="J707" s="56"/>
      <c r="K707" s="57"/>
      <c r="M707" s="10">
        <v>0.33700000000000002</v>
      </c>
      <c r="N707" s="10"/>
      <c r="O707" s="29"/>
      <c r="P707" s="29"/>
      <c r="Q707" s="29"/>
      <c r="R707" s="29"/>
      <c r="S707" s="29"/>
      <c r="T707" s="72"/>
      <c r="U707" s="97" t="s">
        <v>54</v>
      </c>
      <c r="V707" s="97"/>
      <c r="W707" s="97" t="s">
        <v>54</v>
      </c>
      <c r="X707" s="97"/>
      <c r="Y707" s="97"/>
      <c r="Z707" s="87"/>
      <c r="AA707" s="79" t="s">
        <v>64</v>
      </c>
      <c r="AB707" s="79" t="s">
        <v>37</v>
      </c>
      <c r="AC707" s="79" t="s">
        <v>37</v>
      </c>
      <c r="AD707" s="79"/>
      <c r="AE707" s="79" t="s">
        <v>1044</v>
      </c>
      <c r="AF707" s="79" t="s">
        <v>1045</v>
      </c>
      <c r="AG707" s="79" t="s">
        <v>1046</v>
      </c>
      <c r="AH707" s="79"/>
      <c r="AI707" s="53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</row>
    <row r="708" spans="1:110" ht="13.8" x14ac:dyDescent="0.25">
      <c r="A708" s="24">
        <v>1405090</v>
      </c>
      <c r="B708" s="10" t="s">
        <v>956</v>
      </c>
      <c r="C708" s="16" t="s">
        <v>1147</v>
      </c>
      <c r="D708" s="10" t="s">
        <v>1141</v>
      </c>
      <c r="E708" s="10" t="s">
        <v>1043</v>
      </c>
      <c r="F708" s="10" t="s">
        <v>557</v>
      </c>
      <c r="G708" s="55" t="str">
        <f t="shared" si="17"/>
        <v>Obsolete</v>
      </c>
      <c r="H708" s="10"/>
      <c r="I708" s="13"/>
      <c r="J708" s="56"/>
      <c r="K708" s="57"/>
      <c r="M708" s="10">
        <v>0.33700000000000002</v>
      </c>
      <c r="N708" s="10"/>
      <c r="O708" s="29"/>
      <c r="P708" s="29"/>
      <c r="Q708" s="29"/>
      <c r="R708" s="29"/>
      <c r="S708" s="29"/>
      <c r="T708" s="72"/>
      <c r="U708" s="97" t="s">
        <v>54</v>
      </c>
      <c r="V708" s="97"/>
      <c r="W708" s="97" t="s">
        <v>54</v>
      </c>
      <c r="X708" s="97"/>
      <c r="Y708" s="97"/>
      <c r="Z708" s="87"/>
      <c r="AA708" s="79" t="s">
        <v>64</v>
      </c>
      <c r="AB708" s="79" t="s">
        <v>37</v>
      </c>
      <c r="AC708" s="79" t="s">
        <v>37</v>
      </c>
      <c r="AD708" s="79"/>
      <c r="AE708" s="79" t="s">
        <v>1044</v>
      </c>
      <c r="AF708" s="79" t="s">
        <v>1045</v>
      </c>
      <c r="AG708" s="79" t="s">
        <v>1046</v>
      </c>
      <c r="AH708" s="79"/>
      <c r="AI708" s="53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</row>
    <row r="709" spans="1:110" ht="13.8" x14ac:dyDescent="0.25">
      <c r="A709" s="24">
        <v>1405091</v>
      </c>
      <c r="B709" s="10" t="s">
        <v>956</v>
      </c>
      <c r="C709" s="16" t="s">
        <v>1148</v>
      </c>
      <c r="D709" s="10" t="s">
        <v>1141</v>
      </c>
      <c r="E709" s="10" t="s">
        <v>1043</v>
      </c>
      <c r="F709" s="10" t="s">
        <v>557</v>
      </c>
      <c r="G709" s="55" t="str">
        <f t="shared" si="17"/>
        <v>Obsolete</v>
      </c>
      <c r="H709" s="10"/>
      <c r="I709" s="13"/>
      <c r="J709" s="56"/>
      <c r="K709" s="57"/>
      <c r="M709" s="10"/>
      <c r="N709" s="10"/>
      <c r="O709" s="29"/>
      <c r="P709" s="29"/>
      <c r="Q709" s="29"/>
      <c r="R709" s="29"/>
      <c r="S709" s="29"/>
      <c r="T709" s="72"/>
      <c r="U709" s="97" t="s">
        <v>54</v>
      </c>
      <c r="V709" s="97"/>
      <c r="W709" s="97" t="s">
        <v>54</v>
      </c>
      <c r="X709" s="97"/>
      <c r="Y709" s="97"/>
      <c r="Z709" s="87"/>
      <c r="AA709" s="79"/>
      <c r="AB709" s="79" t="s">
        <v>37</v>
      </c>
      <c r="AC709" s="79" t="s">
        <v>37</v>
      </c>
      <c r="AD709" s="79"/>
      <c r="AE709" s="79" t="s">
        <v>1044</v>
      </c>
      <c r="AF709" s="79" t="s">
        <v>1045</v>
      </c>
      <c r="AG709" s="79" t="s">
        <v>1046</v>
      </c>
      <c r="AH709" s="79"/>
      <c r="AI709" s="53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</row>
    <row r="710" spans="1:110" ht="13.8" x14ac:dyDescent="0.25">
      <c r="A710" s="24">
        <v>1405092</v>
      </c>
      <c r="B710" s="10" t="s">
        <v>956</v>
      </c>
      <c r="C710" s="16" t="s">
        <v>1149</v>
      </c>
      <c r="D710" s="10" t="s">
        <v>1141</v>
      </c>
      <c r="E710" s="10" t="s">
        <v>1043</v>
      </c>
      <c r="F710" s="10" t="s">
        <v>557</v>
      </c>
      <c r="G710" s="55" t="str">
        <f t="shared" si="17"/>
        <v>Obsolete</v>
      </c>
      <c r="H710" s="10"/>
      <c r="I710" s="13"/>
      <c r="J710" s="56"/>
      <c r="K710" s="57"/>
      <c r="M710" s="10">
        <v>9.8000000000000004E-2</v>
      </c>
      <c r="N710" s="10"/>
      <c r="O710" s="29"/>
      <c r="P710" s="29"/>
      <c r="Q710" s="29"/>
      <c r="R710" s="29"/>
      <c r="S710" s="29"/>
      <c r="T710" s="72"/>
      <c r="U710" s="97" t="s">
        <v>54</v>
      </c>
      <c r="V710" s="97"/>
      <c r="W710" s="97" t="s">
        <v>54</v>
      </c>
      <c r="X710" s="97"/>
      <c r="Y710" s="97"/>
      <c r="Z710" s="87"/>
      <c r="AA710" s="79" t="s">
        <v>64</v>
      </c>
      <c r="AB710" s="79" t="s">
        <v>37</v>
      </c>
      <c r="AC710" s="79" t="s">
        <v>37</v>
      </c>
      <c r="AD710" s="79"/>
      <c r="AE710" s="79" t="s">
        <v>1044</v>
      </c>
      <c r="AF710" s="79" t="s">
        <v>1045</v>
      </c>
      <c r="AG710" s="79" t="s">
        <v>1046</v>
      </c>
      <c r="AH710" s="79"/>
      <c r="AI710" s="53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</row>
    <row r="711" spans="1:110" ht="13.8" x14ac:dyDescent="0.25">
      <c r="A711" s="24">
        <v>1405093</v>
      </c>
      <c r="B711" s="10" t="s">
        <v>956</v>
      </c>
      <c r="C711" s="16" t="s">
        <v>1150</v>
      </c>
      <c r="D711" s="10" t="s">
        <v>1141</v>
      </c>
      <c r="E711" s="10" t="s">
        <v>1043</v>
      </c>
      <c r="F711" s="10" t="s">
        <v>557</v>
      </c>
      <c r="G711" s="55" t="str">
        <f t="shared" si="17"/>
        <v>Obsolete</v>
      </c>
      <c r="H711" s="10"/>
      <c r="I711" s="13"/>
      <c r="J711" s="56"/>
      <c r="K711" s="57"/>
      <c r="M711" s="10">
        <v>9.8000000000000004E-2</v>
      </c>
      <c r="N711" s="10"/>
      <c r="O711" s="29"/>
      <c r="P711" s="29"/>
      <c r="Q711" s="29"/>
      <c r="R711" s="29"/>
      <c r="S711" s="29"/>
      <c r="T711" s="72"/>
      <c r="U711" s="97" t="s">
        <v>54</v>
      </c>
      <c r="V711" s="97"/>
      <c r="W711" s="97" t="s">
        <v>54</v>
      </c>
      <c r="X711" s="97"/>
      <c r="Y711" s="97"/>
      <c r="Z711" s="87"/>
      <c r="AA711" s="79" t="s">
        <v>64</v>
      </c>
      <c r="AB711" s="79" t="s">
        <v>37</v>
      </c>
      <c r="AC711" s="79" t="s">
        <v>37</v>
      </c>
      <c r="AD711" s="79"/>
      <c r="AE711" s="79" t="s">
        <v>1044</v>
      </c>
      <c r="AF711" s="79" t="s">
        <v>1045</v>
      </c>
      <c r="AG711" s="79" t="s">
        <v>1046</v>
      </c>
      <c r="AH711" s="79"/>
      <c r="AI711" s="53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</row>
    <row r="712" spans="1:110" ht="13.8" x14ac:dyDescent="0.25">
      <c r="A712" s="24">
        <v>1405094</v>
      </c>
      <c r="B712" s="10" t="s">
        <v>956</v>
      </c>
      <c r="C712" s="16" t="s">
        <v>1151</v>
      </c>
      <c r="D712" s="10" t="s">
        <v>1141</v>
      </c>
      <c r="E712" s="10" t="s">
        <v>1043</v>
      </c>
      <c r="F712" s="10" t="s">
        <v>557</v>
      </c>
      <c r="G712" s="55" t="str">
        <f t="shared" si="17"/>
        <v>Obsolete</v>
      </c>
      <c r="H712" s="10"/>
      <c r="I712" s="13"/>
      <c r="J712" s="56"/>
      <c r="K712" s="57"/>
      <c r="M712" s="10">
        <v>9.8000000000000004E-2</v>
      </c>
      <c r="N712" s="10"/>
      <c r="O712" s="29"/>
      <c r="P712" s="29"/>
      <c r="Q712" s="29"/>
      <c r="R712" s="29"/>
      <c r="S712" s="29"/>
      <c r="T712" s="72"/>
      <c r="U712" s="97" t="s">
        <v>54</v>
      </c>
      <c r="V712" s="97"/>
      <c r="W712" s="97" t="s">
        <v>54</v>
      </c>
      <c r="X712" s="97"/>
      <c r="Y712" s="97"/>
      <c r="Z712" s="87"/>
      <c r="AA712" s="79" t="s">
        <v>64</v>
      </c>
      <c r="AB712" s="79" t="s">
        <v>37</v>
      </c>
      <c r="AC712" s="79" t="s">
        <v>37</v>
      </c>
      <c r="AD712" s="79"/>
      <c r="AE712" s="79" t="s">
        <v>1044</v>
      </c>
      <c r="AF712" s="79" t="s">
        <v>1045</v>
      </c>
      <c r="AG712" s="79" t="s">
        <v>1046</v>
      </c>
      <c r="AH712" s="79"/>
      <c r="AI712" s="53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</row>
    <row r="713" spans="1:110" ht="13.8" x14ac:dyDescent="0.25">
      <c r="A713" s="24">
        <v>1405095</v>
      </c>
      <c r="B713" s="10" t="s">
        <v>956</v>
      </c>
      <c r="C713" s="16" t="s">
        <v>1152</v>
      </c>
      <c r="D713" s="10" t="s">
        <v>1141</v>
      </c>
      <c r="E713" s="10" t="s">
        <v>1043</v>
      </c>
      <c r="F713" s="10" t="s">
        <v>557</v>
      </c>
      <c r="G713" s="55" t="str">
        <f t="shared" si="17"/>
        <v>Obsolete</v>
      </c>
      <c r="H713" s="10"/>
      <c r="I713" s="13"/>
      <c r="J713" s="56"/>
      <c r="K713" s="57"/>
      <c r="M713" s="10">
        <v>9.8000000000000004E-2</v>
      </c>
      <c r="N713" s="10"/>
      <c r="O713" s="29"/>
      <c r="P713" s="29"/>
      <c r="Q713" s="29"/>
      <c r="R713" s="29"/>
      <c r="S713" s="29"/>
      <c r="T713" s="72"/>
      <c r="U713" s="97" t="s">
        <v>54</v>
      </c>
      <c r="V713" s="97"/>
      <c r="W713" s="97" t="s">
        <v>54</v>
      </c>
      <c r="X713" s="97"/>
      <c r="Y713" s="97"/>
      <c r="Z713" s="87"/>
      <c r="AA713" s="79" t="s">
        <v>64</v>
      </c>
      <c r="AB713" s="79" t="s">
        <v>37</v>
      </c>
      <c r="AC713" s="79" t="s">
        <v>37</v>
      </c>
      <c r="AD713" s="79"/>
      <c r="AE713" s="79" t="s">
        <v>1044</v>
      </c>
      <c r="AF713" s="79" t="s">
        <v>1045</v>
      </c>
      <c r="AG713" s="79" t="s">
        <v>1046</v>
      </c>
      <c r="AH713" s="79"/>
      <c r="AI713" s="53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</row>
    <row r="714" spans="1:110" ht="13.8" x14ac:dyDescent="0.25">
      <c r="A714" s="24">
        <v>1405096</v>
      </c>
      <c r="B714" s="10" t="s">
        <v>956</v>
      </c>
      <c r="C714" s="16" t="s">
        <v>1153</v>
      </c>
      <c r="D714" s="10" t="s">
        <v>1141</v>
      </c>
      <c r="E714" s="10" t="s">
        <v>1043</v>
      </c>
      <c r="F714" s="10" t="s">
        <v>557</v>
      </c>
      <c r="G714" s="55" t="str">
        <f t="shared" si="17"/>
        <v>Obsolete</v>
      </c>
      <c r="H714" s="10"/>
      <c r="I714" s="13"/>
      <c r="J714" s="56"/>
      <c r="K714" s="57"/>
      <c r="M714" s="10">
        <v>9.8000000000000004E-2</v>
      </c>
      <c r="N714" s="10"/>
      <c r="O714" s="29"/>
      <c r="P714" s="29"/>
      <c r="Q714" s="29"/>
      <c r="R714" s="29"/>
      <c r="S714" s="29"/>
      <c r="T714" s="72"/>
      <c r="U714" s="97" t="s">
        <v>54</v>
      </c>
      <c r="V714" s="97"/>
      <c r="W714" s="97" t="s">
        <v>54</v>
      </c>
      <c r="X714" s="97"/>
      <c r="Y714" s="97"/>
      <c r="Z714" s="87"/>
      <c r="AA714" s="79" t="s">
        <v>64</v>
      </c>
      <c r="AB714" s="79" t="s">
        <v>37</v>
      </c>
      <c r="AC714" s="79" t="s">
        <v>37</v>
      </c>
      <c r="AD714" s="79"/>
      <c r="AE714" s="79" t="s">
        <v>1044</v>
      </c>
      <c r="AF714" s="79" t="s">
        <v>1045</v>
      </c>
      <c r="AG714" s="79" t="s">
        <v>1046</v>
      </c>
      <c r="AH714" s="79"/>
      <c r="AI714" s="53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</row>
    <row r="715" spans="1:110" ht="13.8" x14ac:dyDescent="0.25">
      <c r="A715" s="24">
        <v>1405097</v>
      </c>
      <c r="B715" s="10" t="s">
        <v>956</v>
      </c>
      <c r="C715" s="16" t="s">
        <v>1154</v>
      </c>
      <c r="D715" s="10" t="s">
        <v>1141</v>
      </c>
      <c r="E715" s="10" t="s">
        <v>1043</v>
      </c>
      <c r="F715" s="10" t="s">
        <v>557</v>
      </c>
      <c r="G715" s="55" t="str">
        <f t="shared" si="17"/>
        <v>Obsolete</v>
      </c>
      <c r="H715" s="10"/>
      <c r="I715" s="13"/>
      <c r="J715" s="56"/>
      <c r="K715" s="57"/>
      <c r="M715" s="10">
        <v>9.8000000000000004E-2</v>
      </c>
      <c r="N715" s="10"/>
      <c r="O715" s="29"/>
      <c r="P715" s="29"/>
      <c r="Q715" s="29"/>
      <c r="R715" s="29"/>
      <c r="S715" s="29"/>
      <c r="T715" s="72"/>
      <c r="U715" s="97" t="s">
        <v>54</v>
      </c>
      <c r="V715" s="97"/>
      <c r="W715" s="97" t="s">
        <v>54</v>
      </c>
      <c r="X715" s="97"/>
      <c r="Y715" s="97"/>
      <c r="Z715" s="87"/>
      <c r="AA715" s="79" t="s">
        <v>64</v>
      </c>
      <c r="AB715" s="79" t="s">
        <v>37</v>
      </c>
      <c r="AC715" s="79" t="s">
        <v>37</v>
      </c>
      <c r="AD715" s="79"/>
      <c r="AE715" s="79" t="s">
        <v>1044</v>
      </c>
      <c r="AF715" s="79" t="s">
        <v>1045</v>
      </c>
      <c r="AG715" s="79" t="s">
        <v>1046</v>
      </c>
      <c r="AH715" s="79"/>
      <c r="AI715" s="53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</row>
    <row r="716" spans="1:110" ht="13.8" x14ac:dyDescent="0.25">
      <c r="A716" s="24">
        <v>1405098</v>
      </c>
      <c r="B716" s="10" t="s">
        <v>956</v>
      </c>
      <c r="C716" s="16" t="s">
        <v>1155</v>
      </c>
      <c r="D716" s="10" t="s">
        <v>1156</v>
      </c>
      <c r="E716" s="10" t="s">
        <v>1043</v>
      </c>
      <c r="F716" s="10" t="s">
        <v>557</v>
      </c>
      <c r="G716" s="55" t="str">
        <f t="shared" si="17"/>
        <v>Obsolete</v>
      </c>
      <c r="H716" s="10"/>
      <c r="I716" s="13"/>
      <c r="J716" s="56"/>
      <c r="K716" s="57"/>
      <c r="M716" s="10"/>
      <c r="N716" s="10"/>
      <c r="O716" s="29"/>
      <c r="P716" s="29"/>
      <c r="Q716" s="29"/>
      <c r="R716" s="29"/>
      <c r="S716" s="29"/>
      <c r="T716" s="72"/>
      <c r="U716" s="97" t="s">
        <v>54</v>
      </c>
      <c r="V716" s="97"/>
      <c r="W716" s="97" t="s">
        <v>54</v>
      </c>
      <c r="X716" s="97"/>
      <c r="Y716" s="97"/>
      <c r="Z716" s="87"/>
      <c r="AA716" s="79"/>
      <c r="AB716" s="79" t="s">
        <v>37</v>
      </c>
      <c r="AC716" s="79" t="s">
        <v>37</v>
      </c>
      <c r="AD716" s="79"/>
      <c r="AE716" s="79" t="s">
        <v>1044</v>
      </c>
      <c r="AF716" s="79" t="s">
        <v>1045</v>
      </c>
      <c r="AG716" s="79" t="s">
        <v>1046</v>
      </c>
      <c r="AH716" s="79"/>
      <c r="AI716" s="53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</row>
    <row r="717" spans="1:110" ht="13.8" x14ac:dyDescent="0.25">
      <c r="A717" s="24">
        <v>1405099</v>
      </c>
      <c r="B717" s="10" t="s">
        <v>956</v>
      </c>
      <c r="C717" s="38" t="s">
        <v>1157</v>
      </c>
      <c r="D717" s="10" t="s">
        <v>1156</v>
      </c>
      <c r="E717" s="10" t="s">
        <v>1043</v>
      </c>
      <c r="F717" s="10" t="s">
        <v>557</v>
      </c>
      <c r="G717" s="55" t="str">
        <f t="shared" si="17"/>
        <v>Obsolete</v>
      </c>
      <c r="H717" s="10"/>
      <c r="I717" s="13"/>
      <c r="J717" s="56"/>
      <c r="K717" s="57"/>
      <c r="M717" s="10"/>
      <c r="N717" s="10"/>
      <c r="O717" s="29"/>
      <c r="P717" s="29"/>
      <c r="Q717" s="29"/>
      <c r="R717" s="29"/>
      <c r="S717" s="29"/>
      <c r="T717" s="72"/>
      <c r="U717" s="97" t="s">
        <v>54</v>
      </c>
      <c r="V717" s="97"/>
      <c r="W717" s="97" t="s">
        <v>54</v>
      </c>
      <c r="X717" s="97"/>
      <c r="Y717" s="97"/>
      <c r="Z717" s="87"/>
      <c r="AA717" s="79"/>
      <c r="AB717" s="79" t="s">
        <v>37</v>
      </c>
      <c r="AC717" s="79" t="s">
        <v>37</v>
      </c>
      <c r="AD717" s="79"/>
      <c r="AE717" s="79" t="s">
        <v>1044</v>
      </c>
      <c r="AF717" s="79" t="s">
        <v>1045</v>
      </c>
      <c r="AG717" s="79" t="s">
        <v>1046</v>
      </c>
      <c r="AH717" s="79"/>
      <c r="AI717" s="53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</row>
    <row r="718" spans="1:110" ht="13.8" x14ac:dyDescent="0.25">
      <c r="A718" s="24">
        <v>1405100</v>
      </c>
      <c r="B718" s="10" t="s">
        <v>956</v>
      </c>
      <c r="C718" s="16" t="s">
        <v>1158</v>
      </c>
      <c r="D718" s="10">
        <v>1</v>
      </c>
      <c r="E718" s="10" t="s">
        <v>1043</v>
      </c>
      <c r="F718" s="10" t="s">
        <v>557</v>
      </c>
      <c r="G718" s="55" t="str">
        <f t="shared" si="17"/>
        <v>Obsolete</v>
      </c>
      <c r="H718" s="10">
        <v>12</v>
      </c>
      <c r="I718" s="13">
        <v>1100</v>
      </c>
      <c r="J718" s="56"/>
      <c r="K718" s="57"/>
      <c r="M718" s="10">
        <v>0.65300000000000002</v>
      </c>
      <c r="N718" s="10"/>
      <c r="O718" s="29"/>
      <c r="P718" s="29"/>
      <c r="Q718" s="29"/>
      <c r="R718" s="29"/>
      <c r="S718" s="29"/>
      <c r="T718" s="72"/>
      <c r="U718" s="97" t="s">
        <v>54</v>
      </c>
      <c r="V718" s="97"/>
      <c r="W718" s="97" t="s">
        <v>54</v>
      </c>
      <c r="X718" s="97"/>
      <c r="Y718" s="97"/>
      <c r="Z718" s="87"/>
      <c r="AA718" s="79"/>
      <c r="AB718" s="79" t="s">
        <v>37</v>
      </c>
      <c r="AC718" s="79" t="s">
        <v>37</v>
      </c>
      <c r="AD718" s="79"/>
      <c r="AE718" s="79" t="s">
        <v>1044</v>
      </c>
      <c r="AF718" s="79" t="s">
        <v>1045</v>
      </c>
      <c r="AG718" s="79" t="s">
        <v>1046</v>
      </c>
      <c r="AH718" s="79"/>
      <c r="AI718" s="53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</row>
    <row r="719" spans="1:110" ht="13.8" x14ac:dyDescent="0.25">
      <c r="A719" s="24">
        <v>1405101</v>
      </c>
      <c r="B719" s="10" t="s">
        <v>956</v>
      </c>
      <c r="C719" s="16" t="s">
        <v>1159</v>
      </c>
      <c r="D719" s="10">
        <v>1</v>
      </c>
      <c r="E719" s="10" t="s">
        <v>1043</v>
      </c>
      <c r="F719" s="10" t="s">
        <v>557</v>
      </c>
      <c r="G719" s="55" t="str">
        <f t="shared" si="17"/>
        <v>Obsolete</v>
      </c>
      <c r="H719" s="10">
        <v>12</v>
      </c>
      <c r="I719" s="13">
        <v>1100</v>
      </c>
      <c r="J719" s="56"/>
      <c r="K719" s="57"/>
      <c r="M719" s="10">
        <v>0.73299999999999998</v>
      </c>
      <c r="N719" s="10"/>
      <c r="O719" s="29"/>
      <c r="P719" s="29"/>
      <c r="Q719" s="29"/>
      <c r="R719" s="29"/>
      <c r="S719" s="29"/>
      <c r="T719" s="72"/>
      <c r="U719" s="97" t="s">
        <v>54</v>
      </c>
      <c r="V719" s="97"/>
      <c r="W719" s="97" t="s">
        <v>54</v>
      </c>
      <c r="X719" s="97"/>
      <c r="Y719" s="97"/>
      <c r="Z719" s="87"/>
      <c r="AA719" s="79"/>
      <c r="AB719" s="79" t="s">
        <v>37</v>
      </c>
      <c r="AC719" s="79" t="s">
        <v>37</v>
      </c>
      <c r="AD719" s="79"/>
      <c r="AE719" s="79" t="s">
        <v>1044</v>
      </c>
      <c r="AF719" s="79" t="s">
        <v>1045</v>
      </c>
      <c r="AG719" s="79" t="s">
        <v>1046</v>
      </c>
      <c r="AH719" s="79"/>
      <c r="AI719" s="53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</row>
    <row r="720" spans="1:110" ht="13.8" x14ac:dyDescent="0.25">
      <c r="A720" s="24">
        <v>1405102</v>
      </c>
      <c r="B720" s="10" t="s">
        <v>956</v>
      </c>
      <c r="C720" s="16" t="s">
        <v>1160</v>
      </c>
      <c r="D720" s="10" t="s">
        <v>1161</v>
      </c>
      <c r="E720" s="10" t="s">
        <v>1075</v>
      </c>
      <c r="F720" s="10" t="s">
        <v>557</v>
      </c>
      <c r="G720" s="55" t="str">
        <f t="shared" si="17"/>
        <v>Obsolete</v>
      </c>
      <c r="H720" s="10"/>
      <c r="I720" s="13" t="s">
        <v>1162</v>
      </c>
      <c r="J720" s="56"/>
      <c r="K720" s="57"/>
      <c r="M720" s="10" t="s">
        <v>1163</v>
      </c>
      <c r="N720" s="10"/>
      <c r="O720" s="29"/>
      <c r="P720" s="29"/>
      <c r="Q720" s="29"/>
      <c r="R720" s="29"/>
      <c r="S720" s="29"/>
      <c r="T720" s="72"/>
      <c r="U720" s="97" t="s">
        <v>54</v>
      </c>
      <c r="V720" s="97"/>
      <c r="W720" s="97" t="s">
        <v>54</v>
      </c>
      <c r="X720" s="97"/>
      <c r="Y720" s="97"/>
      <c r="Z720" s="87"/>
      <c r="AA720" s="79" t="s">
        <v>1075</v>
      </c>
      <c r="AB720" s="79" t="s">
        <v>37</v>
      </c>
      <c r="AC720" s="79" t="s">
        <v>37</v>
      </c>
      <c r="AD720" s="79"/>
      <c r="AE720" s="79"/>
      <c r="AF720" s="79"/>
      <c r="AG720" s="79"/>
      <c r="AH720" s="79"/>
      <c r="AI720" s="53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</row>
    <row r="721" spans="1:110" ht="13.8" x14ac:dyDescent="0.25">
      <c r="A721" s="24">
        <v>1405103</v>
      </c>
      <c r="B721" s="10" t="s">
        <v>956</v>
      </c>
      <c r="C721" s="16" t="s">
        <v>1164</v>
      </c>
      <c r="D721" s="10" t="s">
        <v>1075</v>
      </c>
      <c r="E721" s="10" t="s">
        <v>1075</v>
      </c>
      <c r="F721" s="10" t="s">
        <v>557</v>
      </c>
      <c r="G721" s="55" t="str">
        <f t="shared" si="17"/>
        <v>Obsolete</v>
      </c>
      <c r="H721" s="10"/>
      <c r="I721" s="13" t="s">
        <v>1162</v>
      </c>
      <c r="J721" s="56"/>
      <c r="K721" s="57"/>
      <c r="M721" s="10" t="s">
        <v>1163</v>
      </c>
      <c r="N721" s="10"/>
      <c r="O721" s="29"/>
      <c r="P721" s="29"/>
      <c r="Q721" s="29"/>
      <c r="R721" s="29"/>
      <c r="S721" s="29"/>
      <c r="T721" s="72"/>
      <c r="U721" s="97" t="s">
        <v>54</v>
      </c>
      <c r="V721" s="97"/>
      <c r="W721" s="97" t="s">
        <v>54</v>
      </c>
      <c r="X721" s="97"/>
      <c r="Y721" s="97"/>
      <c r="Z721" s="87"/>
      <c r="AA721" s="79"/>
      <c r="AB721" s="79" t="s">
        <v>37</v>
      </c>
      <c r="AC721" s="79" t="s">
        <v>37</v>
      </c>
      <c r="AD721" s="79"/>
      <c r="AE721" s="79"/>
      <c r="AF721" s="79"/>
      <c r="AG721" s="79"/>
      <c r="AH721" s="79"/>
      <c r="AI721" s="53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</row>
    <row r="722" spans="1:110" ht="13.8" x14ac:dyDescent="0.25">
      <c r="A722" s="24">
        <v>1406001</v>
      </c>
      <c r="B722" s="26" t="s">
        <v>956</v>
      </c>
      <c r="C722" s="25" t="s">
        <v>1165</v>
      </c>
      <c r="D722" s="10"/>
      <c r="E722" s="10" t="s">
        <v>1166</v>
      </c>
      <c r="F722" s="10" t="s">
        <v>557</v>
      </c>
      <c r="G722" s="55">
        <f t="shared" si="17"/>
        <v>0.39745000000000003</v>
      </c>
      <c r="H722" s="10">
        <v>24</v>
      </c>
      <c r="I722" s="13">
        <v>4000</v>
      </c>
      <c r="J722" s="56"/>
      <c r="K722" s="57"/>
      <c r="M722" s="14"/>
      <c r="N722" s="14"/>
      <c r="O722" s="14"/>
      <c r="P722" s="14"/>
      <c r="Q722" s="14"/>
      <c r="R722" s="14"/>
      <c r="S722" s="14"/>
      <c r="T722" s="70"/>
      <c r="U722" s="76">
        <v>0.36080000000000001</v>
      </c>
      <c r="V722" s="76">
        <v>3.6650000000000002E-2</v>
      </c>
      <c r="W722" s="76">
        <v>0.36080000000000001</v>
      </c>
      <c r="X722" s="76">
        <v>3.6650000000000002E-2</v>
      </c>
      <c r="Y722" s="77" t="s">
        <v>37</v>
      </c>
      <c r="Z722" s="98">
        <v>4000</v>
      </c>
      <c r="AA722" s="79" t="s">
        <v>36</v>
      </c>
      <c r="AB722" s="79" t="s">
        <v>35</v>
      </c>
      <c r="AC722" s="79" t="s">
        <v>37</v>
      </c>
      <c r="AD722" s="79" t="s">
        <v>38</v>
      </c>
      <c r="AE722" s="79" t="s">
        <v>1167</v>
      </c>
      <c r="AF722" s="79" t="s">
        <v>1168</v>
      </c>
      <c r="AG722" s="79" t="s">
        <v>1169</v>
      </c>
      <c r="AH722" s="79"/>
      <c r="AI722" s="53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</row>
    <row r="723" spans="1:110" ht="13.8" x14ac:dyDescent="0.25">
      <c r="A723" s="24">
        <v>1406005</v>
      </c>
      <c r="B723" s="26" t="s">
        <v>956</v>
      </c>
      <c r="C723" s="25" t="s">
        <v>1170</v>
      </c>
      <c r="D723" s="10"/>
      <c r="E723" s="17" t="s">
        <v>57</v>
      </c>
      <c r="F723" s="10" t="s">
        <v>557</v>
      </c>
      <c r="G723" s="55" t="str">
        <f t="shared" si="17"/>
        <v>Obsolete</v>
      </c>
      <c r="H723" s="10"/>
      <c r="I723" s="13"/>
      <c r="J723" s="56"/>
      <c r="K723" s="57"/>
      <c r="M723" s="10"/>
      <c r="N723" s="10"/>
      <c r="O723" s="29"/>
      <c r="P723" s="29"/>
      <c r="Q723" s="29"/>
      <c r="R723" s="29"/>
      <c r="S723" s="29"/>
      <c r="T723" s="72"/>
      <c r="U723" s="97" t="s">
        <v>54</v>
      </c>
      <c r="V723" s="97"/>
      <c r="W723" s="97" t="s">
        <v>54</v>
      </c>
      <c r="X723" s="97"/>
      <c r="Y723" s="97"/>
      <c r="Z723" s="87"/>
      <c r="AA723" s="79"/>
      <c r="AB723" s="79" t="s">
        <v>37</v>
      </c>
      <c r="AC723" s="79" t="s">
        <v>37</v>
      </c>
      <c r="AD723" s="79"/>
      <c r="AE723" s="79"/>
      <c r="AF723" s="79"/>
      <c r="AG723" s="79"/>
      <c r="AH723" s="79"/>
      <c r="AI723" s="53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</row>
    <row r="724" spans="1:110" ht="20.399999999999999" x14ac:dyDescent="0.25">
      <c r="A724" s="24">
        <v>1407001</v>
      </c>
      <c r="B724" s="26" t="s">
        <v>934</v>
      </c>
      <c r="C724" s="25" t="s">
        <v>1171</v>
      </c>
      <c r="D724" s="26" t="s">
        <v>1172</v>
      </c>
      <c r="E724" s="10" t="s">
        <v>1173</v>
      </c>
      <c r="F724" s="10" t="s">
        <v>557</v>
      </c>
      <c r="G724" s="55" t="str">
        <f t="shared" si="17"/>
        <v>Obsolete</v>
      </c>
      <c r="H724" s="10"/>
      <c r="I724" s="13"/>
      <c r="J724" s="56"/>
      <c r="K724" s="57"/>
      <c r="M724" s="10">
        <v>0.62921000000000005</v>
      </c>
      <c r="N724" s="10"/>
      <c r="O724" s="29"/>
      <c r="P724" s="29"/>
      <c r="Q724" s="29"/>
      <c r="R724" s="29"/>
      <c r="S724" s="29"/>
      <c r="T724" s="72"/>
      <c r="U724" s="97" t="s">
        <v>54</v>
      </c>
      <c r="V724" s="97"/>
      <c r="W724" s="97" t="s">
        <v>54</v>
      </c>
      <c r="X724" s="97"/>
      <c r="Y724" s="97"/>
      <c r="Z724" s="87"/>
      <c r="AA724" s="79" t="s">
        <v>64</v>
      </c>
      <c r="AB724" s="79" t="s">
        <v>37</v>
      </c>
      <c r="AC724" s="79" t="s">
        <v>37</v>
      </c>
      <c r="AD724" s="79"/>
      <c r="AE724" s="79" t="s">
        <v>1174</v>
      </c>
      <c r="AF724" s="79" t="s">
        <v>1175</v>
      </c>
      <c r="AG724" s="79" t="s">
        <v>1176</v>
      </c>
      <c r="AH724" s="79"/>
      <c r="AI724" s="53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</row>
    <row r="725" spans="1:110" ht="13.8" x14ac:dyDescent="0.25">
      <c r="A725" s="24">
        <v>1407002</v>
      </c>
      <c r="B725" s="26" t="s">
        <v>934</v>
      </c>
      <c r="C725" s="25" t="s">
        <v>1177</v>
      </c>
      <c r="D725" s="26" t="s">
        <v>1061</v>
      </c>
      <c r="E725" s="10" t="s">
        <v>1178</v>
      </c>
      <c r="F725" s="10" t="s">
        <v>557</v>
      </c>
      <c r="G725" s="55" t="str">
        <f t="shared" si="17"/>
        <v>Obsolete</v>
      </c>
      <c r="H725" s="10"/>
      <c r="I725" s="13">
        <v>20000</v>
      </c>
      <c r="J725" s="56"/>
      <c r="K725" s="57"/>
      <c r="M725" s="10">
        <v>0.12436999999999999</v>
      </c>
      <c r="N725" s="10"/>
      <c r="O725" s="29"/>
      <c r="P725" s="29"/>
      <c r="Q725" s="29"/>
      <c r="R725" s="29"/>
      <c r="S725" s="29"/>
      <c r="T725" s="72"/>
      <c r="U725" s="97" t="s">
        <v>54</v>
      </c>
      <c r="V725" s="97"/>
      <c r="W725" s="97" t="s">
        <v>54</v>
      </c>
      <c r="X725" s="97"/>
      <c r="Y725" s="97"/>
      <c r="Z725" s="87"/>
      <c r="AA725" s="79" t="s">
        <v>64</v>
      </c>
      <c r="AB725" s="79" t="s">
        <v>37</v>
      </c>
      <c r="AC725" s="79" t="s">
        <v>37</v>
      </c>
      <c r="AD725" s="79"/>
      <c r="AE725" s="79"/>
      <c r="AF725" s="79"/>
      <c r="AG725" s="79"/>
      <c r="AH725" s="79"/>
      <c r="AI725" s="53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</row>
    <row r="726" spans="1:110" ht="13.8" x14ac:dyDescent="0.25">
      <c r="A726" s="24">
        <v>1407003</v>
      </c>
      <c r="B726" s="26" t="s">
        <v>934</v>
      </c>
      <c r="C726" s="25" t="s">
        <v>1179</v>
      </c>
      <c r="D726" s="26" t="s">
        <v>1180</v>
      </c>
      <c r="E726" s="10" t="s">
        <v>1075</v>
      </c>
      <c r="F726" s="10" t="s">
        <v>557</v>
      </c>
      <c r="G726" s="55" t="str">
        <f t="shared" si="17"/>
        <v>Obsolete</v>
      </c>
      <c r="H726" s="10"/>
      <c r="I726" s="13"/>
      <c r="J726" s="56"/>
      <c r="K726" s="57"/>
      <c r="M726" s="10"/>
      <c r="N726" s="10"/>
      <c r="O726" s="29"/>
      <c r="P726" s="29"/>
      <c r="Q726" s="29"/>
      <c r="R726" s="29"/>
      <c r="S726" s="29"/>
      <c r="T726" s="72"/>
      <c r="U726" s="97" t="s">
        <v>54</v>
      </c>
      <c r="V726" s="97"/>
      <c r="W726" s="97" t="s">
        <v>54</v>
      </c>
      <c r="X726" s="97"/>
      <c r="Y726" s="97"/>
      <c r="Z726" s="87"/>
      <c r="AA726" s="79" t="s">
        <v>64</v>
      </c>
      <c r="AB726" s="79" t="s">
        <v>37</v>
      </c>
      <c r="AC726" s="79" t="s">
        <v>37</v>
      </c>
      <c r="AD726" s="79"/>
      <c r="AE726" s="79" t="s">
        <v>1076</v>
      </c>
      <c r="AF726" s="79" t="s">
        <v>1077</v>
      </c>
      <c r="AG726" s="79" t="s">
        <v>1078</v>
      </c>
      <c r="AH726" s="79"/>
      <c r="AI726" s="53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</row>
    <row r="727" spans="1:110" ht="13.8" x14ac:dyDescent="0.25">
      <c r="A727" s="24">
        <v>1407004</v>
      </c>
      <c r="B727" s="26" t="s">
        <v>934</v>
      </c>
      <c r="C727" s="25" t="s">
        <v>1181</v>
      </c>
      <c r="D727" s="26" t="s">
        <v>1087</v>
      </c>
      <c r="E727" s="17" t="s">
        <v>57</v>
      </c>
      <c r="F727" s="10" t="s">
        <v>557</v>
      </c>
      <c r="G727" s="55" t="str">
        <f t="shared" si="17"/>
        <v>Obsolete</v>
      </c>
      <c r="H727" s="10"/>
      <c r="I727" s="13"/>
      <c r="J727" s="56"/>
      <c r="K727" s="57"/>
      <c r="M727" s="10"/>
      <c r="N727" s="10"/>
      <c r="O727" s="29"/>
      <c r="P727" s="29"/>
      <c r="Q727" s="29"/>
      <c r="R727" s="29"/>
      <c r="S727" s="29"/>
      <c r="T727" s="72"/>
      <c r="U727" s="97" t="s">
        <v>54</v>
      </c>
      <c r="V727" s="97"/>
      <c r="W727" s="97" t="s">
        <v>54</v>
      </c>
      <c r="X727" s="97"/>
      <c r="Y727" s="97"/>
      <c r="Z727" s="87"/>
      <c r="AA727" s="79" t="s">
        <v>64</v>
      </c>
      <c r="AB727" s="79" t="s">
        <v>37</v>
      </c>
      <c r="AC727" s="79" t="s">
        <v>37</v>
      </c>
      <c r="AD727" s="79"/>
      <c r="AE727" s="79"/>
      <c r="AF727" s="79"/>
      <c r="AG727" s="79"/>
      <c r="AH727" s="79"/>
      <c r="AI727" s="53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</row>
    <row r="728" spans="1:110" ht="13.8" x14ac:dyDescent="0.25">
      <c r="A728" s="24">
        <v>1407005</v>
      </c>
      <c r="B728" s="26" t="s">
        <v>934</v>
      </c>
      <c r="C728" s="25" t="s">
        <v>1182</v>
      </c>
      <c r="D728" s="26" t="s">
        <v>1087</v>
      </c>
      <c r="E728" s="17" t="s">
        <v>57</v>
      </c>
      <c r="F728" s="10" t="s">
        <v>557</v>
      </c>
      <c r="G728" s="55" t="str">
        <f t="shared" si="17"/>
        <v>Obsolete</v>
      </c>
      <c r="H728" s="10"/>
      <c r="I728" s="13"/>
      <c r="J728" s="56"/>
      <c r="K728" s="57"/>
      <c r="M728" s="10"/>
      <c r="N728" s="10"/>
      <c r="O728" s="29"/>
      <c r="P728" s="29"/>
      <c r="Q728" s="29"/>
      <c r="R728" s="29"/>
      <c r="S728" s="29"/>
      <c r="T728" s="72"/>
      <c r="U728" s="97" t="s">
        <v>54</v>
      </c>
      <c r="V728" s="97"/>
      <c r="W728" s="97" t="s">
        <v>54</v>
      </c>
      <c r="X728" s="97"/>
      <c r="Y728" s="97"/>
      <c r="Z728" s="87"/>
      <c r="AA728" s="79"/>
      <c r="AB728" s="79" t="s">
        <v>37</v>
      </c>
      <c r="AC728" s="79" t="s">
        <v>37</v>
      </c>
      <c r="AD728" s="79"/>
      <c r="AE728" s="79"/>
      <c r="AF728" s="79"/>
      <c r="AG728" s="79"/>
      <c r="AH728" s="79"/>
      <c r="AI728" s="53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</row>
    <row r="729" spans="1:110" ht="13.8" x14ac:dyDescent="0.25">
      <c r="A729" s="24">
        <v>1407007</v>
      </c>
      <c r="B729" s="10" t="s">
        <v>934</v>
      </c>
      <c r="C729" s="16" t="s">
        <v>1183</v>
      </c>
      <c r="D729" s="26" t="s">
        <v>776</v>
      </c>
      <c r="E729" s="10" t="s">
        <v>1173</v>
      </c>
      <c r="F729" s="10" t="s">
        <v>557</v>
      </c>
      <c r="G729" s="55" t="str">
        <f t="shared" si="17"/>
        <v>Obsolete</v>
      </c>
      <c r="H729" s="10"/>
      <c r="I729" s="13"/>
      <c r="J729" s="56"/>
      <c r="K729" s="57"/>
      <c r="M729" s="10">
        <v>0.6</v>
      </c>
      <c r="N729" s="10"/>
      <c r="O729" s="29"/>
      <c r="P729" s="29"/>
      <c r="Q729" s="29"/>
      <c r="R729" s="29"/>
      <c r="S729" s="29"/>
      <c r="T729" s="72"/>
      <c r="U729" s="97" t="s">
        <v>54</v>
      </c>
      <c r="V729" s="97"/>
      <c r="W729" s="97" t="s">
        <v>54</v>
      </c>
      <c r="X729" s="97"/>
      <c r="Y729" s="97"/>
      <c r="Z729" s="87"/>
      <c r="AA729" s="79" t="s">
        <v>64</v>
      </c>
      <c r="AB729" s="79" t="s">
        <v>37</v>
      </c>
      <c r="AC729" s="79" t="s">
        <v>37</v>
      </c>
      <c r="AD729" s="79"/>
      <c r="AE729" s="79" t="s">
        <v>1174</v>
      </c>
      <c r="AF729" s="79" t="s">
        <v>1175</v>
      </c>
      <c r="AG729" s="79" t="s">
        <v>1176</v>
      </c>
      <c r="AH729" s="79"/>
      <c r="AI729" s="53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</row>
    <row r="730" spans="1:110" ht="13.8" x14ac:dyDescent="0.25">
      <c r="A730" s="24">
        <v>1407008</v>
      </c>
      <c r="B730" s="10" t="s">
        <v>934</v>
      </c>
      <c r="C730" s="16" t="s">
        <v>1184</v>
      </c>
      <c r="D730" s="26"/>
      <c r="E730" s="10" t="s">
        <v>1185</v>
      </c>
      <c r="F730" s="10" t="s">
        <v>557</v>
      </c>
      <c r="G730" s="55" t="str">
        <f t="shared" si="17"/>
        <v>Obsolete</v>
      </c>
      <c r="H730" s="10"/>
      <c r="I730" s="13">
        <v>1000</v>
      </c>
      <c r="J730" s="56"/>
      <c r="K730" s="57"/>
      <c r="M730" s="21">
        <v>0.47499999999999998</v>
      </c>
      <c r="N730" s="10"/>
      <c r="O730" s="21"/>
      <c r="P730" s="29"/>
      <c r="Q730" s="29"/>
      <c r="R730" s="29"/>
      <c r="S730" s="29"/>
      <c r="T730" s="72"/>
      <c r="U730" s="97" t="s">
        <v>54</v>
      </c>
      <c r="V730" s="97"/>
      <c r="W730" s="97" t="s">
        <v>54</v>
      </c>
      <c r="X730" s="97"/>
      <c r="Y730" s="97"/>
      <c r="Z730" s="87"/>
      <c r="AA730" s="79"/>
      <c r="AB730" s="79" t="s">
        <v>37</v>
      </c>
      <c r="AC730" s="79" t="s">
        <v>37</v>
      </c>
      <c r="AD730" s="79"/>
      <c r="AE730" s="79" t="s">
        <v>1186</v>
      </c>
      <c r="AF730" s="79" t="s">
        <v>1187</v>
      </c>
      <c r="AG730" s="79" t="s">
        <v>1188</v>
      </c>
      <c r="AH730" s="79"/>
      <c r="AI730" s="53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</row>
    <row r="731" spans="1:110" ht="13.8" x14ac:dyDescent="0.25">
      <c r="A731" s="24">
        <v>1407009</v>
      </c>
      <c r="B731" s="10" t="s">
        <v>934</v>
      </c>
      <c r="C731" s="16" t="s">
        <v>1189</v>
      </c>
      <c r="D731" s="26"/>
      <c r="E731" s="10" t="s">
        <v>1173</v>
      </c>
      <c r="F731" s="10" t="s">
        <v>557</v>
      </c>
      <c r="G731" s="55" t="str">
        <f t="shared" si="17"/>
        <v>Obsolete</v>
      </c>
      <c r="H731" s="10"/>
      <c r="I731" s="13"/>
      <c r="J731" s="56"/>
      <c r="K731" s="57"/>
      <c r="M731" s="10"/>
      <c r="N731" s="10"/>
      <c r="O731" s="21"/>
      <c r="P731" s="29"/>
      <c r="Q731" s="29"/>
      <c r="R731" s="29"/>
      <c r="S731" s="29"/>
      <c r="T731" s="72"/>
      <c r="U731" s="97" t="s">
        <v>54</v>
      </c>
      <c r="V731" s="97"/>
      <c r="W731" s="97" t="s">
        <v>54</v>
      </c>
      <c r="X731" s="97"/>
      <c r="Y731" s="97"/>
      <c r="Z731" s="87"/>
      <c r="AA731" s="79" t="s">
        <v>64</v>
      </c>
      <c r="AB731" s="79" t="s">
        <v>37</v>
      </c>
      <c r="AC731" s="79" t="s">
        <v>37</v>
      </c>
      <c r="AD731" s="79"/>
      <c r="AE731" s="79"/>
      <c r="AF731" s="79"/>
      <c r="AG731" s="79"/>
      <c r="AH731" s="79"/>
      <c r="AI731" s="53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</row>
    <row r="732" spans="1:110" ht="13.8" x14ac:dyDescent="0.25">
      <c r="A732" s="24">
        <v>1407010</v>
      </c>
      <c r="B732" s="10" t="s">
        <v>956</v>
      </c>
      <c r="C732" s="16" t="s">
        <v>1190</v>
      </c>
      <c r="D732" s="26" t="s">
        <v>971</v>
      </c>
      <c r="E732" s="10" t="s">
        <v>972</v>
      </c>
      <c r="F732" s="10" t="s">
        <v>557</v>
      </c>
      <c r="G732" s="55">
        <f t="shared" si="17"/>
        <v>0.17175000000000001</v>
      </c>
      <c r="H732" s="10">
        <v>10</v>
      </c>
      <c r="I732" s="13">
        <v>4500</v>
      </c>
      <c r="J732" s="56"/>
      <c r="K732" s="57"/>
      <c r="M732" s="14"/>
      <c r="N732" s="14"/>
      <c r="O732" s="14"/>
      <c r="P732" s="14"/>
      <c r="Q732" s="14"/>
      <c r="R732" s="14"/>
      <c r="S732" s="14"/>
      <c r="T732" s="70"/>
      <c r="U732" s="76">
        <v>0.1351</v>
      </c>
      <c r="V732" s="76">
        <v>3.6650000000000002E-2</v>
      </c>
      <c r="W732" s="76">
        <v>0.1351</v>
      </c>
      <c r="X732" s="76">
        <v>3.6650000000000002E-2</v>
      </c>
      <c r="Y732" s="77" t="s">
        <v>35</v>
      </c>
      <c r="Z732" s="98">
        <v>4500</v>
      </c>
      <c r="AA732" s="79" t="s">
        <v>36</v>
      </c>
      <c r="AB732" s="79" t="s">
        <v>35</v>
      </c>
      <c r="AC732" s="79" t="s">
        <v>37</v>
      </c>
      <c r="AD732" s="79" t="s">
        <v>38</v>
      </c>
      <c r="AE732" s="79" t="s">
        <v>973</v>
      </c>
      <c r="AF732" s="79" t="s">
        <v>974</v>
      </c>
      <c r="AG732" s="79" t="s">
        <v>975</v>
      </c>
      <c r="AH732" s="79"/>
      <c r="AI732" s="53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</row>
    <row r="733" spans="1:110" ht="13.8" x14ac:dyDescent="0.25">
      <c r="A733" s="24">
        <v>1407011</v>
      </c>
      <c r="B733" s="10" t="s">
        <v>956</v>
      </c>
      <c r="C733" s="16" t="s">
        <v>1191</v>
      </c>
      <c r="D733" s="26" t="s">
        <v>971</v>
      </c>
      <c r="E733" s="10" t="s">
        <v>972</v>
      </c>
      <c r="F733" s="10" t="s">
        <v>557</v>
      </c>
      <c r="G733" s="55" t="str">
        <f t="shared" si="17"/>
        <v>Obsolete</v>
      </c>
      <c r="H733" s="10">
        <v>7</v>
      </c>
      <c r="I733" s="13"/>
      <c r="J733" s="56"/>
      <c r="K733" s="57"/>
      <c r="M733" s="10"/>
      <c r="N733" s="10"/>
      <c r="O733" s="21"/>
      <c r="P733" s="29"/>
      <c r="Q733" s="29"/>
      <c r="R733" s="29"/>
      <c r="S733" s="29"/>
      <c r="T733" s="72"/>
      <c r="U733" s="97" t="s">
        <v>54</v>
      </c>
      <c r="V733" s="97"/>
      <c r="W733" s="97" t="s">
        <v>54</v>
      </c>
      <c r="X733" s="97"/>
      <c r="Y733" s="97"/>
      <c r="Z733" s="98"/>
      <c r="AA733" s="79" t="s">
        <v>36</v>
      </c>
      <c r="AB733" s="79" t="s">
        <v>37</v>
      </c>
      <c r="AC733" s="79" t="s">
        <v>37</v>
      </c>
      <c r="AD733" s="79" t="s">
        <v>38</v>
      </c>
      <c r="AE733" s="79" t="s">
        <v>973</v>
      </c>
      <c r="AF733" s="79" t="s">
        <v>974</v>
      </c>
      <c r="AG733" s="79" t="s">
        <v>975</v>
      </c>
      <c r="AH733" s="79"/>
      <c r="AI733" s="53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</row>
    <row r="734" spans="1:110" ht="13.8" x14ac:dyDescent="0.25">
      <c r="A734" s="24">
        <v>1407012</v>
      </c>
      <c r="B734" s="10" t="s">
        <v>956</v>
      </c>
      <c r="C734" s="16" t="s">
        <v>1192</v>
      </c>
      <c r="D734" s="26" t="s">
        <v>971</v>
      </c>
      <c r="E734" s="10" t="s">
        <v>972</v>
      </c>
      <c r="F734" s="10" t="s">
        <v>557</v>
      </c>
      <c r="G734" s="55">
        <f t="shared" si="17"/>
        <v>0.21325</v>
      </c>
      <c r="H734" s="10">
        <v>7</v>
      </c>
      <c r="I734" s="13">
        <v>1000</v>
      </c>
      <c r="J734" s="56"/>
      <c r="K734" s="57"/>
      <c r="M734" s="10"/>
      <c r="N734" s="10"/>
      <c r="O734" s="21"/>
      <c r="P734" s="29"/>
      <c r="Q734" s="29"/>
      <c r="R734" s="29"/>
      <c r="S734" s="29"/>
      <c r="T734" s="72"/>
      <c r="U734" s="84">
        <v>0.17660000000000001</v>
      </c>
      <c r="V734" s="76">
        <v>3.6650000000000002E-2</v>
      </c>
      <c r="W734" s="84">
        <v>0.17660000000000001</v>
      </c>
      <c r="X734" s="84">
        <v>3.6650000000000002E-2</v>
      </c>
      <c r="Y734" s="77" t="s">
        <v>35</v>
      </c>
      <c r="Z734" s="98">
        <v>1000</v>
      </c>
      <c r="AA734" s="79" t="s">
        <v>36</v>
      </c>
      <c r="AB734" s="79" t="s">
        <v>35</v>
      </c>
      <c r="AC734" s="79" t="s">
        <v>37</v>
      </c>
      <c r="AD734" s="79" t="s">
        <v>38</v>
      </c>
      <c r="AE734" s="79" t="s">
        <v>973</v>
      </c>
      <c r="AF734" s="79" t="s">
        <v>974</v>
      </c>
      <c r="AG734" s="79" t="s">
        <v>975</v>
      </c>
      <c r="AH734" s="79"/>
      <c r="AI734" s="53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</row>
    <row r="735" spans="1:110" ht="13.8" x14ac:dyDescent="0.25">
      <c r="A735" s="24">
        <v>1407013</v>
      </c>
      <c r="B735" s="10" t="s">
        <v>934</v>
      </c>
      <c r="C735" s="16" t="s">
        <v>1193</v>
      </c>
      <c r="D735" s="26" t="s">
        <v>971</v>
      </c>
      <c r="E735" s="10" t="s">
        <v>972</v>
      </c>
      <c r="F735" s="10" t="s">
        <v>557</v>
      </c>
      <c r="G735" s="55">
        <f t="shared" si="17"/>
        <v>0.28094999999999998</v>
      </c>
      <c r="H735" s="10">
        <v>10</v>
      </c>
      <c r="I735" s="13">
        <v>10000</v>
      </c>
      <c r="J735" s="56"/>
      <c r="K735" s="57"/>
      <c r="M735" s="14"/>
      <c r="N735" s="14"/>
      <c r="O735" s="14"/>
      <c r="P735" s="14"/>
      <c r="Q735" s="14"/>
      <c r="R735" s="14"/>
      <c r="S735" s="14"/>
      <c r="T735" s="70"/>
      <c r="U735" s="76">
        <v>0.24429999999999999</v>
      </c>
      <c r="V735" s="76">
        <v>3.6650000000000002E-2</v>
      </c>
      <c r="W735" s="76">
        <v>0.24429999999999999</v>
      </c>
      <c r="X735" s="76">
        <v>3.6650000000000002E-2</v>
      </c>
      <c r="Y735" s="77" t="s">
        <v>35</v>
      </c>
      <c r="Z735" s="98">
        <v>10000</v>
      </c>
      <c r="AA735" s="79" t="s">
        <v>36</v>
      </c>
      <c r="AB735" s="79" t="s">
        <v>35</v>
      </c>
      <c r="AC735" s="79" t="s">
        <v>37</v>
      </c>
      <c r="AD735" s="79" t="s">
        <v>38</v>
      </c>
      <c r="AE735" s="79" t="s">
        <v>973</v>
      </c>
      <c r="AF735" s="79" t="s">
        <v>974</v>
      </c>
      <c r="AG735" s="79" t="s">
        <v>975</v>
      </c>
      <c r="AH735" s="79"/>
      <c r="AI735" s="53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</row>
    <row r="736" spans="1:110" ht="13.8" x14ac:dyDescent="0.25">
      <c r="A736" s="24">
        <v>1407014</v>
      </c>
      <c r="B736" s="10" t="s">
        <v>934</v>
      </c>
      <c r="C736" s="16" t="s">
        <v>1194</v>
      </c>
      <c r="D736" s="26" t="s">
        <v>971</v>
      </c>
      <c r="E736" s="10" t="s">
        <v>972</v>
      </c>
      <c r="F736" s="10" t="s">
        <v>557</v>
      </c>
      <c r="G736" s="55">
        <f t="shared" si="17"/>
        <v>0.11835</v>
      </c>
      <c r="H736" s="10">
        <v>4</v>
      </c>
      <c r="I736" s="13">
        <v>5100</v>
      </c>
      <c r="J736" s="56"/>
      <c r="K736" s="57"/>
      <c r="M736" s="14"/>
      <c r="N736" s="14"/>
      <c r="O736" s="14"/>
      <c r="P736" s="14"/>
      <c r="Q736" s="14"/>
      <c r="R736" s="14"/>
      <c r="S736" s="14"/>
      <c r="T736" s="70"/>
      <c r="U736" s="76">
        <v>8.1699999999999995E-2</v>
      </c>
      <c r="V736" s="76">
        <v>3.6650000000000002E-2</v>
      </c>
      <c r="W736" s="76">
        <v>8.1699999999999995E-2</v>
      </c>
      <c r="X736" s="76">
        <v>3.6650000000000002E-2</v>
      </c>
      <c r="Y736" s="77" t="s">
        <v>35</v>
      </c>
      <c r="Z736" s="98">
        <v>5100</v>
      </c>
      <c r="AA736" s="79" t="s">
        <v>36</v>
      </c>
      <c r="AB736" s="79" t="s">
        <v>35</v>
      </c>
      <c r="AC736" s="79" t="s">
        <v>37</v>
      </c>
      <c r="AD736" s="79" t="s">
        <v>38</v>
      </c>
      <c r="AE736" s="79" t="s">
        <v>973</v>
      </c>
      <c r="AF736" s="79" t="s">
        <v>974</v>
      </c>
      <c r="AG736" s="79" t="s">
        <v>975</v>
      </c>
      <c r="AH736" s="79"/>
      <c r="AI736" s="53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</row>
    <row r="737" spans="1:110" ht="13.8" x14ac:dyDescent="0.25">
      <c r="A737" s="24">
        <v>1407015</v>
      </c>
      <c r="B737" s="10" t="s">
        <v>956</v>
      </c>
      <c r="C737" s="16" t="s">
        <v>1195</v>
      </c>
      <c r="D737" s="26"/>
      <c r="E737" s="10" t="s">
        <v>1196</v>
      </c>
      <c r="F737" s="10" t="s">
        <v>557</v>
      </c>
      <c r="G737" s="55" t="str">
        <f t="shared" si="17"/>
        <v>Obsolete</v>
      </c>
      <c r="H737" s="10"/>
      <c r="I737" s="13"/>
      <c r="J737" s="56"/>
      <c r="K737" s="57"/>
      <c r="M737" s="10"/>
      <c r="N737" s="10"/>
      <c r="O737" s="21"/>
      <c r="P737" s="29"/>
      <c r="Q737" s="29"/>
      <c r="R737" s="29"/>
      <c r="S737" s="29"/>
      <c r="T737" s="72"/>
      <c r="U737" s="97" t="s">
        <v>54</v>
      </c>
      <c r="V737" s="97"/>
      <c r="W737" s="97" t="s">
        <v>54</v>
      </c>
      <c r="X737" s="97"/>
      <c r="Y737" s="77" t="s">
        <v>35</v>
      </c>
      <c r="Z737" s="87"/>
      <c r="AA737" s="79" t="s">
        <v>36</v>
      </c>
      <c r="AB737" s="79" t="s">
        <v>37</v>
      </c>
      <c r="AC737" s="79" t="s">
        <v>37</v>
      </c>
      <c r="AD737" s="79" t="s">
        <v>38</v>
      </c>
      <c r="AE737" s="79" t="s">
        <v>973</v>
      </c>
      <c r="AF737" s="79" t="s">
        <v>974</v>
      </c>
      <c r="AG737" s="79" t="s">
        <v>975</v>
      </c>
      <c r="AH737" s="79"/>
      <c r="AI737" s="53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</row>
    <row r="738" spans="1:110" ht="13.8" x14ac:dyDescent="0.25">
      <c r="A738" s="24">
        <v>1407016</v>
      </c>
      <c r="B738" s="10" t="s">
        <v>934</v>
      </c>
      <c r="C738" s="16" t="s">
        <v>1197</v>
      </c>
      <c r="D738" s="26" t="s">
        <v>971</v>
      </c>
      <c r="E738" s="10" t="s">
        <v>1198</v>
      </c>
      <c r="F738" s="10" t="s">
        <v>557</v>
      </c>
      <c r="G738" s="55">
        <f t="shared" si="17"/>
        <v>0</v>
      </c>
      <c r="H738" s="10"/>
      <c r="I738" s="13"/>
      <c r="J738" s="56"/>
      <c r="K738" s="57"/>
      <c r="M738" s="10"/>
      <c r="N738" s="10"/>
      <c r="O738" s="21"/>
      <c r="P738" s="29"/>
      <c r="Q738" s="29"/>
      <c r="R738" s="29"/>
      <c r="S738" s="29"/>
      <c r="T738" s="72"/>
      <c r="U738" s="97">
        <v>0</v>
      </c>
      <c r="V738" s="97">
        <v>0</v>
      </c>
      <c r="W738" s="97">
        <v>0</v>
      </c>
      <c r="X738" s="97">
        <v>0</v>
      </c>
      <c r="Y738" s="77" t="s">
        <v>35</v>
      </c>
      <c r="Z738" s="87"/>
      <c r="AA738" s="79" t="s">
        <v>36</v>
      </c>
      <c r="AB738" s="79" t="s">
        <v>35</v>
      </c>
      <c r="AC738" s="79" t="s">
        <v>37</v>
      </c>
      <c r="AD738" s="79" t="s">
        <v>38</v>
      </c>
      <c r="AE738" s="79"/>
      <c r="AF738" s="79"/>
      <c r="AG738" s="79"/>
      <c r="AH738" s="79"/>
      <c r="AI738" s="53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</row>
    <row r="739" spans="1:110" ht="13.8" x14ac:dyDescent="0.25">
      <c r="A739" s="24">
        <v>1407017</v>
      </c>
      <c r="B739" s="10" t="s">
        <v>934</v>
      </c>
      <c r="C739" s="16" t="s">
        <v>1199</v>
      </c>
      <c r="D739" s="26" t="s">
        <v>971</v>
      </c>
      <c r="E739" s="10" t="s">
        <v>972</v>
      </c>
      <c r="F739" s="10" t="s">
        <v>557</v>
      </c>
      <c r="G739" s="55">
        <f t="shared" si="17"/>
        <v>0.40889999999999999</v>
      </c>
      <c r="H739" s="10">
        <v>7</v>
      </c>
      <c r="I739" s="13">
        <v>1200</v>
      </c>
      <c r="J739" s="56"/>
      <c r="K739" s="57"/>
      <c r="M739" s="10"/>
      <c r="N739" s="10"/>
      <c r="O739" s="21"/>
      <c r="P739" s="29"/>
      <c r="Q739" s="29"/>
      <c r="R739" s="29"/>
      <c r="S739" s="29"/>
      <c r="T739" s="72"/>
      <c r="U739" s="84">
        <v>0.3639</v>
      </c>
      <c r="V739" s="89">
        <v>4.4999999999999998E-2</v>
      </c>
      <c r="W739" s="84">
        <v>0.3639</v>
      </c>
      <c r="X739" s="89">
        <v>4.4999999999999998E-2</v>
      </c>
      <c r="Y739" s="77" t="s">
        <v>35</v>
      </c>
      <c r="Z739" s="87">
        <v>1200</v>
      </c>
      <c r="AA739" s="79" t="s">
        <v>36</v>
      </c>
      <c r="AB739" s="79" t="s">
        <v>35</v>
      </c>
      <c r="AC739" s="79" t="s">
        <v>37</v>
      </c>
      <c r="AD739" s="79" t="s">
        <v>38</v>
      </c>
      <c r="AE739" s="79" t="s">
        <v>1550</v>
      </c>
      <c r="AF739" s="79">
        <v>8992702747</v>
      </c>
      <c r="AG739" s="81" t="s">
        <v>1551</v>
      </c>
      <c r="AH739" s="79"/>
      <c r="AI739" s="53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</row>
    <row r="740" spans="1:110" ht="13.5" customHeight="1" x14ac:dyDescent="0.25">
      <c r="A740" s="122">
        <v>1407018</v>
      </c>
      <c r="B740" s="10" t="s">
        <v>934</v>
      </c>
      <c r="C740" s="16" t="s">
        <v>1200</v>
      </c>
      <c r="D740" s="26"/>
      <c r="E740" s="10" t="s">
        <v>1201</v>
      </c>
      <c r="F740" s="10" t="s">
        <v>557</v>
      </c>
      <c r="G740" s="55">
        <f t="shared" si="17"/>
        <v>0.1206</v>
      </c>
      <c r="H740" s="10">
        <v>4</v>
      </c>
      <c r="I740" s="13">
        <v>25000</v>
      </c>
      <c r="J740" s="56">
        <v>44616</v>
      </c>
      <c r="K740" s="57">
        <v>0.1118</v>
      </c>
      <c r="M740" s="10"/>
      <c r="N740" s="10"/>
      <c r="O740" s="21"/>
      <c r="P740" s="29"/>
      <c r="Q740" s="29"/>
      <c r="R740" s="29"/>
      <c r="S740" s="29"/>
      <c r="T740" s="72"/>
      <c r="U740" s="84">
        <v>7.5600000000000001E-2</v>
      </c>
      <c r="V740" s="89">
        <v>4.4999999999999998E-2</v>
      </c>
      <c r="W740" s="84">
        <v>7.5600000000000001E-2</v>
      </c>
      <c r="X740" s="89">
        <v>4.4999999999999998E-2</v>
      </c>
      <c r="Y740" s="77" t="s">
        <v>35</v>
      </c>
      <c r="Z740" s="87"/>
      <c r="AA740" s="79" t="s">
        <v>468</v>
      </c>
      <c r="AB740" s="79" t="s">
        <v>35</v>
      </c>
      <c r="AC740" s="79" t="s">
        <v>37</v>
      </c>
      <c r="AD740" s="79" t="s">
        <v>38</v>
      </c>
      <c r="AE740" s="79" t="s">
        <v>1537</v>
      </c>
      <c r="AF740" s="79" t="s">
        <v>1538</v>
      </c>
      <c r="AG740" s="79" t="s">
        <v>1539</v>
      </c>
      <c r="AH740" s="79"/>
      <c r="AI740" s="53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</row>
    <row r="741" spans="1:110" ht="10.5" customHeight="1" x14ac:dyDescent="0.25">
      <c r="A741" s="122">
        <v>1407019</v>
      </c>
      <c r="B741" s="10" t="s">
        <v>934</v>
      </c>
      <c r="C741" s="16" t="s">
        <v>1202</v>
      </c>
      <c r="D741" s="26"/>
      <c r="E741" s="10" t="s">
        <v>1201</v>
      </c>
      <c r="F741" s="10" t="s">
        <v>557</v>
      </c>
      <c r="G741" s="55">
        <f t="shared" si="17"/>
        <v>0.33399999999999996</v>
      </c>
      <c r="H741" s="10">
        <v>8</v>
      </c>
      <c r="I741" s="13">
        <v>50000</v>
      </c>
      <c r="J741" s="56">
        <v>44616</v>
      </c>
      <c r="K741" s="57">
        <v>0.30669999999999997</v>
      </c>
      <c r="M741" s="10"/>
      <c r="N741" s="10"/>
      <c r="O741" s="21"/>
      <c r="P741" s="29"/>
      <c r="Q741" s="29"/>
      <c r="R741" s="29"/>
      <c r="S741" s="29"/>
      <c r="T741" s="72"/>
      <c r="U741" s="84">
        <v>0.28899999999999998</v>
      </c>
      <c r="V741" s="89">
        <v>4.4999999999999998E-2</v>
      </c>
      <c r="W741" s="84">
        <v>0.28899999999999998</v>
      </c>
      <c r="X741" s="89">
        <v>4.4999999999999998E-2</v>
      </c>
      <c r="Y741" s="77" t="s">
        <v>35</v>
      </c>
      <c r="Z741" s="87"/>
      <c r="AA741" s="79" t="s">
        <v>468</v>
      </c>
      <c r="AB741" s="79" t="s">
        <v>35</v>
      </c>
      <c r="AC741" s="79" t="s">
        <v>37</v>
      </c>
      <c r="AD741" s="79" t="s">
        <v>38</v>
      </c>
      <c r="AE741" s="79" t="s">
        <v>1537</v>
      </c>
      <c r="AF741" s="79" t="s">
        <v>1538</v>
      </c>
      <c r="AG741" s="79" t="s">
        <v>1539</v>
      </c>
      <c r="AH741" s="79"/>
      <c r="AI741" s="53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</row>
    <row r="742" spans="1:110" ht="9.75" customHeight="1" x14ac:dyDescent="0.25">
      <c r="A742" s="24">
        <v>1407020</v>
      </c>
      <c r="B742" s="10" t="s">
        <v>934</v>
      </c>
      <c r="C742" s="16" t="s">
        <v>1203</v>
      </c>
      <c r="D742" s="26"/>
      <c r="E742" s="10" t="s">
        <v>1533</v>
      </c>
      <c r="F742" s="10" t="s">
        <v>557</v>
      </c>
      <c r="G742" s="55">
        <f t="shared" si="17"/>
        <v>0.115</v>
      </c>
      <c r="H742" s="10">
        <v>10</v>
      </c>
      <c r="I742" s="13">
        <v>75000</v>
      </c>
      <c r="J742" s="56"/>
      <c r="K742" s="57"/>
      <c r="M742" s="10"/>
      <c r="N742" s="10"/>
      <c r="O742" s="21"/>
      <c r="P742" s="29"/>
      <c r="Q742" s="29"/>
      <c r="R742" s="29"/>
      <c r="S742" s="29"/>
      <c r="T742" s="72"/>
      <c r="U742" s="84">
        <v>7.0000000000000007E-2</v>
      </c>
      <c r="V742" s="89">
        <v>4.4999999999999998E-2</v>
      </c>
      <c r="W742" s="84">
        <v>7.0000000000000007E-2</v>
      </c>
      <c r="X742" s="89">
        <v>4.4999999999999998E-2</v>
      </c>
      <c r="Y742" s="77" t="s">
        <v>35</v>
      </c>
      <c r="Z742" s="87"/>
      <c r="AA742" s="79" t="s">
        <v>468</v>
      </c>
      <c r="AB742" s="79" t="s">
        <v>35</v>
      </c>
      <c r="AC742" s="79" t="s">
        <v>37</v>
      </c>
      <c r="AD742" s="79" t="s">
        <v>38</v>
      </c>
      <c r="AE742" s="79" t="s">
        <v>1534</v>
      </c>
      <c r="AF742" s="79" t="s">
        <v>1535</v>
      </c>
      <c r="AG742" s="79" t="s">
        <v>1536</v>
      </c>
      <c r="AH742" s="79"/>
      <c r="AI742" s="53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</row>
    <row r="743" spans="1:110" ht="13.8" x14ac:dyDescent="0.25">
      <c r="A743" s="24">
        <v>1408001</v>
      </c>
      <c r="B743" s="26" t="s">
        <v>956</v>
      </c>
      <c r="C743" s="25" t="s">
        <v>1204</v>
      </c>
      <c r="D743" s="26"/>
      <c r="E743" s="10" t="s">
        <v>292</v>
      </c>
      <c r="F743" s="10" t="s">
        <v>557</v>
      </c>
      <c r="G743" s="55" t="str">
        <f t="shared" si="17"/>
        <v>Obsolete</v>
      </c>
      <c r="H743" s="10"/>
      <c r="I743" s="13"/>
      <c r="J743" s="56"/>
      <c r="K743" s="57"/>
      <c r="M743" s="10"/>
      <c r="N743" s="10"/>
      <c r="O743" s="29"/>
      <c r="P743" s="29"/>
      <c r="Q743" s="29"/>
      <c r="R743" s="29"/>
      <c r="S743" s="29"/>
      <c r="T743" s="72"/>
      <c r="U743" s="97" t="s">
        <v>54</v>
      </c>
      <c r="V743" s="97"/>
      <c r="W743" s="97" t="s">
        <v>54</v>
      </c>
      <c r="X743" s="97"/>
      <c r="Y743" s="97"/>
      <c r="Z743" s="87"/>
      <c r="AA743" s="79" t="s">
        <v>292</v>
      </c>
      <c r="AB743" s="79" t="s">
        <v>37</v>
      </c>
      <c r="AC743" s="79" t="s">
        <v>37</v>
      </c>
      <c r="AD743" s="79"/>
      <c r="AE743" s="79"/>
      <c r="AF743" s="79"/>
      <c r="AG743" s="79"/>
      <c r="AH743" s="79"/>
      <c r="AI743" s="53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</row>
    <row r="744" spans="1:110" ht="20.399999999999999" x14ac:dyDescent="0.25">
      <c r="A744" s="24">
        <v>1408002</v>
      </c>
      <c r="B744" s="26" t="s">
        <v>956</v>
      </c>
      <c r="C744" s="25" t="s">
        <v>1205</v>
      </c>
      <c r="D744" s="26"/>
      <c r="E744" s="10" t="s">
        <v>966</v>
      </c>
      <c r="F744" s="10" t="s">
        <v>557</v>
      </c>
      <c r="G744" s="55" t="str">
        <f t="shared" si="17"/>
        <v>Obsolete</v>
      </c>
      <c r="H744" s="10"/>
      <c r="I744" s="13"/>
      <c r="J744" s="56"/>
      <c r="K744" s="57"/>
      <c r="M744" s="10"/>
      <c r="N744" s="10"/>
      <c r="O744" s="29"/>
      <c r="P744" s="29"/>
      <c r="Q744" s="29"/>
      <c r="R744" s="29"/>
      <c r="S744" s="29"/>
      <c r="T744" s="72"/>
      <c r="U744" s="97" t="s">
        <v>54</v>
      </c>
      <c r="V744" s="97"/>
      <c r="W744" s="97" t="s">
        <v>54</v>
      </c>
      <c r="X744" s="97"/>
      <c r="Y744" s="97"/>
      <c r="Z744" s="87"/>
      <c r="AA744" s="79" t="s">
        <v>966</v>
      </c>
      <c r="AB744" s="79" t="s">
        <v>37</v>
      </c>
      <c r="AC744" s="79" t="s">
        <v>37</v>
      </c>
      <c r="AD744" s="79"/>
      <c r="AE744" s="79"/>
      <c r="AF744" s="79"/>
      <c r="AG744" s="79"/>
      <c r="AH744" s="79"/>
      <c r="AI744" s="53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</row>
    <row r="745" spans="1:110" ht="13.8" x14ac:dyDescent="0.25">
      <c r="A745" s="24">
        <v>1409001</v>
      </c>
      <c r="B745" s="26" t="s">
        <v>956</v>
      </c>
      <c r="C745" s="25" t="s">
        <v>1206</v>
      </c>
      <c r="D745" s="26" t="s">
        <v>1087</v>
      </c>
      <c r="E745" s="10" t="s">
        <v>1043</v>
      </c>
      <c r="F745" s="10" t="s">
        <v>557</v>
      </c>
      <c r="G745" s="55" t="str">
        <f t="shared" si="17"/>
        <v>Obsolete</v>
      </c>
      <c r="H745" s="10"/>
      <c r="I745" s="13"/>
      <c r="J745" s="56"/>
      <c r="K745" s="57"/>
      <c r="M745" s="10"/>
      <c r="N745" s="10"/>
      <c r="O745" s="29"/>
      <c r="P745" s="29"/>
      <c r="Q745" s="29"/>
      <c r="R745" s="29"/>
      <c r="S745" s="29"/>
      <c r="T745" s="72"/>
      <c r="U745" s="97" t="s">
        <v>54</v>
      </c>
      <c r="V745" s="97"/>
      <c r="W745" s="97" t="s">
        <v>54</v>
      </c>
      <c r="X745" s="97"/>
      <c r="Y745" s="97"/>
      <c r="Z745" s="87"/>
      <c r="AA745" s="79"/>
      <c r="AB745" s="79" t="s">
        <v>37</v>
      </c>
      <c r="AC745" s="79" t="s">
        <v>37</v>
      </c>
      <c r="AD745" s="79"/>
      <c r="AE745" s="79" t="s">
        <v>1044</v>
      </c>
      <c r="AF745" s="79" t="s">
        <v>1045</v>
      </c>
      <c r="AG745" s="79" t="s">
        <v>1046</v>
      </c>
      <c r="AH745" s="79"/>
      <c r="AI745" s="53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</row>
    <row r="746" spans="1:110" ht="18" customHeight="1" x14ac:dyDescent="0.25">
      <c r="A746" s="24">
        <v>1409002</v>
      </c>
      <c r="B746" s="26" t="s">
        <v>956</v>
      </c>
      <c r="C746" s="25" t="s">
        <v>1207</v>
      </c>
      <c r="D746" s="26" t="s">
        <v>1087</v>
      </c>
      <c r="E746" s="10" t="s">
        <v>1043</v>
      </c>
      <c r="F746" s="10" t="s">
        <v>557</v>
      </c>
      <c r="G746" s="55" t="str">
        <f t="shared" si="17"/>
        <v>Obsolete</v>
      </c>
      <c r="H746" s="10"/>
      <c r="I746" s="13"/>
      <c r="J746" s="56"/>
      <c r="K746" s="57"/>
      <c r="M746" s="10"/>
      <c r="N746" s="10"/>
      <c r="O746" s="29"/>
      <c r="P746" s="29"/>
      <c r="Q746" s="29"/>
      <c r="R746" s="29"/>
      <c r="S746" s="29"/>
      <c r="T746" s="72"/>
      <c r="U746" s="97" t="s">
        <v>54</v>
      </c>
      <c r="V746" s="97"/>
      <c r="W746" s="97" t="s">
        <v>54</v>
      </c>
      <c r="X746" s="97"/>
      <c r="Y746" s="97"/>
      <c r="Z746" s="87"/>
      <c r="AA746" s="79"/>
      <c r="AB746" s="79" t="s">
        <v>37</v>
      </c>
      <c r="AC746" s="79" t="s">
        <v>37</v>
      </c>
      <c r="AD746" s="79"/>
      <c r="AE746" s="79" t="s">
        <v>1044</v>
      </c>
      <c r="AF746" s="79" t="s">
        <v>1045</v>
      </c>
      <c r="AG746" s="79" t="s">
        <v>1046</v>
      </c>
      <c r="AH746" s="79"/>
      <c r="AI746" s="53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</row>
    <row r="747" spans="1:110" ht="13.8" x14ac:dyDescent="0.25">
      <c r="A747" s="24">
        <v>1409003</v>
      </c>
      <c r="B747" s="26" t="s">
        <v>956</v>
      </c>
      <c r="C747" s="16" t="s">
        <v>1208</v>
      </c>
      <c r="D747" s="26" t="s">
        <v>1087</v>
      </c>
      <c r="E747" s="10" t="s">
        <v>1043</v>
      </c>
      <c r="F747" s="10" t="s">
        <v>557</v>
      </c>
      <c r="G747" s="55" t="str">
        <f t="shared" si="17"/>
        <v>Obsolete</v>
      </c>
      <c r="H747" s="10"/>
      <c r="I747" s="13"/>
      <c r="J747" s="56"/>
      <c r="K747" s="57"/>
      <c r="M747" s="10"/>
      <c r="N747" s="10"/>
      <c r="O747" s="29"/>
      <c r="P747" s="29"/>
      <c r="Q747" s="29"/>
      <c r="R747" s="29"/>
      <c r="S747" s="29"/>
      <c r="T747" s="72"/>
      <c r="U747" s="97" t="s">
        <v>54</v>
      </c>
      <c r="V747" s="97"/>
      <c r="W747" s="97" t="s">
        <v>54</v>
      </c>
      <c r="X747" s="97"/>
      <c r="Y747" s="97"/>
      <c r="Z747" s="87"/>
      <c r="AA747" s="79" t="s">
        <v>64</v>
      </c>
      <c r="AB747" s="79" t="s">
        <v>37</v>
      </c>
      <c r="AC747" s="79" t="s">
        <v>37</v>
      </c>
      <c r="AD747" s="79"/>
      <c r="AE747" s="79" t="s">
        <v>1044</v>
      </c>
      <c r="AF747" s="79" t="s">
        <v>1045</v>
      </c>
      <c r="AG747" s="79" t="s">
        <v>1046</v>
      </c>
      <c r="AH747" s="79"/>
      <c r="AI747" s="53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</row>
    <row r="748" spans="1:110" ht="13.8" x14ac:dyDescent="0.25">
      <c r="A748" s="24">
        <v>1409004</v>
      </c>
      <c r="B748" s="26" t="s">
        <v>956</v>
      </c>
      <c r="C748" s="16" t="s">
        <v>1209</v>
      </c>
      <c r="D748" s="26" t="s">
        <v>1087</v>
      </c>
      <c r="E748" s="17" t="s">
        <v>57</v>
      </c>
      <c r="F748" s="10" t="s">
        <v>557</v>
      </c>
      <c r="G748" s="55" t="str">
        <f t="shared" si="17"/>
        <v>Obsolete</v>
      </c>
      <c r="H748" s="10"/>
      <c r="I748" s="13"/>
      <c r="J748" s="56"/>
      <c r="K748" s="57"/>
      <c r="M748" s="10"/>
      <c r="N748" s="10"/>
      <c r="O748" s="29"/>
      <c r="P748" s="29"/>
      <c r="Q748" s="29"/>
      <c r="R748" s="29"/>
      <c r="S748" s="29"/>
      <c r="T748" s="72"/>
      <c r="U748" s="97" t="s">
        <v>54</v>
      </c>
      <c r="V748" s="97"/>
      <c r="W748" s="97" t="s">
        <v>54</v>
      </c>
      <c r="X748" s="97"/>
      <c r="Y748" s="97"/>
      <c r="Z748" s="87"/>
      <c r="AA748" s="79"/>
      <c r="AB748" s="79" t="s">
        <v>37</v>
      </c>
      <c r="AC748" s="79" t="s">
        <v>37</v>
      </c>
      <c r="AD748" s="79"/>
      <c r="AE748" s="79"/>
      <c r="AF748" s="79"/>
      <c r="AG748" s="79"/>
      <c r="AH748" s="79"/>
      <c r="AI748" s="53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</row>
    <row r="749" spans="1:110" ht="13.8" x14ac:dyDescent="0.25">
      <c r="A749" s="24">
        <v>1409005</v>
      </c>
      <c r="B749" s="26" t="s">
        <v>956</v>
      </c>
      <c r="C749" s="16" t="s">
        <v>1210</v>
      </c>
      <c r="D749" s="26"/>
      <c r="E749" s="17" t="s">
        <v>57</v>
      </c>
      <c r="F749" s="10" t="s">
        <v>557</v>
      </c>
      <c r="G749" s="55" t="str">
        <f t="shared" si="17"/>
        <v>Obsolete</v>
      </c>
      <c r="H749" s="10"/>
      <c r="I749" s="13"/>
      <c r="J749" s="56"/>
      <c r="K749" s="57"/>
      <c r="M749" s="10"/>
      <c r="N749" s="10"/>
      <c r="O749" s="29"/>
      <c r="P749" s="29"/>
      <c r="Q749" s="29"/>
      <c r="R749" s="29"/>
      <c r="S749" s="29"/>
      <c r="T749" s="72"/>
      <c r="U749" s="97" t="s">
        <v>54</v>
      </c>
      <c r="V749" s="97"/>
      <c r="W749" s="97" t="s">
        <v>54</v>
      </c>
      <c r="X749" s="97"/>
      <c r="Y749" s="97"/>
      <c r="Z749" s="87"/>
      <c r="AA749" s="79"/>
      <c r="AB749" s="79" t="s">
        <v>37</v>
      </c>
      <c r="AC749" s="79" t="s">
        <v>37</v>
      </c>
      <c r="AD749" s="79"/>
      <c r="AE749" s="79"/>
      <c r="AF749" s="79"/>
      <c r="AG749" s="79"/>
      <c r="AH749" s="79"/>
      <c r="AI749" s="53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</row>
    <row r="750" spans="1:110" ht="20.399999999999999" x14ac:dyDescent="0.25">
      <c r="A750" s="10">
        <v>1501001</v>
      </c>
      <c r="B750" s="11" t="s">
        <v>1211</v>
      </c>
      <c r="C750" s="25" t="s">
        <v>1212</v>
      </c>
      <c r="D750" s="11"/>
      <c r="E750" s="10" t="s">
        <v>1213</v>
      </c>
      <c r="F750" s="10" t="s">
        <v>557</v>
      </c>
      <c r="G750" s="55">
        <v>1.06</v>
      </c>
      <c r="H750" s="10">
        <v>1</v>
      </c>
      <c r="I750" s="13">
        <v>500</v>
      </c>
      <c r="J750" s="56">
        <v>44414</v>
      </c>
      <c r="K750" s="57">
        <v>0.90700000000000003</v>
      </c>
      <c r="M750" s="14"/>
      <c r="N750" s="14"/>
      <c r="O750" s="14"/>
      <c r="P750" s="14"/>
      <c r="Q750" s="14"/>
      <c r="R750" s="14"/>
      <c r="S750" s="14"/>
      <c r="T750" s="70"/>
      <c r="U750" s="76">
        <v>1.06</v>
      </c>
      <c r="V750" s="76">
        <v>0</v>
      </c>
      <c r="W750" s="76">
        <v>1.06</v>
      </c>
      <c r="X750" s="76">
        <v>0</v>
      </c>
      <c r="Y750" s="77" t="s">
        <v>37</v>
      </c>
      <c r="Z750" s="78">
        <v>10</v>
      </c>
      <c r="AA750" s="79" t="s">
        <v>1214</v>
      </c>
      <c r="AB750" s="79" t="s">
        <v>35</v>
      </c>
      <c r="AC750" s="79" t="s">
        <v>37</v>
      </c>
      <c r="AD750" s="79" t="s">
        <v>38</v>
      </c>
      <c r="AE750" s="79" t="s">
        <v>1511</v>
      </c>
      <c r="AF750" s="79" t="s">
        <v>1512</v>
      </c>
      <c r="AG750" s="81" t="s">
        <v>1278</v>
      </c>
      <c r="AH750" s="94"/>
      <c r="AI750" s="53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</row>
    <row r="751" spans="1:110" ht="20.399999999999999" x14ac:dyDescent="0.25">
      <c r="A751" s="10">
        <v>1501002</v>
      </c>
      <c r="B751" s="11" t="s">
        <v>1211</v>
      </c>
      <c r="C751" s="25" t="s">
        <v>1218</v>
      </c>
      <c r="D751" s="11"/>
      <c r="E751" s="10" t="s">
        <v>1213</v>
      </c>
      <c r="F751" s="10" t="s">
        <v>557</v>
      </c>
      <c r="G751" s="55">
        <v>0.11</v>
      </c>
      <c r="H751" s="10">
        <v>1</v>
      </c>
      <c r="I751" s="13">
        <v>2500</v>
      </c>
      <c r="J751" s="56">
        <v>44414</v>
      </c>
      <c r="K751" s="57">
        <v>9.7000000000000003E-2</v>
      </c>
      <c r="M751" s="14"/>
      <c r="N751" s="14"/>
      <c r="O751" s="14"/>
      <c r="P751" s="14"/>
      <c r="Q751" s="14"/>
      <c r="R751" s="14"/>
      <c r="S751" s="14"/>
      <c r="T751" s="70"/>
      <c r="U751" s="76">
        <v>0.11</v>
      </c>
      <c r="V751" s="76">
        <v>0</v>
      </c>
      <c r="W751" s="76">
        <v>0.11</v>
      </c>
      <c r="X751" s="76">
        <v>0</v>
      </c>
      <c r="Y751" s="77" t="s">
        <v>37</v>
      </c>
      <c r="Z751" s="78">
        <v>50</v>
      </c>
      <c r="AA751" s="79" t="s">
        <v>1214</v>
      </c>
      <c r="AB751" s="79" t="s">
        <v>35</v>
      </c>
      <c r="AC751" s="79" t="s">
        <v>37</v>
      </c>
      <c r="AD751" s="79" t="s">
        <v>38</v>
      </c>
      <c r="AE751" s="79" t="s">
        <v>1511</v>
      </c>
      <c r="AF751" s="79" t="s">
        <v>1512</v>
      </c>
      <c r="AG751" s="81" t="s">
        <v>1278</v>
      </c>
      <c r="AH751" s="79"/>
      <c r="AI751" s="53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</row>
    <row r="752" spans="1:110" ht="13.8" x14ac:dyDescent="0.25">
      <c r="A752" s="10">
        <v>1501003</v>
      </c>
      <c r="B752" s="11" t="s">
        <v>1211</v>
      </c>
      <c r="C752" s="12" t="s">
        <v>1219</v>
      </c>
      <c r="D752" s="11"/>
      <c r="E752" s="17" t="s">
        <v>57</v>
      </c>
      <c r="F752" s="10" t="s">
        <v>557</v>
      </c>
      <c r="G752" s="55" t="str">
        <f t="shared" si="17"/>
        <v>Obsolete</v>
      </c>
      <c r="H752" s="10"/>
      <c r="I752" s="13"/>
      <c r="J752" s="56"/>
      <c r="K752" s="57"/>
      <c r="M752" s="10"/>
      <c r="N752" s="10"/>
      <c r="O752" s="29"/>
      <c r="P752" s="29"/>
      <c r="Q752" s="29"/>
      <c r="R752" s="29"/>
      <c r="S752" s="29"/>
      <c r="T752" s="72"/>
      <c r="U752" s="97" t="s">
        <v>54</v>
      </c>
      <c r="V752" s="97"/>
      <c r="W752" s="97" t="s">
        <v>54</v>
      </c>
      <c r="X752" s="97"/>
      <c r="Y752" s="97"/>
      <c r="Z752" s="78"/>
      <c r="AA752" s="79"/>
      <c r="AB752" s="79" t="s">
        <v>37</v>
      </c>
      <c r="AC752" s="79" t="s">
        <v>37</v>
      </c>
      <c r="AD752" s="79"/>
      <c r="AE752" s="79"/>
      <c r="AF752" s="79"/>
      <c r="AG752" s="79"/>
      <c r="AH752" s="79"/>
      <c r="AI752" s="53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</row>
    <row r="753" spans="1:110" ht="13.8" x14ac:dyDescent="0.25">
      <c r="A753" s="10">
        <v>1501004</v>
      </c>
      <c r="B753" s="11" t="s">
        <v>1211</v>
      </c>
      <c r="C753" s="12" t="s">
        <v>1220</v>
      </c>
      <c r="D753" s="11"/>
      <c r="E753" s="10" t="s">
        <v>1221</v>
      </c>
      <c r="F753" s="10" t="s">
        <v>557</v>
      </c>
      <c r="G753" s="55" t="str">
        <f t="shared" si="17"/>
        <v>Obsolete</v>
      </c>
      <c r="H753" s="10">
        <v>1</v>
      </c>
      <c r="I753" s="13"/>
      <c r="J753" s="56"/>
      <c r="K753" s="57"/>
      <c r="M753" s="10"/>
      <c r="N753" s="10"/>
      <c r="O753" s="29"/>
      <c r="P753" s="29"/>
      <c r="Q753" s="29"/>
      <c r="R753" s="29"/>
      <c r="S753" s="29"/>
      <c r="T753" s="72"/>
      <c r="U753" s="97" t="s">
        <v>54</v>
      </c>
      <c r="V753" s="97"/>
      <c r="W753" s="97" t="s">
        <v>54</v>
      </c>
      <c r="X753" s="97"/>
      <c r="Y753" s="97"/>
      <c r="Z753" s="78"/>
      <c r="AA753" s="79" t="s">
        <v>55</v>
      </c>
      <c r="AB753" s="79" t="s">
        <v>37</v>
      </c>
      <c r="AC753" s="79" t="s">
        <v>37</v>
      </c>
      <c r="AD753" s="79"/>
      <c r="AE753" s="79"/>
      <c r="AF753" s="79"/>
      <c r="AG753" s="79"/>
      <c r="AH753" s="79"/>
      <c r="AI753" s="53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</row>
    <row r="754" spans="1:110" ht="13.8" x14ac:dyDescent="0.25">
      <c r="A754" s="10">
        <v>1501005</v>
      </c>
      <c r="B754" s="11" t="s">
        <v>1211</v>
      </c>
      <c r="C754" s="12" t="s">
        <v>1222</v>
      </c>
      <c r="D754" s="11"/>
      <c r="E754" s="10" t="s">
        <v>1221</v>
      </c>
      <c r="F754" s="10" t="s">
        <v>557</v>
      </c>
      <c r="G754" s="55" t="str">
        <f t="shared" si="17"/>
        <v>Obsolete</v>
      </c>
      <c r="H754" s="10">
        <v>1</v>
      </c>
      <c r="I754" s="13"/>
      <c r="J754" s="56"/>
      <c r="K754" s="57"/>
      <c r="M754" s="10"/>
      <c r="N754" s="10"/>
      <c r="O754" s="29"/>
      <c r="P754" s="29"/>
      <c r="Q754" s="29"/>
      <c r="R754" s="29"/>
      <c r="S754" s="29"/>
      <c r="T754" s="72"/>
      <c r="U754" s="97" t="s">
        <v>54</v>
      </c>
      <c r="V754" s="97"/>
      <c r="W754" s="97" t="s">
        <v>54</v>
      </c>
      <c r="X754" s="97"/>
      <c r="Y754" s="97"/>
      <c r="Z754" s="78"/>
      <c r="AA754" s="79" t="s">
        <v>55</v>
      </c>
      <c r="AB754" s="79" t="s">
        <v>37</v>
      </c>
      <c r="AC754" s="79" t="s">
        <v>37</v>
      </c>
      <c r="AD754" s="79"/>
      <c r="AE754" s="79"/>
      <c r="AF754" s="79"/>
      <c r="AG754" s="79"/>
      <c r="AH754" s="79"/>
      <c r="AI754" s="53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</row>
    <row r="755" spans="1:110" ht="13.8" x14ac:dyDescent="0.25">
      <c r="A755" s="10">
        <v>1501006</v>
      </c>
      <c r="B755" s="11" t="s">
        <v>1211</v>
      </c>
      <c r="C755" s="12" t="s">
        <v>1223</v>
      </c>
      <c r="D755" s="11"/>
      <c r="E755" s="10" t="s">
        <v>1224</v>
      </c>
      <c r="F755" s="10" t="s">
        <v>557</v>
      </c>
      <c r="G755" s="55" t="str">
        <f t="shared" si="17"/>
        <v>Obsolete</v>
      </c>
      <c r="H755" s="10">
        <v>1</v>
      </c>
      <c r="I755" s="13"/>
      <c r="J755" s="56"/>
      <c r="K755" s="57"/>
      <c r="M755" s="10"/>
      <c r="N755" s="10"/>
      <c r="O755" s="29"/>
      <c r="P755" s="29"/>
      <c r="Q755" s="29"/>
      <c r="R755" s="29"/>
      <c r="S755" s="29"/>
      <c r="T755" s="72"/>
      <c r="U755" s="97" t="s">
        <v>54</v>
      </c>
      <c r="V755" s="97"/>
      <c r="W755" s="97" t="s">
        <v>54</v>
      </c>
      <c r="X755" s="97"/>
      <c r="Y755" s="97"/>
      <c r="Z755" s="78"/>
      <c r="AA755" s="79" t="s">
        <v>382</v>
      </c>
      <c r="AB755" s="79" t="s">
        <v>37</v>
      </c>
      <c r="AC755" s="79" t="s">
        <v>37</v>
      </c>
      <c r="AD755" s="79"/>
      <c r="AE755" s="79" t="s">
        <v>1225</v>
      </c>
      <c r="AF755" s="79" t="s">
        <v>1226</v>
      </c>
      <c r="AG755" s="79" t="s">
        <v>1227</v>
      </c>
      <c r="AH755" s="79"/>
      <c r="AI755" s="53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</row>
    <row r="756" spans="1:110" ht="20.399999999999999" x14ac:dyDescent="0.25">
      <c r="A756" s="24">
        <v>1501007</v>
      </c>
      <c r="B756" s="11" t="s">
        <v>1211</v>
      </c>
      <c r="C756" s="25" t="s">
        <v>1228</v>
      </c>
      <c r="D756" s="26"/>
      <c r="E756" s="10" t="s">
        <v>1221</v>
      </c>
      <c r="F756" s="10" t="s">
        <v>557</v>
      </c>
      <c r="G756" s="55" t="str">
        <f t="shared" si="17"/>
        <v>Obsolete</v>
      </c>
      <c r="H756" s="10">
        <v>1</v>
      </c>
      <c r="I756" s="13">
        <v>1500</v>
      </c>
      <c r="J756" s="56"/>
      <c r="K756" s="57"/>
      <c r="M756" s="10"/>
      <c r="N756" s="10"/>
      <c r="O756" s="29"/>
      <c r="P756" s="29"/>
      <c r="Q756" s="29"/>
      <c r="R756" s="29"/>
      <c r="S756" s="29"/>
      <c r="T756" s="72"/>
      <c r="U756" s="97" t="s">
        <v>54</v>
      </c>
      <c r="V756" s="97"/>
      <c r="W756" s="97" t="s">
        <v>54</v>
      </c>
      <c r="X756" s="97"/>
      <c r="Y756" s="97"/>
      <c r="Z756" s="87"/>
      <c r="AA756" s="79" t="s">
        <v>292</v>
      </c>
      <c r="AB756" s="79" t="s">
        <v>37</v>
      </c>
      <c r="AC756" s="79" t="s">
        <v>37</v>
      </c>
      <c r="AD756" s="79"/>
      <c r="AE756" s="79"/>
      <c r="AF756" s="79"/>
      <c r="AG756" s="79"/>
      <c r="AH756" s="79"/>
      <c r="AI756" s="53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</row>
    <row r="757" spans="1:110" ht="13.8" x14ac:dyDescent="0.25">
      <c r="A757" s="24">
        <v>1501008</v>
      </c>
      <c r="B757" s="26" t="s">
        <v>1229</v>
      </c>
      <c r="C757" s="25" t="s">
        <v>1230</v>
      </c>
      <c r="D757" s="26"/>
      <c r="E757" s="10" t="s">
        <v>1231</v>
      </c>
      <c r="F757" s="10" t="s">
        <v>557</v>
      </c>
      <c r="G757" s="55">
        <f t="shared" si="17"/>
        <v>1.3100000000000001E-2</v>
      </c>
      <c r="H757" s="10">
        <v>1</v>
      </c>
      <c r="I757" s="13">
        <v>1000</v>
      </c>
      <c r="J757" s="56"/>
      <c r="K757" s="57"/>
      <c r="M757" s="14"/>
      <c r="N757" s="14"/>
      <c r="O757" s="14"/>
      <c r="P757" s="14"/>
      <c r="Q757" s="14"/>
      <c r="R757" s="14"/>
      <c r="S757" s="14"/>
      <c r="T757" s="70"/>
      <c r="U757" s="76">
        <v>1.3100000000000001E-2</v>
      </c>
      <c r="V757" s="76">
        <v>0</v>
      </c>
      <c r="W757" s="76">
        <v>1.3100000000000001E-2</v>
      </c>
      <c r="X757" s="76">
        <v>0</v>
      </c>
      <c r="Y757" s="77" t="s">
        <v>37</v>
      </c>
      <c r="Z757" s="98">
        <v>1000</v>
      </c>
      <c r="AA757" s="79" t="s">
        <v>234</v>
      </c>
      <c r="AB757" s="79" t="s">
        <v>35</v>
      </c>
      <c r="AC757" s="79" t="s">
        <v>37</v>
      </c>
      <c r="AD757" s="79" t="s">
        <v>38</v>
      </c>
      <c r="AE757" s="79" t="s">
        <v>1232</v>
      </c>
      <c r="AF757" s="79" t="s">
        <v>1233</v>
      </c>
      <c r="AG757" s="105" t="s">
        <v>1234</v>
      </c>
      <c r="AH757" s="79"/>
      <c r="AI757" s="53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</row>
    <row r="758" spans="1:110" ht="20.399999999999999" x14ac:dyDescent="0.25">
      <c r="A758" s="24">
        <v>1501009</v>
      </c>
      <c r="B758" s="11" t="s">
        <v>1211</v>
      </c>
      <c r="C758" s="25" t="s">
        <v>1235</v>
      </c>
      <c r="D758" s="26"/>
      <c r="E758" s="10" t="s">
        <v>1221</v>
      </c>
      <c r="F758" s="10" t="s">
        <v>557</v>
      </c>
      <c r="G758" s="55" t="str">
        <f t="shared" si="17"/>
        <v>Obsolete</v>
      </c>
      <c r="H758" s="10"/>
      <c r="I758" s="13"/>
      <c r="J758" s="56"/>
      <c r="K758" s="57"/>
      <c r="M758" s="10"/>
      <c r="N758" s="10"/>
      <c r="O758" s="29"/>
      <c r="P758" s="29"/>
      <c r="Q758" s="29"/>
      <c r="R758" s="29"/>
      <c r="S758" s="29"/>
      <c r="T758" s="72"/>
      <c r="U758" s="97" t="s">
        <v>54</v>
      </c>
      <c r="V758" s="97"/>
      <c r="W758" s="97" t="s">
        <v>54</v>
      </c>
      <c r="X758" s="97"/>
      <c r="Y758" s="97"/>
      <c r="Z758" s="87"/>
      <c r="AA758" s="79" t="s">
        <v>1236</v>
      </c>
      <c r="AB758" s="79" t="s">
        <v>37</v>
      </c>
      <c r="AC758" s="79" t="s">
        <v>37</v>
      </c>
      <c r="AD758" s="79"/>
      <c r="AE758" s="79"/>
      <c r="AF758" s="79"/>
      <c r="AG758" s="79"/>
      <c r="AH758" s="79"/>
      <c r="AI758" s="53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</row>
    <row r="759" spans="1:110" ht="30.6" x14ac:dyDescent="0.25">
      <c r="A759" s="10">
        <v>1501010</v>
      </c>
      <c r="B759" s="11" t="s">
        <v>940</v>
      </c>
      <c r="C759" s="25" t="s">
        <v>1237</v>
      </c>
      <c r="D759" s="11"/>
      <c r="E759" s="10" t="s">
        <v>946</v>
      </c>
      <c r="F759" s="10" t="s">
        <v>557</v>
      </c>
      <c r="G759" s="55">
        <f t="shared" si="17"/>
        <v>6.9600000000000009E-2</v>
      </c>
      <c r="H759" s="10">
        <v>4</v>
      </c>
      <c r="I759" s="13">
        <v>25000</v>
      </c>
      <c r="J759" s="56"/>
      <c r="K759" s="57"/>
      <c r="M759" s="14"/>
      <c r="N759" s="14"/>
      <c r="O759" s="14"/>
      <c r="P759" s="14"/>
      <c r="Q759" s="14"/>
      <c r="R759" s="14"/>
      <c r="S759" s="14"/>
      <c r="T759" s="70"/>
      <c r="U759" s="76">
        <v>6.6500000000000004E-2</v>
      </c>
      <c r="V759" s="76">
        <v>3.0999999999999999E-3</v>
      </c>
      <c r="W759" s="76">
        <v>6.6500000000000004E-2</v>
      </c>
      <c r="X759" s="76">
        <v>3.0999999999999999E-3</v>
      </c>
      <c r="Y759" s="110"/>
      <c r="Z759" s="78"/>
      <c r="AA759" s="79" t="s">
        <v>36</v>
      </c>
      <c r="AB759" s="79" t="s">
        <v>35</v>
      </c>
      <c r="AC759" s="79" t="s">
        <v>37</v>
      </c>
      <c r="AD759" s="79" t="s">
        <v>38</v>
      </c>
      <c r="AE759" s="79" t="s">
        <v>947</v>
      </c>
      <c r="AF759" s="94" t="s">
        <v>948</v>
      </c>
      <c r="AG759" s="79" t="s">
        <v>949</v>
      </c>
      <c r="AH759" s="79"/>
      <c r="AI759" s="53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</row>
    <row r="760" spans="1:110" ht="13.8" x14ac:dyDescent="0.25">
      <c r="A760" s="10">
        <v>1501012</v>
      </c>
      <c r="B760" s="11" t="s">
        <v>940</v>
      </c>
      <c r="C760" s="12" t="s">
        <v>1238</v>
      </c>
      <c r="D760" s="11"/>
      <c r="E760" s="10" t="s">
        <v>951</v>
      </c>
      <c r="F760" s="10" t="s">
        <v>557</v>
      </c>
      <c r="G760" s="55">
        <f t="shared" si="17"/>
        <v>7.2059639999999994E-2</v>
      </c>
      <c r="H760" s="10">
        <v>3</v>
      </c>
      <c r="I760" s="13">
        <v>14000</v>
      </c>
      <c r="J760" s="56"/>
      <c r="K760" s="57"/>
      <c r="M760" s="14"/>
      <c r="N760" s="14"/>
      <c r="O760" s="14"/>
      <c r="P760" s="14"/>
      <c r="Q760" s="14"/>
      <c r="R760" s="14"/>
      <c r="S760" s="14"/>
      <c r="T760" s="70"/>
      <c r="U760" s="76">
        <v>7.1499999999999994E-2</v>
      </c>
      <c r="V760" s="76">
        <v>5.5964000000000003E-4</v>
      </c>
      <c r="W760" s="76">
        <v>7.1499999999999994E-2</v>
      </c>
      <c r="X760" s="76">
        <v>5.5964000000000003E-4</v>
      </c>
      <c r="Y760" s="110" t="s">
        <v>37</v>
      </c>
      <c r="Z760" s="78">
        <v>14000</v>
      </c>
      <c r="AA760" s="79" t="s">
        <v>36</v>
      </c>
      <c r="AB760" s="79" t="s">
        <v>35</v>
      </c>
      <c r="AC760" s="79" t="s">
        <v>37</v>
      </c>
      <c r="AD760" s="79" t="s">
        <v>38</v>
      </c>
      <c r="AE760" s="79" t="s">
        <v>1239</v>
      </c>
      <c r="AF760" s="79" t="s">
        <v>1240</v>
      </c>
      <c r="AG760" s="79" t="s">
        <v>1241</v>
      </c>
      <c r="AH760" s="79"/>
      <c r="AI760" s="53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</row>
    <row r="761" spans="1:110" ht="20.399999999999999" x14ac:dyDescent="0.25">
      <c r="A761" s="10">
        <v>1501015</v>
      </c>
      <c r="B761" s="11" t="s">
        <v>940</v>
      </c>
      <c r="C761" s="25" t="s">
        <v>1242</v>
      </c>
      <c r="D761" s="11"/>
      <c r="E761" s="10" t="s">
        <v>946</v>
      </c>
      <c r="F761" s="10" t="s">
        <v>557</v>
      </c>
      <c r="G761" s="55" t="str">
        <f t="shared" ref="G761:G808" si="18">IF(U761="Obsolete",U761,U761+V761)</f>
        <v>Obsolete</v>
      </c>
      <c r="H761" s="10">
        <v>5</v>
      </c>
      <c r="I761" s="13">
        <v>100000</v>
      </c>
      <c r="J761" s="56"/>
      <c r="K761" s="57"/>
      <c r="M761" s="14"/>
      <c r="N761" s="14"/>
      <c r="O761" s="14"/>
      <c r="P761" s="14"/>
      <c r="Q761" s="14"/>
      <c r="R761" s="14"/>
      <c r="S761" s="14"/>
      <c r="T761" s="70"/>
      <c r="U761" s="76" t="s">
        <v>54</v>
      </c>
      <c r="V761" s="76">
        <v>3.0999999999999999E-3</v>
      </c>
      <c r="W761" s="76" t="s">
        <v>54</v>
      </c>
      <c r="X761" s="76">
        <v>3.0999999999999999E-3</v>
      </c>
      <c r="Y761" s="110"/>
      <c r="Z761" s="78"/>
      <c r="AA761" s="79" t="s">
        <v>36</v>
      </c>
      <c r="AB761" s="79" t="s">
        <v>37</v>
      </c>
      <c r="AC761" s="79" t="s">
        <v>37</v>
      </c>
      <c r="AD761" s="79" t="s">
        <v>38</v>
      </c>
      <c r="AE761" s="79" t="s">
        <v>947</v>
      </c>
      <c r="AF761" s="94" t="s">
        <v>948</v>
      </c>
      <c r="AG761" s="79" t="s">
        <v>949</v>
      </c>
      <c r="AH761" s="79"/>
      <c r="AI761" s="53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</row>
    <row r="762" spans="1:110" ht="13.8" x14ac:dyDescent="0.25">
      <c r="A762" s="125">
        <v>1501018</v>
      </c>
      <c r="B762" s="11" t="s">
        <v>940</v>
      </c>
      <c r="C762" s="12" t="s">
        <v>1243</v>
      </c>
      <c r="D762" s="11"/>
      <c r="E762" s="10" t="s">
        <v>1244</v>
      </c>
      <c r="F762" s="10" t="s">
        <v>557</v>
      </c>
      <c r="G762" s="55">
        <f t="shared" si="18"/>
        <v>5.7519476923077002E-3</v>
      </c>
      <c r="H762" s="10">
        <v>2</v>
      </c>
      <c r="I762" s="13">
        <v>57200</v>
      </c>
      <c r="J762" s="56">
        <v>44616</v>
      </c>
      <c r="K762" s="57">
        <v>5.5999999999999999E-3</v>
      </c>
      <c r="M762" s="14"/>
      <c r="N762" s="14"/>
      <c r="O762" s="14"/>
      <c r="P762" s="14"/>
      <c r="Q762" s="14"/>
      <c r="R762" s="14"/>
      <c r="S762" s="14"/>
      <c r="T762" s="70"/>
      <c r="U762" s="76">
        <v>5.1923076923077001E-3</v>
      </c>
      <c r="V762" s="76">
        <v>5.5964000000000003E-4</v>
      </c>
      <c r="W762" s="76">
        <v>5.1923076923077001E-3</v>
      </c>
      <c r="X762" s="76">
        <v>5.5964000000000003E-4</v>
      </c>
      <c r="Y762" s="77" t="s">
        <v>37</v>
      </c>
      <c r="Z762" s="78">
        <v>4400</v>
      </c>
      <c r="AA762" s="79" t="s">
        <v>36</v>
      </c>
      <c r="AB762" s="79" t="s">
        <v>35</v>
      </c>
      <c r="AC762" s="79" t="s">
        <v>37</v>
      </c>
      <c r="AD762" s="79" t="s">
        <v>38</v>
      </c>
      <c r="AE762" s="79" t="s">
        <v>1245</v>
      </c>
      <c r="AF762" s="79" t="s">
        <v>1246</v>
      </c>
      <c r="AG762" s="105" t="s">
        <v>1247</v>
      </c>
      <c r="AH762" s="79"/>
      <c r="AI762" s="53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</row>
    <row r="763" spans="1:110" ht="30.6" x14ac:dyDescent="0.25">
      <c r="A763" s="10">
        <v>1501019</v>
      </c>
      <c r="B763" s="11" t="s">
        <v>940</v>
      </c>
      <c r="C763" s="25" t="s">
        <v>1248</v>
      </c>
      <c r="D763" s="11"/>
      <c r="E763" s="10" t="s">
        <v>946</v>
      </c>
      <c r="F763" s="10" t="s">
        <v>557</v>
      </c>
      <c r="G763" s="55" t="str">
        <f t="shared" si="18"/>
        <v>Obsolete</v>
      </c>
      <c r="H763" s="10">
        <v>4</v>
      </c>
      <c r="I763" s="13">
        <v>100000</v>
      </c>
      <c r="J763" s="56"/>
      <c r="K763" s="57"/>
      <c r="M763" s="14"/>
      <c r="N763" s="14"/>
      <c r="O763" s="14"/>
      <c r="P763" s="14"/>
      <c r="Q763" s="14"/>
      <c r="R763" s="14"/>
      <c r="S763" s="14"/>
      <c r="T763" s="70"/>
      <c r="U763" s="76" t="s">
        <v>54</v>
      </c>
      <c r="V763" s="76">
        <v>3.0999999999999999E-3</v>
      </c>
      <c r="W763" s="76" t="s">
        <v>54</v>
      </c>
      <c r="X763" s="76">
        <v>3.0999999999999999E-3</v>
      </c>
      <c r="Y763" s="110"/>
      <c r="Z763" s="78"/>
      <c r="AA763" s="79" t="s">
        <v>36</v>
      </c>
      <c r="AB763" s="79" t="s">
        <v>37</v>
      </c>
      <c r="AC763" s="79" t="s">
        <v>37</v>
      </c>
      <c r="AD763" s="79" t="s">
        <v>38</v>
      </c>
      <c r="AE763" s="79" t="s">
        <v>947</v>
      </c>
      <c r="AF763" s="94" t="s">
        <v>948</v>
      </c>
      <c r="AG763" s="79" t="s">
        <v>949</v>
      </c>
      <c r="AH763" s="79"/>
      <c r="AI763" s="53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</row>
    <row r="764" spans="1:110" ht="30.6" x14ac:dyDescent="0.25">
      <c r="A764" s="10">
        <v>1501020</v>
      </c>
      <c r="B764" s="11" t="s">
        <v>940</v>
      </c>
      <c r="C764" s="25" t="s">
        <v>1249</v>
      </c>
      <c r="D764" s="11"/>
      <c r="E764" s="10" t="s">
        <v>946</v>
      </c>
      <c r="F764" s="10" t="s">
        <v>557</v>
      </c>
      <c r="G764" s="55">
        <f t="shared" si="18"/>
        <v>6.9600000000000009E-2</v>
      </c>
      <c r="H764" s="10">
        <v>4</v>
      </c>
      <c r="I764" s="13">
        <v>25000</v>
      </c>
      <c r="J764" s="56"/>
      <c r="K764" s="57"/>
      <c r="M764" s="14"/>
      <c r="N764" s="14"/>
      <c r="O764" s="14"/>
      <c r="P764" s="14"/>
      <c r="Q764" s="14"/>
      <c r="R764" s="14"/>
      <c r="S764" s="14"/>
      <c r="T764" s="70"/>
      <c r="U764" s="76">
        <v>6.6500000000000004E-2</v>
      </c>
      <c r="V764" s="76">
        <v>3.0999999999999999E-3</v>
      </c>
      <c r="W764" s="76">
        <v>6.6500000000000004E-2</v>
      </c>
      <c r="X764" s="76">
        <v>3.0999999999999999E-3</v>
      </c>
      <c r="Y764" s="110"/>
      <c r="Z764" s="78"/>
      <c r="AA764" s="79" t="s">
        <v>36</v>
      </c>
      <c r="AB764" s="79" t="s">
        <v>35</v>
      </c>
      <c r="AC764" s="79" t="s">
        <v>37</v>
      </c>
      <c r="AD764" s="79" t="s">
        <v>38</v>
      </c>
      <c r="AE764" s="79" t="s">
        <v>947</v>
      </c>
      <c r="AF764" s="94" t="s">
        <v>948</v>
      </c>
      <c r="AG764" s="79" t="s">
        <v>949</v>
      </c>
      <c r="AH764" s="79"/>
      <c r="AI764" s="53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</row>
    <row r="765" spans="1:110" ht="13.8" x14ac:dyDescent="0.25">
      <c r="A765" s="10">
        <v>1501021</v>
      </c>
      <c r="B765" s="11" t="s">
        <v>1211</v>
      </c>
      <c r="C765" s="12" t="s">
        <v>1250</v>
      </c>
      <c r="D765" s="11"/>
      <c r="E765" s="10" t="s">
        <v>1224</v>
      </c>
      <c r="F765" s="10" t="s">
        <v>557</v>
      </c>
      <c r="G765" s="55" t="str">
        <f t="shared" si="18"/>
        <v>Obsolete</v>
      </c>
      <c r="H765" s="10"/>
      <c r="I765" s="13"/>
      <c r="J765" s="56"/>
      <c r="K765" s="57"/>
      <c r="M765" s="10"/>
      <c r="N765" s="10"/>
      <c r="O765" s="29"/>
      <c r="P765" s="29"/>
      <c r="Q765" s="29"/>
      <c r="R765" s="29"/>
      <c r="S765" s="29"/>
      <c r="T765" s="72"/>
      <c r="U765" s="97" t="s">
        <v>54</v>
      </c>
      <c r="V765" s="97"/>
      <c r="W765" s="97" t="s">
        <v>54</v>
      </c>
      <c r="X765" s="97"/>
      <c r="Y765" s="97"/>
      <c r="Z765" s="78"/>
      <c r="AA765" s="79" t="s">
        <v>1251</v>
      </c>
      <c r="AB765" s="79" t="s">
        <v>37</v>
      </c>
      <c r="AC765" s="79" t="s">
        <v>37</v>
      </c>
      <c r="AD765" s="79"/>
      <c r="AE765" s="79" t="s">
        <v>1225</v>
      </c>
      <c r="AF765" s="79" t="s">
        <v>1226</v>
      </c>
      <c r="AG765" s="79" t="s">
        <v>1227</v>
      </c>
      <c r="AH765" s="79"/>
      <c r="AI765" s="53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</row>
    <row r="766" spans="1:110" ht="13.8" x14ac:dyDescent="0.25">
      <c r="A766" s="10">
        <v>1501022</v>
      </c>
      <c r="B766" s="11" t="s">
        <v>1211</v>
      </c>
      <c r="C766" s="12" t="s">
        <v>1252</v>
      </c>
      <c r="D766" s="11"/>
      <c r="E766" s="10" t="s">
        <v>1224</v>
      </c>
      <c r="F766" s="10" t="s">
        <v>557</v>
      </c>
      <c r="G766" s="55" t="str">
        <f t="shared" si="18"/>
        <v>Obsolete</v>
      </c>
      <c r="H766" s="10"/>
      <c r="I766" s="13"/>
      <c r="J766" s="56"/>
      <c r="K766" s="57"/>
      <c r="M766" s="10"/>
      <c r="N766" s="10"/>
      <c r="O766" s="29"/>
      <c r="P766" s="29"/>
      <c r="Q766" s="29"/>
      <c r="R766" s="29"/>
      <c r="S766" s="29"/>
      <c r="T766" s="72"/>
      <c r="U766" s="97" t="s">
        <v>54</v>
      </c>
      <c r="V766" s="97"/>
      <c r="W766" s="97" t="s">
        <v>54</v>
      </c>
      <c r="X766" s="97"/>
      <c r="Y766" s="97"/>
      <c r="Z766" s="78"/>
      <c r="AA766" s="79" t="s">
        <v>1251</v>
      </c>
      <c r="AB766" s="79" t="s">
        <v>37</v>
      </c>
      <c r="AC766" s="79" t="s">
        <v>37</v>
      </c>
      <c r="AD766" s="79"/>
      <c r="AE766" s="79" t="s">
        <v>1225</v>
      </c>
      <c r="AF766" s="79" t="s">
        <v>1226</v>
      </c>
      <c r="AG766" s="79" t="s">
        <v>1227</v>
      </c>
      <c r="AH766" s="79"/>
      <c r="AI766" s="53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</row>
    <row r="767" spans="1:110" ht="13.8" x14ac:dyDescent="0.25">
      <c r="A767" s="10">
        <v>1501023</v>
      </c>
      <c r="B767" s="11" t="s">
        <v>1211</v>
      </c>
      <c r="C767" s="12" t="s">
        <v>1253</v>
      </c>
      <c r="D767" s="11"/>
      <c r="E767" s="10" t="s">
        <v>1224</v>
      </c>
      <c r="F767" s="10" t="s">
        <v>557</v>
      </c>
      <c r="G767" s="55" t="str">
        <f t="shared" si="18"/>
        <v>Obsolete</v>
      </c>
      <c r="H767" s="10"/>
      <c r="I767" s="13"/>
      <c r="J767" s="56"/>
      <c r="K767" s="57"/>
      <c r="M767" s="10"/>
      <c r="N767" s="10"/>
      <c r="O767" s="29"/>
      <c r="P767" s="29"/>
      <c r="Q767" s="29"/>
      <c r="R767" s="29"/>
      <c r="S767" s="29"/>
      <c r="T767" s="72"/>
      <c r="U767" s="97" t="s">
        <v>54</v>
      </c>
      <c r="V767" s="97"/>
      <c r="W767" s="97" t="s">
        <v>54</v>
      </c>
      <c r="X767" s="97"/>
      <c r="Y767" s="97"/>
      <c r="Z767" s="78"/>
      <c r="AA767" s="79" t="s">
        <v>64</v>
      </c>
      <c r="AB767" s="79" t="s">
        <v>37</v>
      </c>
      <c r="AC767" s="79" t="s">
        <v>37</v>
      </c>
      <c r="AD767" s="79"/>
      <c r="AE767" s="79" t="s">
        <v>1225</v>
      </c>
      <c r="AF767" s="79" t="s">
        <v>1226</v>
      </c>
      <c r="AG767" s="79" t="s">
        <v>1227</v>
      </c>
      <c r="AH767" s="79"/>
      <c r="AI767" s="53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</row>
    <row r="768" spans="1:110" ht="13.8" x14ac:dyDescent="0.25">
      <c r="A768" s="10">
        <v>1501024</v>
      </c>
      <c r="B768" s="11" t="s">
        <v>1211</v>
      </c>
      <c r="C768" s="12" t="s">
        <v>1254</v>
      </c>
      <c r="D768" s="11"/>
      <c r="E768" s="10" t="s">
        <v>1224</v>
      </c>
      <c r="F768" s="10" t="s">
        <v>557</v>
      </c>
      <c r="G768" s="55" t="str">
        <f t="shared" si="18"/>
        <v>Obsolete</v>
      </c>
      <c r="H768" s="10"/>
      <c r="I768" s="13"/>
      <c r="J768" s="56"/>
      <c r="K768" s="57"/>
      <c r="M768" s="10"/>
      <c r="N768" s="10"/>
      <c r="O768" s="29"/>
      <c r="P768" s="29"/>
      <c r="Q768" s="29"/>
      <c r="R768" s="29"/>
      <c r="S768" s="29"/>
      <c r="T768" s="72"/>
      <c r="U768" s="97" t="s">
        <v>54</v>
      </c>
      <c r="V768" s="97"/>
      <c r="W768" s="97" t="s">
        <v>54</v>
      </c>
      <c r="X768" s="97"/>
      <c r="Y768" s="97"/>
      <c r="Z768" s="78"/>
      <c r="AA768" s="79" t="s">
        <v>1251</v>
      </c>
      <c r="AB768" s="79" t="s">
        <v>37</v>
      </c>
      <c r="AC768" s="79" t="s">
        <v>37</v>
      </c>
      <c r="AD768" s="79"/>
      <c r="AE768" s="79" t="s">
        <v>1225</v>
      </c>
      <c r="AF768" s="79" t="s">
        <v>1226</v>
      </c>
      <c r="AG768" s="79" t="s">
        <v>1227</v>
      </c>
      <c r="AH768" s="79"/>
      <c r="AI768" s="53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</row>
    <row r="769" spans="1:110" ht="20.399999999999999" x14ac:dyDescent="0.25">
      <c r="A769" s="10">
        <v>1501025</v>
      </c>
      <c r="B769" s="11" t="s">
        <v>1211</v>
      </c>
      <c r="C769" s="25" t="s">
        <v>1255</v>
      </c>
      <c r="D769" s="10" t="s">
        <v>1211</v>
      </c>
      <c r="E769" s="10" t="s">
        <v>1275</v>
      </c>
      <c r="F769" s="10" t="s">
        <v>557</v>
      </c>
      <c r="G769" s="55">
        <f t="shared" si="18"/>
        <v>3.11</v>
      </c>
      <c r="H769" s="10">
        <v>1</v>
      </c>
      <c r="I769" s="13">
        <v>500</v>
      </c>
      <c r="J769" s="56">
        <v>44601</v>
      </c>
      <c r="K769" s="76">
        <v>2.2679999999999998</v>
      </c>
      <c r="M769" s="14"/>
      <c r="N769" s="14"/>
      <c r="O769" s="14"/>
      <c r="P769" s="14"/>
      <c r="Q769" s="14"/>
      <c r="R769" s="14"/>
      <c r="S769" s="14"/>
      <c r="T769" s="70"/>
      <c r="U769" s="76">
        <v>3.11</v>
      </c>
      <c r="V769" s="76">
        <v>0</v>
      </c>
      <c r="W769" s="76">
        <v>3.11</v>
      </c>
      <c r="X769" s="76">
        <v>0</v>
      </c>
      <c r="Y769" s="77" t="s">
        <v>37</v>
      </c>
      <c r="Z769" s="78">
        <v>10</v>
      </c>
      <c r="AA769" s="79" t="s">
        <v>1214</v>
      </c>
      <c r="AB769" s="79" t="s">
        <v>35</v>
      </c>
      <c r="AC769" s="79" t="s">
        <v>37</v>
      </c>
      <c r="AD769" s="79" t="s">
        <v>38</v>
      </c>
      <c r="AE769" s="79" t="s">
        <v>1276</v>
      </c>
      <c r="AF769" s="79" t="s">
        <v>1277</v>
      </c>
      <c r="AG769" s="105" t="s">
        <v>1278</v>
      </c>
      <c r="AH769" s="79"/>
      <c r="AI769" s="53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</row>
    <row r="770" spans="1:110" ht="13.8" x14ac:dyDescent="0.25">
      <c r="A770" s="10">
        <v>1501026</v>
      </c>
      <c r="B770" s="11" t="s">
        <v>1211</v>
      </c>
      <c r="C770" s="12" t="s">
        <v>1256</v>
      </c>
      <c r="D770" s="10" t="s">
        <v>1257</v>
      </c>
      <c r="E770" s="10" t="s">
        <v>1221</v>
      </c>
      <c r="F770" s="10" t="s">
        <v>557</v>
      </c>
      <c r="G770" s="55" t="str">
        <f t="shared" si="18"/>
        <v>Obsolete</v>
      </c>
      <c r="H770" s="10"/>
      <c r="I770" s="13"/>
      <c r="J770" s="56"/>
      <c r="K770" s="57"/>
      <c r="M770" s="10">
        <v>0.93899999999999995</v>
      </c>
      <c r="N770" s="10"/>
      <c r="O770" s="29"/>
      <c r="P770" s="29"/>
      <c r="Q770" s="29"/>
      <c r="R770" s="29"/>
      <c r="S770" s="29"/>
      <c r="T770" s="72"/>
      <c r="U770" s="97" t="s">
        <v>54</v>
      </c>
      <c r="V770" s="97"/>
      <c r="W770" s="97" t="s">
        <v>54</v>
      </c>
      <c r="X770" s="97"/>
      <c r="Y770" s="97"/>
      <c r="Z770" s="78"/>
      <c r="AA770" s="79" t="s">
        <v>1257</v>
      </c>
      <c r="AB770" s="79" t="s">
        <v>37</v>
      </c>
      <c r="AC770" s="79" t="s">
        <v>37</v>
      </c>
      <c r="AD770" s="79"/>
      <c r="AE770" s="79"/>
      <c r="AF770" s="79"/>
      <c r="AG770" s="79"/>
      <c r="AH770" s="79"/>
      <c r="AI770" s="53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</row>
    <row r="771" spans="1:110" ht="13.8" x14ac:dyDescent="0.25">
      <c r="A771" s="10">
        <v>1501027</v>
      </c>
      <c r="B771" s="11" t="s">
        <v>1211</v>
      </c>
      <c r="C771" s="12" t="s">
        <v>1256</v>
      </c>
      <c r="D771" s="10"/>
      <c r="E771" s="10" t="s">
        <v>1258</v>
      </c>
      <c r="F771" s="10" t="s">
        <v>557</v>
      </c>
      <c r="G771" s="55" t="str">
        <f t="shared" si="18"/>
        <v>Obsolete</v>
      </c>
      <c r="H771" s="10"/>
      <c r="I771" s="13"/>
      <c r="J771" s="56"/>
      <c r="K771" s="57"/>
      <c r="M771" s="10">
        <v>1.28</v>
      </c>
      <c r="N771" s="10"/>
      <c r="O771" s="29"/>
      <c r="P771" s="29"/>
      <c r="Q771" s="29"/>
      <c r="R771" s="29"/>
      <c r="S771" s="29"/>
      <c r="T771" s="72"/>
      <c r="U771" s="97" t="s">
        <v>54</v>
      </c>
      <c r="V771" s="97"/>
      <c r="W771" s="97" t="s">
        <v>54</v>
      </c>
      <c r="X771" s="97"/>
      <c r="Y771" s="97"/>
      <c r="Z771" s="78"/>
      <c r="AA771" s="79"/>
      <c r="AB771" s="79" t="s">
        <v>37</v>
      </c>
      <c r="AC771" s="79" t="s">
        <v>37</v>
      </c>
      <c r="AD771" s="79"/>
      <c r="AE771" s="79"/>
      <c r="AF771" s="79"/>
      <c r="AG771" s="79"/>
      <c r="AH771" s="79"/>
      <c r="AI771" s="53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</row>
    <row r="772" spans="1:110" ht="13.8" x14ac:dyDescent="0.25">
      <c r="A772" s="10">
        <v>1501028</v>
      </c>
      <c r="B772" s="11" t="s">
        <v>1211</v>
      </c>
      <c r="C772" s="25" t="s">
        <v>1259</v>
      </c>
      <c r="D772" s="10"/>
      <c r="E772" s="10" t="s">
        <v>1213</v>
      </c>
      <c r="F772" s="10" t="s">
        <v>557</v>
      </c>
      <c r="G772" s="55">
        <v>0.16</v>
      </c>
      <c r="H772" s="10">
        <v>1</v>
      </c>
      <c r="I772" s="13">
        <v>1500</v>
      </c>
      <c r="J772" s="56">
        <v>44414</v>
      </c>
      <c r="K772" s="57">
        <v>0.15</v>
      </c>
      <c r="M772" s="14"/>
      <c r="N772" s="14"/>
      <c r="O772" s="14"/>
      <c r="P772" s="14"/>
      <c r="Q772" s="14"/>
      <c r="R772" s="14"/>
      <c r="S772" s="14"/>
      <c r="T772" s="70"/>
      <c r="U772" s="76">
        <v>0.16</v>
      </c>
      <c r="V772" s="76">
        <v>0</v>
      </c>
      <c r="W772" s="76">
        <v>0.16</v>
      </c>
      <c r="X772" s="76">
        <v>0</v>
      </c>
      <c r="Y772" s="77" t="s">
        <v>37</v>
      </c>
      <c r="Z772" s="78">
        <v>50</v>
      </c>
      <c r="AA772" s="79" t="s">
        <v>1214</v>
      </c>
      <c r="AB772" s="79" t="s">
        <v>35</v>
      </c>
      <c r="AC772" s="79" t="s">
        <v>37</v>
      </c>
      <c r="AD772" s="79" t="s">
        <v>38</v>
      </c>
      <c r="AE772" s="79" t="s">
        <v>1511</v>
      </c>
      <c r="AF772" s="79" t="s">
        <v>1513</v>
      </c>
      <c r="AG772" s="81" t="s">
        <v>1278</v>
      </c>
      <c r="AH772" s="79"/>
      <c r="AI772" s="53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</row>
    <row r="773" spans="1:110" ht="13.8" x14ac:dyDescent="0.25">
      <c r="A773" s="10">
        <v>1501029</v>
      </c>
      <c r="B773" s="11" t="s">
        <v>1211</v>
      </c>
      <c r="C773" s="12" t="s">
        <v>1260</v>
      </c>
      <c r="D773" s="10"/>
      <c r="E773" s="10" t="s">
        <v>1261</v>
      </c>
      <c r="F773" s="10" t="s">
        <v>557</v>
      </c>
      <c r="G773" s="55" t="str">
        <f t="shared" si="18"/>
        <v>Obsolete</v>
      </c>
      <c r="H773" s="10"/>
      <c r="I773" s="13"/>
      <c r="J773" s="56"/>
      <c r="K773" s="57"/>
      <c r="M773" s="10"/>
      <c r="N773" s="10"/>
      <c r="O773" s="29"/>
      <c r="P773" s="29"/>
      <c r="Q773" s="29"/>
      <c r="R773" s="29"/>
      <c r="S773" s="29"/>
      <c r="T773" s="72"/>
      <c r="U773" s="97" t="s">
        <v>54</v>
      </c>
      <c r="V773" s="97"/>
      <c r="W773" s="97" t="s">
        <v>54</v>
      </c>
      <c r="X773" s="97"/>
      <c r="Y773" s="97"/>
      <c r="Z773" s="78"/>
      <c r="AA773" s="79" t="s">
        <v>1262</v>
      </c>
      <c r="AB773" s="79" t="s">
        <v>37</v>
      </c>
      <c r="AC773" s="79" t="s">
        <v>37</v>
      </c>
      <c r="AD773" s="79"/>
      <c r="AE773" s="79"/>
      <c r="AF773" s="79"/>
      <c r="AG773" s="79"/>
      <c r="AH773" s="79"/>
      <c r="AI773" s="53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</row>
    <row r="774" spans="1:110" ht="13.8" x14ac:dyDescent="0.25">
      <c r="A774" s="10">
        <v>1501030</v>
      </c>
      <c r="B774" s="11" t="s">
        <v>1211</v>
      </c>
      <c r="C774" s="12" t="s">
        <v>1263</v>
      </c>
      <c r="D774" s="10"/>
      <c r="E774" s="10" t="s">
        <v>116</v>
      </c>
      <c r="F774" s="10" t="s">
        <v>557</v>
      </c>
      <c r="G774" s="55" t="str">
        <f t="shared" si="18"/>
        <v>Obsolete</v>
      </c>
      <c r="H774" s="10"/>
      <c r="I774" s="13"/>
      <c r="J774" s="56"/>
      <c r="K774" s="57"/>
      <c r="M774" s="14"/>
      <c r="N774" s="14"/>
      <c r="O774" s="14"/>
      <c r="P774" s="14"/>
      <c r="Q774" s="14"/>
      <c r="R774" s="14"/>
      <c r="S774" s="14"/>
      <c r="T774" s="70"/>
      <c r="U774" s="76" t="s">
        <v>54</v>
      </c>
      <c r="V774" s="76" t="s">
        <v>38</v>
      </c>
      <c r="W774" s="76" t="s">
        <v>54</v>
      </c>
      <c r="X774" s="76" t="s">
        <v>38</v>
      </c>
      <c r="Y774" s="77" t="s">
        <v>37</v>
      </c>
      <c r="Z774" s="78"/>
      <c r="AA774" s="79" t="s">
        <v>162</v>
      </c>
      <c r="AB774" s="79" t="s">
        <v>37</v>
      </c>
      <c r="AC774" s="79" t="s">
        <v>35</v>
      </c>
      <c r="AD774" s="79" t="s">
        <v>38</v>
      </c>
      <c r="AE774" s="79" t="s">
        <v>1264</v>
      </c>
      <c r="AF774" s="79">
        <v>8991280318</v>
      </c>
      <c r="AG774" s="79" t="s">
        <v>1265</v>
      </c>
      <c r="AH774" s="79"/>
      <c r="AI774" s="53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</row>
    <row r="775" spans="1:110" ht="13.8" x14ac:dyDescent="0.25">
      <c r="A775" s="10">
        <v>1501031</v>
      </c>
      <c r="B775" s="11" t="s">
        <v>1211</v>
      </c>
      <c r="C775" s="12" t="s">
        <v>1266</v>
      </c>
      <c r="D775" s="10" t="s">
        <v>1211</v>
      </c>
      <c r="E775" s="10" t="s">
        <v>1275</v>
      </c>
      <c r="F775" s="10" t="s">
        <v>557</v>
      </c>
      <c r="G775" s="55">
        <f t="shared" si="18"/>
        <v>2.08</v>
      </c>
      <c r="H775" s="10">
        <v>2</v>
      </c>
      <c r="I775" s="13"/>
      <c r="J775" s="56"/>
      <c r="K775" s="57"/>
      <c r="M775" s="14"/>
      <c r="N775" s="14"/>
      <c r="O775" s="14"/>
      <c r="P775" s="14"/>
      <c r="Q775" s="14"/>
      <c r="R775" s="14"/>
      <c r="S775" s="14"/>
      <c r="T775" s="70"/>
      <c r="U775" s="76">
        <v>2.08</v>
      </c>
      <c r="V775" s="76">
        <v>0</v>
      </c>
      <c r="W775" s="76">
        <v>2.08</v>
      </c>
      <c r="X775" s="76">
        <v>0</v>
      </c>
      <c r="Y775" s="77" t="s">
        <v>37</v>
      </c>
      <c r="Z775" s="78"/>
      <c r="AA775" s="79" t="s">
        <v>365</v>
      </c>
      <c r="AB775" s="79" t="s">
        <v>35</v>
      </c>
      <c r="AC775" s="79" t="s">
        <v>35</v>
      </c>
      <c r="AD775" s="79" t="s">
        <v>38</v>
      </c>
      <c r="AE775" s="79" t="s">
        <v>1276</v>
      </c>
      <c r="AF775" s="79" t="s">
        <v>1277</v>
      </c>
      <c r="AG775" s="105" t="s">
        <v>1278</v>
      </c>
      <c r="AH775" s="79"/>
      <c r="AI775" s="53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</row>
    <row r="776" spans="1:110" ht="13.8" x14ac:dyDescent="0.25">
      <c r="A776" s="10">
        <v>1501032</v>
      </c>
      <c r="B776" s="11" t="s">
        <v>1211</v>
      </c>
      <c r="C776" s="12" t="s">
        <v>1271</v>
      </c>
      <c r="D776" s="10" t="s">
        <v>1211</v>
      </c>
      <c r="E776" s="10" t="s">
        <v>1275</v>
      </c>
      <c r="F776" s="10" t="s">
        <v>557</v>
      </c>
      <c r="G776" s="55">
        <f t="shared" si="18"/>
        <v>0.24</v>
      </c>
      <c r="H776" s="10">
        <v>2</v>
      </c>
      <c r="I776" s="13"/>
      <c r="J776" s="56"/>
      <c r="K776" s="57"/>
      <c r="M776" s="14"/>
      <c r="N776" s="14"/>
      <c r="O776" s="14"/>
      <c r="P776" s="14"/>
      <c r="Q776" s="14"/>
      <c r="R776" s="14"/>
      <c r="S776" s="14"/>
      <c r="T776" s="70"/>
      <c r="U776" s="76">
        <v>0.24</v>
      </c>
      <c r="V776" s="76">
        <v>0</v>
      </c>
      <c r="W776" s="76">
        <v>0.24</v>
      </c>
      <c r="X776" s="76">
        <v>0</v>
      </c>
      <c r="Y776" s="77" t="s">
        <v>37</v>
      </c>
      <c r="Z776" s="78"/>
      <c r="AA776" s="79" t="s">
        <v>365</v>
      </c>
      <c r="AB776" s="79" t="s">
        <v>35</v>
      </c>
      <c r="AC776" s="79" t="s">
        <v>35</v>
      </c>
      <c r="AD776" s="79" t="s">
        <v>38</v>
      </c>
      <c r="AE776" s="79" t="s">
        <v>1276</v>
      </c>
      <c r="AF776" s="79" t="s">
        <v>1277</v>
      </c>
      <c r="AG776" s="105" t="s">
        <v>1278</v>
      </c>
      <c r="AH776" s="79"/>
      <c r="AI776" s="53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</row>
    <row r="777" spans="1:110" ht="13.8" x14ac:dyDescent="0.25">
      <c r="A777" s="10">
        <v>1501033</v>
      </c>
      <c r="B777" s="11" t="s">
        <v>1211</v>
      </c>
      <c r="C777" s="12" t="s">
        <v>1272</v>
      </c>
      <c r="D777" s="10" t="s">
        <v>1211</v>
      </c>
      <c r="E777" s="10" t="s">
        <v>1267</v>
      </c>
      <c r="F777" s="10" t="s">
        <v>557</v>
      </c>
      <c r="G777" s="55">
        <f t="shared" si="18"/>
        <v>3.26</v>
      </c>
      <c r="H777" s="10">
        <v>2</v>
      </c>
      <c r="I777" s="13"/>
      <c r="J777" s="56"/>
      <c r="K777" s="57"/>
      <c r="M777" s="14"/>
      <c r="N777" s="14"/>
      <c r="O777" s="14"/>
      <c r="P777" s="14"/>
      <c r="Q777" s="14"/>
      <c r="R777" s="14"/>
      <c r="S777" s="14"/>
      <c r="T777" s="70"/>
      <c r="U777" s="76">
        <v>3.26</v>
      </c>
      <c r="V777" s="76">
        <v>0</v>
      </c>
      <c r="W777" s="76">
        <v>3.26</v>
      </c>
      <c r="X777" s="76">
        <v>0</v>
      </c>
      <c r="Y777" s="77" t="s">
        <v>37</v>
      </c>
      <c r="Z777" s="78"/>
      <c r="AA777" s="79" t="s">
        <v>365</v>
      </c>
      <c r="AB777" s="79" t="s">
        <v>35</v>
      </c>
      <c r="AC777" s="79" t="s">
        <v>35</v>
      </c>
      <c r="AD777" s="79" t="s">
        <v>38</v>
      </c>
      <c r="AE777" s="79" t="s">
        <v>1268</v>
      </c>
      <c r="AF777" s="79" t="s">
        <v>1269</v>
      </c>
      <c r="AG777" s="88" t="s">
        <v>1270</v>
      </c>
      <c r="AH777" s="79"/>
      <c r="AI777" s="53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</row>
    <row r="778" spans="1:110" ht="13.8" x14ac:dyDescent="0.25">
      <c r="A778" s="10">
        <v>1501034</v>
      </c>
      <c r="B778" s="11" t="s">
        <v>1211</v>
      </c>
      <c r="C778" s="12" t="s">
        <v>1273</v>
      </c>
      <c r="D778" s="10" t="s">
        <v>1211</v>
      </c>
      <c r="E778" s="10" t="s">
        <v>1231</v>
      </c>
      <c r="F778" s="10" t="s">
        <v>557</v>
      </c>
      <c r="G778" s="55">
        <f t="shared" si="18"/>
        <v>5.8</v>
      </c>
      <c r="H778" s="10">
        <v>2</v>
      </c>
      <c r="I778" s="13"/>
      <c r="J778" s="56"/>
      <c r="K778" s="57"/>
      <c r="M778" s="14"/>
      <c r="N778" s="14"/>
      <c r="O778" s="14"/>
      <c r="P778" s="14"/>
      <c r="Q778" s="14"/>
      <c r="R778" s="14"/>
      <c r="S778" s="14"/>
      <c r="T778" s="70"/>
      <c r="U778" s="76">
        <v>5.8</v>
      </c>
      <c r="V778" s="76">
        <v>0</v>
      </c>
      <c r="W778" s="76">
        <v>5.8</v>
      </c>
      <c r="X778" s="76">
        <v>0</v>
      </c>
      <c r="Y778" s="77" t="s">
        <v>37</v>
      </c>
      <c r="Z778" s="78"/>
      <c r="AA778" s="79" t="s">
        <v>263</v>
      </c>
      <c r="AB778" s="79" t="s">
        <v>35</v>
      </c>
      <c r="AC778" s="79" t="s">
        <v>37</v>
      </c>
      <c r="AD778" s="79" t="s">
        <v>38</v>
      </c>
      <c r="AE778" s="79" t="s">
        <v>1232</v>
      </c>
      <c r="AF778" s="79" t="s">
        <v>1233</v>
      </c>
      <c r="AG778" s="105" t="s">
        <v>1234</v>
      </c>
      <c r="AH778" s="79"/>
      <c r="AI778" s="53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</row>
    <row r="779" spans="1:110" ht="13.8" x14ac:dyDescent="0.25">
      <c r="A779" s="10">
        <v>1501035</v>
      </c>
      <c r="B779" s="11" t="s">
        <v>1211</v>
      </c>
      <c r="C779" s="12" t="s">
        <v>1274</v>
      </c>
      <c r="D779" s="10" t="s">
        <v>1211</v>
      </c>
      <c r="E779" s="10" t="s">
        <v>1275</v>
      </c>
      <c r="F779" s="10" t="s">
        <v>557</v>
      </c>
      <c r="G779" s="55">
        <f t="shared" si="18"/>
        <v>1.76</v>
      </c>
      <c r="H779" s="10">
        <v>2</v>
      </c>
      <c r="I779" s="13"/>
      <c r="J779" s="56"/>
      <c r="K779" s="57"/>
      <c r="M779" s="14"/>
      <c r="N779" s="14"/>
      <c r="O779" s="14"/>
      <c r="P779" s="14"/>
      <c r="Q779" s="14"/>
      <c r="R779" s="14"/>
      <c r="S779" s="14"/>
      <c r="T779" s="70"/>
      <c r="U779" s="76">
        <v>1.76</v>
      </c>
      <c r="V779" s="76">
        <v>0</v>
      </c>
      <c r="W779" s="76">
        <v>1.76</v>
      </c>
      <c r="X779" s="76">
        <v>0</v>
      </c>
      <c r="Y779" s="77" t="s">
        <v>37</v>
      </c>
      <c r="Z779" s="78"/>
      <c r="AA779" s="79" t="s">
        <v>263</v>
      </c>
      <c r="AB779" s="79" t="s">
        <v>35</v>
      </c>
      <c r="AC779" s="79" t="s">
        <v>37</v>
      </c>
      <c r="AD779" s="79" t="s">
        <v>38</v>
      </c>
      <c r="AE779" s="79" t="s">
        <v>1276</v>
      </c>
      <c r="AF779" s="79" t="s">
        <v>1277</v>
      </c>
      <c r="AG779" s="105" t="s">
        <v>1278</v>
      </c>
      <c r="AH779" s="79"/>
      <c r="AI779" s="53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</row>
    <row r="780" spans="1:110" ht="13.8" x14ac:dyDescent="0.25">
      <c r="A780" s="10">
        <v>1501036</v>
      </c>
      <c r="B780" s="11" t="s">
        <v>1211</v>
      </c>
      <c r="C780" s="12" t="s">
        <v>1279</v>
      </c>
      <c r="D780" s="10" t="s">
        <v>1211</v>
      </c>
      <c r="E780" s="10" t="s">
        <v>1275</v>
      </c>
      <c r="F780" s="10" t="s">
        <v>557</v>
      </c>
      <c r="G780" s="55">
        <f t="shared" si="18"/>
        <v>0.56000000000000005</v>
      </c>
      <c r="H780" s="10">
        <v>2</v>
      </c>
      <c r="I780" s="13"/>
      <c r="J780" s="56"/>
      <c r="K780" s="57"/>
      <c r="M780" s="14"/>
      <c r="N780" s="14"/>
      <c r="O780" s="14"/>
      <c r="P780" s="14"/>
      <c r="Q780" s="14"/>
      <c r="R780" s="14"/>
      <c r="S780" s="14"/>
      <c r="T780" s="70"/>
      <c r="U780" s="76">
        <v>0.56000000000000005</v>
      </c>
      <c r="V780" s="76">
        <v>0</v>
      </c>
      <c r="W780" s="76">
        <v>0.56000000000000005</v>
      </c>
      <c r="X780" s="76">
        <v>0</v>
      </c>
      <c r="Y780" s="77" t="s">
        <v>37</v>
      </c>
      <c r="Z780" s="78"/>
      <c r="AA780" s="79" t="s">
        <v>263</v>
      </c>
      <c r="AB780" s="79" t="s">
        <v>35</v>
      </c>
      <c r="AC780" s="79" t="s">
        <v>37</v>
      </c>
      <c r="AD780" s="79" t="s">
        <v>38</v>
      </c>
      <c r="AE780" s="79" t="s">
        <v>1276</v>
      </c>
      <c r="AF780" s="79" t="s">
        <v>1277</v>
      </c>
      <c r="AG780" s="105" t="s">
        <v>1278</v>
      </c>
      <c r="AH780" s="79"/>
      <c r="AI780" s="53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</row>
    <row r="781" spans="1:110" ht="13.8" x14ac:dyDescent="0.25">
      <c r="A781" s="10">
        <v>1501037</v>
      </c>
      <c r="B781" s="11" t="s">
        <v>1211</v>
      </c>
      <c r="C781" s="12" t="s">
        <v>1280</v>
      </c>
      <c r="D781" s="10" t="s">
        <v>1211</v>
      </c>
      <c r="E781" s="10" t="s">
        <v>1275</v>
      </c>
      <c r="F781" s="10" t="s">
        <v>557</v>
      </c>
      <c r="G781" s="55">
        <f t="shared" si="18"/>
        <v>0.36</v>
      </c>
      <c r="H781" s="10">
        <v>2</v>
      </c>
      <c r="I781" s="13"/>
      <c r="J781" s="56"/>
      <c r="K781" s="57"/>
      <c r="M781" s="14"/>
      <c r="N781" s="14"/>
      <c r="O781" s="14"/>
      <c r="P781" s="14"/>
      <c r="Q781" s="14"/>
      <c r="R781" s="14"/>
      <c r="S781" s="14"/>
      <c r="T781" s="70"/>
      <c r="U781" s="76">
        <v>0.36</v>
      </c>
      <c r="V781" s="76">
        <v>0</v>
      </c>
      <c r="W781" s="76">
        <v>0.36</v>
      </c>
      <c r="X781" s="76">
        <v>0</v>
      </c>
      <c r="Y781" s="77" t="s">
        <v>37</v>
      </c>
      <c r="Z781" s="78"/>
      <c r="AA781" s="79" t="s">
        <v>263</v>
      </c>
      <c r="AB781" s="79" t="s">
        <v>35</v>
      </c>
      <c r="AC781" s="79" t="s">
        <v>37</v>
      </c>
      <c r="AD781" s="79" t="s">
        <v>38</v>
      </c>
      <c r="AE781" s="79" t="s">
        <v>1276</v>
      </c>
      <c r="AF781" s="79" t="s">
        <v>1277</v>
      </c>
      <c r="AG781" s="105" t="s">
        <v>1278</v>
      </c>
      <c r="AH781" s="79"/>
      <c r="AI781" s="53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</row>
    <row r="782" spans="1:110" ht="13.8" x14ac:dyDescent="0.25">
      <c r="A782" s="10">
        <v>1501038</v>
      </c>
      <c r="B782" s="11" t="s">
        <v>1211</v>
      </c>
      <c r="C782" s="12" t="s">
        <v>1281</v>
      </c>
      <c r="D782" s="10" t="s">
        <v>1211</v>
      </c>
      <c r="E782" s="10" t="s">
        <v>1275</v>
      </c>
      <c r="F782" s="10" t="s">
        <v>557</v>
      </c>
      <c r="G782" s="55">
        <f t="shared" si="18"/>
        <v>2.99</v>
      </c>
      <c r="H782" s="10">
        <v>2</v>
      </c>
      <c r="I782" s="13"/>
      <c r="J782" s="56"/>
      <c r="K782" s="57"/>
      <c r="M782" s="14"/>
      <c r="N782" s="14"/>
      <c r="O782" s="14"/>
      <c r="P782" s="14"/>
      <c r="Q782" s="14"/>
      <c r="R782" s="14"/>
      <c r="S782" s="14"/>
      <c r="T782" s="70"/>
      <c r="U782" s="76">
        <v>2.99</v>
      </c>
      <c r="V782" s="76">
        <v>0</v>
      </c>
      <c r="W782" s="76">
        <v>2.99</v>
      </c>
      <c r="X782" s="76">
        <v>0</v>
      </c>
      <c r="Y782" s="77" t="s">
        <v>37</v>
      </c>
      <c r="Z782" s="78"/>
      <c r="AA782" s="79" t="s">
        <v>263</v>
      </c>
      <c r="AB782" s="79" t="s">
        <v>35</v>
      </c>
      <c r="AC782" s="79" t="s">
        <v>37</v>
      </c>
      <c r="AD782" s="79" t="s">
        <v>38</v>
      </c>
      <c r="AE782" s="79" t="s">
        <v>1276</v>
      </c>
      <c r="AF782" s="79" t="s">
        <v>1277</v>
      </c>
      <c r="AG782" s="105" t="s">
        <v>1278</v>
      </c>
      <c r="AH782" s="79"/>
      <c r="AI782" s="53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</row>
    <row r="783" spans="1:110" ht="13.8" x14ac:dyDescent="0.25">
      <c r="A783" s="10">
        <v>1501039</v>
      </c>
      <c r="B783" s="11" t="s">
        <v>1211</v>
      </c>
      <c r="C783" s="12" t="s">
        <v>1282</v>
      </c>
      <c r="D783" s="10" t="s">
        <v>1211</v>
      </c>
      <c r="E783" s="10" t="s">
        <v>1275</v>
      </c>
      <c r="F783" s="10" t="s">
        <v>557</v>
      </c>
      <c r="G783" s="55">
        <f t="shared" si="18"/>
        <v>0.26</v>
      </c>
      <c r="H783" s="10">
        <v>2</v>
      </c>
      <c r="I783" s="13"/>
      <c r="J783" s="56"/>
      <c r="K783" s="57"/>
      <c r="M783" s="14"/>
      <c r="N783" s="14"/>
      <c r="O783" s="14"/>
      <c r="P783" s="14"/>
      <c r="Q783" s="14"/>
      <c r="R783" s="14"/>
      <c r="S783" s="14"/>
      <c r="T783" s="70"/>
      <c r="U783" s="76">
        <v>0.26</v>
      </c>
      <c r="V783" s="76">
        <v>0</v>
      </c>
      <c r="W783" s="76">
        <v>0.26</v>
      </c>
      <c r="X783" s="76">
        <v>0</v>
      </c>
      <c r="Y783" s="77" t="s">
        <v>37</v>
      </c>
      <c r="Z783" s="78"/>
      <c r="AA783" s="79" t="s">
        <v>263</v>
      </c>
      <c r="AB783" s="79" t="s">
        <v>35</v>
      </c>
      <c r="AC783" s="79" t="s">
        <v>37</v>
      </c>
      <c r="AD783" s="79" t="s">
        <v>38</v>
      </c>
      <c r="AE783" s="79" t="s">
        <v>1276</v>
      </c>
      <c r="AF783" s="79" t="s">
        <v>1277</v>
      </c>
      <c r="AG783" s="105" t="s">
        <v>1278</v>
      </c>
      <c r="AH783" s="79"/>
      <c r="AI783" s="53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</row>
    <row r="784" spans="1:110" ht="13.8" x14ac:dyDescent="0.25">
      <c r="A784" s="10">
        <v>1501040</v>
      </c>
      <c r="B784" s="11" t="s">
        <v>1211</v>
      </c>
      <c r="C784" s="12" t="s">
        <v>1283</v>
      </c>
      <c r="D784" s="10" t="s">
        <v>1211</v>
      </c>
      <c r="E784" s="10" t="s">
        <v>1275</v>
      </c>
      <c r="F784" s="10" t="s">
        <v>557</v>
      </c>
      <c r="G784" s="55">
        <f t="shared" si="18"/>
        <v>0</v>
      </c>
      <c r="H784" s="10">
        <v>2</v>
      </c>
      <c r="I784" s="13"/>
      <c r="J784" s="56"/>
      <c r="K784" s="57"/>
      <c r="M784" s="14"/>
      <c r="N784" s="14"/>
      <c r="O784" s="14"/>
      <c r="P784" s="14"/>
      <c r="Q784" s="14"/>
      <c r="R784" s="14"/>
      <c r="S784" s="14"/>
      <c r="T784" s="70"/>
      <c r="U784" s="76">
        <v>0</v>
      </c>
      <c r="V784" s="76">
        <v>0</v>
      </c>
      <c r="W784" s="76">
        <v>0</v>
      </c>
      <c r="X784" s="76">
        <v>0</v>
      </c>
      <c r="Y784" s="77" t="s">
        <v>37</v>
      </c>
      <c r="Z784" s="78"/>
      <c r="AA784" s="79" t="s">
        <v>263</v>
      </c>
      <c r="AB784" s="79" t="s">
        <v>35</v>
      </c>
      <c r="AC784" s="79" t="s">
        <v>37</v>
      </c>
      <c r="AD784" s="79" t="s">
        <v>38</v>
      </c>
      <c r="AE784" s="79" t="s">
        <v>1276</v>
      </c>
      <c r="AF784" s="79" t="s">
        <v>1277</v>
      </c>
      <c r="AG784" s="105" t="s">
        <v>1278</v>
      </c>
      <c r="AH784" s="79"/>
      <c r="AI784" s="53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</row>
    <row r="785" spans="1:110" ht="13.8" x14ac:dyDescent="0.25">
      <c r="A785" s="10">
        <v>1501041</v>
      </c>
      <c r="B785" s="11" t="s">
        <v>1211</v>
      </c>
      <c r="C785" s="12" t="s">
        <v>1284</v>
      </c>
      <c r="D785" s="10" t="s">
        <v>1211</v>
      </c>
      <c r="E785" s="10" t="s">
        <v>1275</v>
      </c>
      <c r="F785" s="10" t="s">
        <v>557</v>
      </c>
      <c r="G785" s="55">
        <f t="shared" si="18"/>
        <v>0.54</v>
      </c>
      <c r="H785" s="10">
        <v>2</v>
      </c>
      <c r="I785" s="13">
        <v>1000</v>
      </c>
      <c r="J785" s="56"/>
      <c r="K785" s="57"/>
      <c r="M785" s="14"/>
      <c r="N785" s="14"/>
      <c r="O785" s="14"/>
      <c r="P785" s="14"/>
      <c r="Q785" s="14"/>
      <c r="R785" s="14"/>
      <c r="S785" s="14"/>
      <c r="T785" s="70"/>
      <c r="U785" s="76">
        <v>0.54</v>
      </c>
      <c r="V785" s="76">
        <v>0</v>
      </c>
      <c r="W785" s="76">
        <v>0.54</v>
      </c>
      <c r="X785" s="76">
        <v>0</v>
      </c>
      <c r="Y785" s="77" t="s">
        <v>37</v>
      </c>
      <c r="Z785" s="78">
        <v>25</v>
      </c>
      <c r="AA785" s="79" t="s">
        <v>36</v>
      </c>
      <c r="AB785" s="79" t="s">
        <v>35</v>
      </c>
      <c r="AC785" s="79" t="s">
        <v>37</v>
      </c>
      <c r="AD785" s="79" t="s">
        <v>38</v>
      </c>
      <c r="AE785" s="79" t="s">
        <v>1276</v>
      </c>
      <c r="AF785" s="79" t="s">
        <v>1277</v>
      </c>
      <c r="AG785" s="105" t="s">
        <v>1278</v>
      </c>
      <c r="AH785" s="79"/>
      <c r="AI785" s="53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</row>
    <row r="786" spans="1:110" ht="13.8" x14ac:dyDescent="0.25">
      <c r="A786" s="10">
        <v>1501042</v>
      </c>
      <c r="B786" s="11" t="s">
        <v>1211</v>
      </c>
      <c r="C786" s="12" t="s">
        <v>1529</v>
      </c>
      <c r="D786" s="10" t="s">
        <v>1211</v>
      </c>
      <c r="E786" s="10" t="s">
        <v>1275</v>
      </c>
      <c r="F786" s="10" t="s">
        <v>557</v>
      </c>
      <c r="G786" s="55">
        <f t="shared" si="18"/>
        <v>1.77</v>
      </c>
      <c r="H786" s="10">
        <v>2</v>
      </c>
      <c r="I786" s="13">
        <v>180</v>
      </c>
      <c r="J786" s="56"/>
      <c r="K786" s="57"/>
      <c r="M786" s="14"/>
      <c r="N786" s="14"/>
      <c r="O786" s="14"/>
      <c r="P786" s="14"/>
      <c r="Q786" s="14"/>
      <c r="R786" s="14"/>
      <c r="S786" s="14"/>
      <c r="T786" s="70"/>
      <c r="U786" s="76">
        <v>1.77</v>
      </c>
      <c r="V786" s="76">
        <v>0</v>
      </c>
      <c r="W786" s="76">
        <v>1.77</v>
      </c>
      <c r="X786" s="76">
        <v>0</v>
      </c>
      <c r="Y786" s="77" t="s">
        <v>37</v>
      </c>
      <c r="Z786" s="78">
        <v>10</v>
      </c>
      <c r="AA786" s="79" t="s">
        <v>102</v>
      </c>
      <c r="AB786" s="79" t="s">
        <v>35</v>
      </c>
      <c r="AC786" s="79" t="s">
        <v>35</v>
      </c>
      <c r="AD786" s="79" t="s">
        <v>38</v>
      </c>
      <c r="AE786" s="79" t="s">
        <v>1276</v>
      </c>
      <c r="AF786" s="79" t="s">
        <v>1277</v>
      </c>
      <c r="AG786" s="105" t="s">
        <v>1278</v>
      </c>
      <c r="AH786" s="79"/>
      <c r="AI786" s="53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</row>
    <row r="787" spans="1:110" ht="13.8" x14ac:dyDescent="0.25">
      <c r="A787" s="10">
        <v>1501043</v>
      </c>
      <c r="B787" s="11" t="s">
        <v>1211</v>
      </c>
      <c r="C787" s="12" t="s">
        <v>1528</v>
      </c>
      <c r="D787" s="10" t="s">
        <v>1211</v>
      </c>
      <c r="E787" s="10" t="s">
        <v>1275</v>
      </c>
      <c r="F787" s="10" t="s">
        <v>557</v>
      </c>
      <c r="G787" s="55">
        <f t="shared" si="18"/>
        <v>0.32</v>
      </c>
      <c r="H787" s="10">
        <v>2</v>
      </c>
      <c r="I787" s="13">
        <v>1700</v>
      </c>
      <c r="J787" s="56"/>
      <c r="K787" s="57"/>
      <c r="M787" s="14"/>
      <c r="N787" s="14"/>
      <c r="O787" s="14"/>
      <c r="P787" s="14"/>
      <c r="Q787" s="14"/>
      <c r="R787" s="14"/>
      <c r="S787" s="14"/>
      <c r="T787" s="70"/>
      <c r="U787" s="76">
        <v>0.32</v>
      </c>
      <c r="V787" s="76">
        <v>0</v>
      </c>
      <c r="W787" s="76">
        <v>0.32</v>
      </c>
      <c r="X787" s="76">
        <v>0</v>
      </c>
      <c r="Y787" s="77" t="s">
        <v>37</v>
      </c>
      <c r="Z787" s="78">
        <v>50</v>
      </c>
      <c r="AA787" s="79" t="s">
        <v>102</v>
      </c>
      <c r="AB787" s="79" t="s">
        <v>35</v>
      </c>
      <c r="AC787" s="79" t="s">
        <v>35</v>
      </c>
      <c r="AD787" s="79" t="s">
        <v>38</v>
      </c>
      <c r="AE787" s="79" t="s">
        <v>1276</v>
      </c>
      <c r="AF787" s="79" t="s">
        <v>1277</v>
      </c>
      <c r="AG787" s="105" t="s">
        <v>1278</v>
      </c>
      <c r="AH787" s="79"/>
      <c r="AI787" s="53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</row>
    <row r="788" spans="1:110" ht="13.8" x14ac:dyDescent="0.25">
      <c r="A788" s="10">
        <v>1501044</v>
      </c>
      <c r="B788" s="11" t="s">
        <v>1211</v>
      </c>
      <c r="C788" s="12" t="s">
        <v>1554</v>
      </c>
      <c r="D788" s="10" t="s">
        <v>1211</v>
      </c>
      <c r="E788" s="10" t="s">
        <v>102</v>
      </c>
      <c r="F788" s="10" t="s">
        <v>557</v>
      </c>
      <c r="G788" s="55">
        <f t="shared" si="18"/>
        <v>0</v>
      </c>
      <c r="H788" s="10"/>
      <c r="I788" s="13"/>
      <c r="J788" s="56"/>
      <c r="K788" s="57"/>
      <c r="M788" s="14"/>
      <c r="N788" s="14"/>
      <c r="O788" s="14"/>
      <c r="P788" s="14"/>
      <c r="Q788" s="14"/>
      <c r="R788" s="14"/>
      <c r="S788" s="14"/>
      <c r="T788" s="70"/>
      <c r="U788" s="76">
        <v>0</v>
      </c>
      <c r="V788" s="76">
        <v>0</v>
      </c>
      <c r="W788" s="76">
        <v>0</v>
      </c>
      <c r="X788" s="76">
        <v>0</v>
      </c>
      <c r="Y788" s="77" t="s">
        <v>37</v>
      </c>
      <c r="Z788" s="78"/>
      <c r="AA788" s="79" t="s">
        <v>102</v>
      </c>
      <c r="AB788" s="79" t="s">
        <v>35</v>
      </c>
      <c r="AC788" s="79" t="s">
        <v>35</v>
      </c>
      <c r="AD788" s="79" t="s">
        <v>38</v>
      </c>
      <c r="AE788" s="79"/>
      <c r="AF788" s="79"/>
      <c r="AG788" s="105"/>
      <c r="AH788" s="79"/>
      <c r="AI788" s="53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</row>
    <row r="789" spans="1:110" ht="20.399999999999999" x14ac:dyDescent="0.25">
      <c r="A789" s="10">
        <v>1501045</v>
      </c>
      <c r="B789" s="11" t="s">
        <v>1211</v>
      </c>
      <c r="C789" s="25" t="s">
        <v>1579</v>
      </c>
      <c r="D789" s="10" t="s">
        <v>1211</v>
      </c>
      <c r="E789" s="10" t="s">
        <v>102</v>
      </c>
      <c r="F789" s="10" t="s">
        <v>557</v>
      </c>
      <c r="G789" s="55">
        <f t="shared" si="18"/>
        <v>0.41</v>
      </c>
      <c r="H789" s="10">
        <v>2</v>
      </c>
      <c r="I789" s="13"/>
      <c r="J789" s="56"/>
      <c r="K789" s="57"/>
      <c r="M789" s="14"/>
      <c r="N789" s="14"/>
      <c r="O789" s="14"/>
      <c r="P789" s="14"/>
      <c r="Q789" s="14"/>
      <c r="R789" s="14"/>
      <c r="S789" s="14"/>
      <c r="T789" s="70"/>
      <c r="U789" s="76">
        <v>0.41</v>
      </c>
      <c r="V789" s="76">
        <v>0</v>
      </c>
      <c r="W789" s="76">
        <v>0.41</v>
      </c>
      <c r="X789" s="76">
        <v>0</v>
      </c>
      <c r="Y789" s="77" t="s">
        <v>1580</v>
      </c>
      <c r="Z789" s="78"/>
      <c r="AA789" s="79" t="s">
        <v>102</v>
      </c>
      <c r="AB789" s="79" t="s">
        <v>35</v>
      </c>
      <c r="AC789" s="79" t="s">
        <v>35</v>
      </c>
      <c r="AD789" s="79" t="s">
        <v>38</v>
      </c>
      <c r="AE789" s="79" t="s">
        <v>1276</v>
      </c>
      <c r="AF789" s="79" t="s">
        <v>1277</v>
      </c>
      <c r="AG789" s="105" t="s">
        <v>1278</v>
      </c>
      <c r="AH789" s="79"/>
      <c r="AI789" s="53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</row>
    <row r="790" spans="1:110" ht="13.8" x14ac:dyDescent="0.25">
      <c r="A790" s="10">
        <v>1501101</v>
      </c>
      <c r="B790" s="11" t="s">
        <v>1211</v>
      </c>
      <c r="C790" s="12" t="s">
        <v>1285</v>
      </c>
      <c r="D790" s="10" t="s">
        <v>1286</v>
      </c>
      <c r="E790" s="10" t="s">
        <v>74</v>
      </c>
      <c r="F790" s="10" t="s">
        <v>557</v>
      </c>
      <c r="G790" s="55" t="str">
        <f t="shared" si="18"/>
        <v>Obsolete</v>
      </c>
      <c r="H790" s="10"/>
      <c r="I790" s="13"/>
      <c r="J790" s="56"/>
      <c r="K790" s="57"/>
      <c r="M790" s="10"/>
      <c r="N790" s="10"/>
      <c r="O790" s="29"/>
      <c r="P790" s="29"/>
      <c r="Q790" s="29"/>
      <c r="R790" s="29"/>
      <c r="S790" s="29"/>
      <c r="T790" s="72"/>
      <c r="U790" s="97" t="s">
        <v>54</v>
      </c>
      <c r="V790" s="97"/>
      <c r="W790" s="97" t="s">
        <v>54</v>
      </c>
      <c r="X790" s="97"/>
      <c r="Y790" s="97"/>
      <c r="Z790" s="78"/>
      <c r="AA790" s="79"/>
      <c r="AB790" s="79" t="s">
        <v>37</v>
      </c>
      <c r="AC790" s="79" t="s">
        <v>37</v>
      </c>
      <c r="AD790" s="79"/>
      <c r="AE790" s="79"/>
      <c r="AF790" s="79"/>
      <c r="AG790" s="79"/>
      <c r="AH790" s="79"/>
      <c r="AI790" s="53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</row>
    <row r="791" spans="1:110" ht="13.8" x14ac:dyDescent="0.25">
      <c r="A791" s="10">
        <v>1501102</v>
      </c>
      <c r="B791" s="11" t="s">
        <v>1211</v>
      </c>
      <c r="C791" s="12" t="s">
        <v>1287</v>
      </c>
      <c r="D791" s="10" t="s">
        <v>1288</v>
      </c>
      <c r="E791" s="10" t="s">
        <v>74</v>
      </c>
      <c r="F791" s="10" t="s">
        <v>557</v>
      </c>
      <c r="G791" s="55" t="str">
        <f t="shared" si="18"/>
        <v>Obsolete</v>
      </c>
      <c r="H791" s="10"/>
      <c r="I791" s="13"/>
      <c r="J791" s="56"/>
      <c r="K791" s="57"/>
      <c r="M791" s="10"/>
      <c r="N791" s="10"/>
      <c r="O791" s="29"/>
      <c r="P791" s="29"/>
      <c r="Q791" s="29"/>
      <c r="R791" s="29"/>
      <c r="S791" s="29"/>
      <c r="T791" s="72"/>
      <c r="U791" s="97" t="s">
        <v>54</v>
      </c>
      <c r="V791" s="97"/>
      <c r="W791" s="97" t="s">
        <v>54</v>
      </c>
      <c r="X791" s="97"/>
      <c r="Y791" s="97"/>
      <c r="Z791" s="78"/>
      <c r="AA791" s="79"/>
      <c r="AB791" s="79" t="s">
        <v>37</v>
      </c>
      <c r="AC791" s="79" t="s">
        <v>37</v>
      </c>
      <c r="AD791" s="79"/>
      <c r="AE791" s="79"/>
      <c r="AF791" s="79"/>
      <c r="AG791" s="79"/>
      <c r="AH791" s="79"/>
      <c r="AI791" s="53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</row>
    <row r="792" spans="1:110" ht="13.8" x14ac:dyDescent="0.25">
      <c r="A792" s="10">
        <v>1501103</v>
      </c>
      <c r="B792" s="11" t="s">
        <v>1211</v>
      </c>
      <c r="C792" s="12" t="s">
        <v>1289</v>
      </c>
      <c r="D792" s="10" t="s">
        <v>1290</v>
      </c>
      <c r="E792" s="10" t="s">
        <v>74</v>
      </c>
      <c r="F792" s="10" t="s">
        <v>557</v>
      </c>
      <c r="G792" s="55" t="str">
        <f t="shared" si="18"/>
        <v>Obsolete</v>
      </c>
      <c r="H792" s="10"/>
      <c r="I792" s="13"/>
      <c r="J792" s="56"/>
      <c r="K792" s="57"/>
      <c r="M792" s="10"/>
      <c r="N792" s="10"/>
      <c r="O792" s="29"/>
      <c r="P792" s="29"/>
      <c r="Q792" s="29"/>
      <c r="R792" s="29"/>
      <c r="S792" s="29"/>
      <c r="T792" s="72"/>
      <c r="U792" s="97" t="s">
        <v>54</v>
      </c>
      <c r="V792" s="97"/>
      <c r="W792" s="97" t="s">
        <v>54</v>
      </c>
      <c r="X792" s="97"/>
      <c r="Y792" s="97"/>
      <c r="Z792" s="78"/>
      <c r="AA792" s="79"/>
      <c r="AB792" s="79" t="s">
        <v>37</v>
      </c>
      <c r="AC792" s="79" t="s">
        <v>37</v>
      </c>
      <c r="AD792" s="79"/>
      <c r="AE792" s="79"/>
      <c r="AF792" s="79"/>
      <c r="AG792" s="79"/>
      <c r="AH792" s="79"/>
      <c r="AI792" s="53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</row>
    <row r="793" spans="1:110" ht="13.8" x14ac:dyDescent="0.25">
      <c r="A793" s="10">
        <v>1501104</v>
      </c>
      <c r="B793" s="11" t="s">
        <v>1211</v>
      </c>
      <c r="C793" s="12" t="s">
        <v>1291</v>
      </c>
      <c r="D793" s="10" t="s">
        <v>1292</v>
      </c>
      <c r="E793" s="10" t="s">
        <v>74</v>
      </c>
      <c r="F793" s="10" t="s">
        <v>557</v>
      </c>
      <c r="G793" s="55" t="str">
        <f t="shared" si="18"/>
        <v>Obsolete</v>
      </c>
      <c r="H793" s="10"/>
      <c r="I793" s="13"/>
      <c r="J793" s="56"/>
      <c r="K793" s="57"/>
      <c r="M793" s="10"/>
      <c r="N793" s="10"/>
      <c r="O793" s="29"/>
      <c r="P793" s="29"/>
      <c r="Q793" s="29"/>
      <c r="R793" s="29"/>
      <c r="S793" s="29"/>
      <c r="T793" s="72"/>
      <c r="U793" s="97" t="s">
        <v>54</v>
      </c>
      <c r="V793" s="97"/>
      <c r="W793" s="97" t="s">
        <v>54</v>
      </c>
      <c r="X793" s="97"/>
      <c r="Y793" s="97"/>
      <c r="Z793" s="78"/>
      <c r="AA793" s="79"/>
      <c r="AB793" s="79" t="s">
        <v>37</v>
      </c>
      <c r="AC793" s="79" t="s">
        <v>37</v>
      </c>
      <c r="AD793" s="79"/>
      <c r="AE793" s="79"/>
      <c r="AF793" s="79"/>
      <c r="AG793" s="79"/>
      <c r="AH793" s="79"/>
      <c r="AI793" s="53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</row>
    <row r="794" spans="1:110" ht="13.8" x14ac:dyDescent="0.25">
      <c r="A794" s="10">
        <v>1501105</v>
      </c>
      <c r="B794" s="11" t="s">
        <v>1293</v>
      </c>
      <c r="C794" s="12" t="s">
        <v>1294</v>
      </c>
      <c r="D794" s="10" t="s">
        <v>1295</v>
      </c>
      <c r="E794" s="10" t="s">
        <v>74</v>
      </c>
      <c r="F794" s="10" t="s">
        <v>557</v>
      </c>
      <c r="G794" s="55" t="str">
        <f t="shared" si="18"/>
        <v>Obsolete</v>
      </c>
      <c r="H794" s="10"/>
      <c r="I794" s="13"/>
      <c r="J794" s="56"/>
      <c r="K794" s="57"/>
      <c r="M794" s="10"/>
      <c r="N794" s="10"/>
      <c r="O794" s="29"/>
      <c r="P794" s="29"/>
      <c r="Q794" s="29"/>
      <c r="R794" s="29"/>
      <c r="S794" s="29"/>
      <c r="T794" s="72"/>
      <c r="U794" s="97" t="s">
        <v>54</v>
      </c>
      <c r="V794" s="97"/>
      <c r="W794" s="97" t="s">
        <v>54</v>
      </c>
      <c r="X794" s="97"/>
      <c r="Y794" s="97"/>
      <c r="Z794" s="78"/>
      <c r="AA794" s="79"/>
      <c r="AB794" s="79" t="s">
        <v>37</v>
      </c>
      <c r="AC794" s="79" t="s">
        <v>37</v>
      </c>
      <c r="AD794" s="79"/>
      <c r="AE794" s="79"/>
      <c r="AF794" s="79"/>
      <c r="AG794" s="79"/>
      <c r="AH794" s="79"/>
      <c r="AI794" s="53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</row>
    <row r="795" spans="1:110" ht="13.8" x14ac:dyDescent="0.25">
      <c r="A795" s="10">
        <v>1501106</v>
      </c>
      <c r="B795" s="11" t="s">
        <v>1211</v>
      </c>
      <c r="C795" s="12" t="s">
        <v>1296</v>
      </c>
      <c r="D795" s="10" t="s">
        <v>1211</v>
      </c>
      <c r="E795" s="10" t="s">
        <v>1231</v>
      </c>
      <c r="F795" s="10" t="s">
        <v>557</v>
      </c>
      <c r="G795" s="55">
        <f t="shared" si="18"/>
        <v>0.22600000000000001</v>
      </c>
      <c r="H795" s="10"/>
      <c r="I795" s="13"/>
      <c r="J795" s="56"/>
      <c r="K795" s="57"/>
      <c r="M795" s="10"/>
      <c r="N795" s="10"/>
      <c r="O795" s="29"/>
      <c r="P795" s="29"/>
      <c r="Q795" s="29"/>
      <c r="R795" s="29"/>
      <c r="S795" s="29"/>
      <c r="T795" s="72"/>
      <c r="U795" s="97">
        <v>0.22600000000000001</v>
      </c>
      <c r="V795" s="97">
        <v>0</v>
      </c>
      <c r="W795" s="97">
        <v>0.22600000000000001</v>
      </c>
      <c r="X795" s="97">
        <v>0</v>
      </c>
      <c r="Y795" s="97"/>
      <c r="Z795" s="78"/>
      <c r="AA795" s="79" t="s">
        <v>263</v>
      </c>
      <c r="AB795" s="79" t="s">
        <v>35</v>
      </c>
      <c r="AC795" s="79" t="s">
        <v>37</v>
      </c>
      <c r="AD795" s="79" t="s">
        <v>38</v>
      </c>
      <c r="AE795" s="79" t="s">
        <v>1232</v>
      </c>
      <c r="AF795" s="79" t="s">
        <v>1233</v>
      </c>
      <c r="AG795" s="105" t="s">
        <v>1234</v>
      </c>
      <c r="AH795" s="79"/>
      <c r="AI795" s="53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</row>
    <row r="796" spans="1:110" ht="13.8" x14ac:dyDescent="0.25">
      <c r="A796" s="10">
        <v>1501107</v>
      </c>
      <c r="B796" s="11" t="s">
        <v>1211</v>
      </c>
      <c r="C796" s="12" t="s">
        <v>1635</v>
      </c>
      <c r="D796" s="10" t="s">
        <v>1211</v>
      </c>
      <c r="E796" s="10" t="s">
        <v>1625</v>
      </c>
      <c r="F796" s="10" t="s">
        <v>557</v>
      </c>
      <c r="G796" s="55">
        <v>0</v>
      </c>
      <c r="H796" s="10"/>
      <c r="I796" s="13"/>
      <c r="J796" s="56"/>
      <c r="K796" s="57"/>
      <c r="M796" s="10"/>
      <c r="N796" s="10"/>
      <c r="O796" s="29"/>
      <c r="P796" s="29"/>
      <c r="Q796" s="29"/>
      <c r="R796" s="29"/>
      <c r="S796" s="29"/>
      <c r="T796" s="72"/>
      <c r="U796" s="97"/>
      <c r="V796" s="97"/>
      <c r="W796" s="97"/>
      <c r="X796" s="97"/>
      <c r="Y796" s="97"/>
      <c r="Z796" s="78"/>
      <c r="AA796" s="79"/>
      <c r="AB796" s="79"/>
      <c r="AC796" s="79"/>
      <c r="AD796" s="79"/>
      <c r="AE796" s="79"/>
      <c r="AF796" s="79"/>
      <c r="AG796" s="105"/>
      <c r="AH796" s="79"/>
      <c r="AI796" s="53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</row>
    <row r="797" spans="1:110" ht="13.8" x14ac:dyDescent="0.25">
      <c r="A797" s="10">
        <v>1501108</v>
      </c>
      <c r="B797" s="11" t="s">
        <v>1211</v>
      </c>
      <c r="C797" s="12" t="s">
        <v>1651</v>
      </c>
      <c r="D797" s="10" t="s">
        <v>1211</v>
      </c>
      <c r="E797" s="10" t="s">
        <v>1649</v>
      </c>
      <c r="F797" s="10" t="s">
        <v>557</v>
      </c>
      <c r="G797" s="55">
        <f t="shared" si="18"/>
        <v>0.51</v>
      </c>
      <c r="H797" s="10">
        <v>2</v>
      </c>
      <c r="I797" s="13">
        <v>800</v>
      </c>
      <c r="J797" s="56"/>
      <c r="K797" s="57"/>
      <c r="M797" s="10"/>
      <c r="N797" s="10"/>
      <c r="O797" s="29"/>
      <c r="P797" s="29"/>
      <c r="Q797" s="29"/>
      <c r="R797" s="29"/>
      <c r="S797" s="29"/>
      <c r="T797" s="72"/>
      <c r="U797" s="76">
        <v>0.51</v>
      </c>
      <c r="V797" s="76">
        <v>0</v>
      </c>
      <c r="W797" s="76">
        <v>0.51</v>
      </c>
      <c r="X797" s="76">
        <v>0</v>
      </c>
      <c r="Y797" s="97"/>
      <c r="Z797" s="78"/>
      <c r="AA797" s="79"/>
      <c r="AB797" s="79"/>
      <c r="AC797" s="79"/>
      <c r="AD797" s="79"/>
      <c r="AE797" s="79"/>
      <c r="AF797" s="79"/>
      <c r="AG797" s="105"/>
      <c r="AH797" s="79"/>
      <c r="AI797" s="53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</row>
    <row r="798" spans="1:110" ht="20.399999999999999" x14ac:dyDescent="0.25">
      <c r="A798" s="10">
        <v>1502001</v>
      </c>
      <c r="B798" s="11" t="s">
        <v>1211</v>
      </c>
      <c r="C798" s="25" t="s">
        <v>1297</v>
      </c>
      <c r="D798" s="10" t="s">
        <v>1211</v>
      </c>
      <c r="E798" s="10" t="s">
        <v>1267</v>
      </c>
      <c r="F798" s="10" t="s">
        <v>557</v>
      </c>
      <c r="G798" s="55" t="str">
        <f t="shared" si="18"/>
        <v>Obsolete</v>
      </c>
      <c r="H798" s="10"/>
      <c r="I798" s="13"/>
      <c r="J798" s="56"/>
      <c r="K798" s="57"/>
      <c r="M798" s="14"/>
      <c r="N798" s="14"/>
      <c r="O798" s="14"/>
      <c r="P798" s="14"/>
      <c r="Q798" s="14"/>
      <c r="R798" s="14"/>
      <c r="S798" s="14"/>
      <c r="T798" s="70"/>
      <c r="U798" s="76" t="s">
        <v>54</v>
      </c>
      <c r="V798" s="76">
        <v>0</v>
      </c>
      <c r="W798" s="76" t="s">
        <v>54</v>
      </c>
      <c r="X798" s="76">
        <v>0</v>
      </c>
      <c r="Y798" s="77" t="s">
        <v>37</v>
      </c>
      <c r="Z798" s="78"/>
      <c r="AA798" s="79" t="s">
        <v>277</v>
      </c>
      <c r="AB798" s="79" t="s">
        <v>37</v>
      </c>
      <c r="AC798" s="79" t="s">
        <v>35</v>
      </c>
      <c r="AD798" s="79" t="s">
        <v>38</v>
      </c>
      <c r="AE798" s="79" t="s">
        <v>1215</v>
      </c>
      <c r="AF798" s="79" t="s">
        <v>1216</v>
      </c>
      <c r="AG798" s="88" t="s">
        <v>1217</v>
      </c>
      <c r="AH798" s="79"/>
      <c r="AI798" s="53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</row>
    <row r="799" spans="1:110" ht="20.399999999999999" x14ac:dyDescent="0.25">
      <c r="A799" s="10">
        <v>1502002</v>
      </c>
      <c r="B799" s="11" t="s">
        <v>1211</v>
      </c>
      <c r="C799" s="25" t="s">
        <v>1298</v>
      </c>
      <c r="D799" s="10" t="s">
        <v>1211</v>
      </c>
      <c r="E799" s="10" t="s">
        <v>1267</v>
      </c>
      <c r="F799" s="10" t="s">
        <v>557</v>
      </c>
      <c r="G799" s="55" t="str">
        <f t="shared" si="18"/>
        <v>Obsolete</v>
      </c>
      <c r="H799" s="10"/>
      <c r="I799" s="13"/>
      <c r="J799" s="56"/>
      <c r="K799" s="57"/>
      <c r="M799" s="14"/>
      <c r="N799" s="14"/>
      <c r="O799" s="14"/>
      <c r="P799" s="14"/>
      <c r="Q799" s="14"/>
      <c r="R799" s="14"/>
      <c r="S799" s="14"/>
      <c r="T799" s="70"/>
      <c r="U799" s="76" t="s">
        <v>54</v>
      </c>
      <c r="V799" s="76">
        <v>0</v>
      </c>
      <c r="W799" s="76" t="s">
        <v>54</v>
      </c>
      <c r="X799" s="76">
        <v>0</v>
      </c>
      <c r="Y799" s="77" t="s">
        <v>37</v>
      </c>
      <c r="Z799" s="78"/>
      <c r="AA799" s="79" t="s">
        <v>277</v>
      </c>
      <c r="AB799" s="79" t="s">
        <v>37</v>
      </c>
      <c r="AC799" s="79" t="s">
        <v>35</v>
      </c>
      <c r="AD799" s="79" t="s">
        <v>38</v>
      </c>
      <c r="AE799" s="79" t="s">
        <v>1299</v>
      </c>
      <c r="AF799" s="79" t="s">
        <v>1300</v>
      </c>
      <c r="AG799" s="79" t="s">
        <v>1301</v>
      </c>
      <c r="AH799" s="79"/>
      <c r="AI799" s="53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</row>
    <row r="800" spans="1:110" ht="20.399999999999999" x14ac:dyDescent="0.25">
      <c r="A800" s="10">
        <v>1502003</v>
      </c>
      <c r="B800" s="11" t="s">
        <v>1211</v>
      </c>
      <c r="C800" s="25" t="s">
        <v>1302</v>
      </c>
      <c r="D800" s="10" t="s">
        <v>1211</v>
      </c>
      <c r="E800" s="10" t="s">
        <v>1267</v>
      </c>
      <c r="F800" s="10" t="s">
        <v>557</v>
      </c>
      <c r="G800" s="55" t="str">
        <f t="shared" si="18"/>
        <v>Obsolete</v>
      </c>
      <c r="H800" s="10"/>
      <c r="I800" s="13"/>
      <c r="J800" s="56"/>
      <c r="K800" s="57"/>
      <c r="M800" s="14"/>
      <c r="N800" s="14"/>
      <c r="O800" s="14"/>
      <c r="P800" s="14"/>
      <c r="Q800" s="14"/>
      <c r="R800" s="14"/>
      <c r="S800" s="14"/>
      <c r="T800" s="70"/>
      <c r="U800" s="76" t="s">
        <v>54</v>
      </c>
      <c r="V800" s="76">
        <v>0</v>
      </c>
      <c r="W800" s="76" t="s">
        <v>54</v>
      </c>
      <c r="X800" s="76">
        <v>0</v>
      </c>
      <c r="Y800" s="77" t="s">
        <v>37</v>
      </c>
      <c r="Z800" s="78"/>
      <c r="AA800" s="79" t="s">
        <v>277</v>
      </c>
      <c r="AB800" s="79" t="s">
        <v>37</v>
      </c>
      <c r="AC800" s="79" t="s">
        <v>35</v>
      </c>
      <c r="AD800" s="79" t="s">
        <v>38</v>
      </c>
      <c r="AE800" s="79" t="s">
        <v>1299</v>
      </c>
      <c r="AF800" s="79" t="s">
        <v>1300</v>
      </c>
      <c r="AG800" s="79" t="s">
        <v>1301</v>
      </c>
      <c r="AH800" s="79"/>
      <c r="AI800" s="53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</row>
    <row r="801" spans="1:110" ht="20.399999999999999" x14ac:dyDescent="0.25">
      <c r="A801" s="10">
        <v>1502004</v>
      </c>
      <c r="B801" s="11" t="s">
        <v>1211</v>
      </c>
      <c r="C801" s="25" t="s">
        <v>1303</v>
      </c>
      <c r="D801" s="10" t="s">
        <v>1211</v>
      </c>
      <c r="E801" s="10" t="s">
        <v>1267</v>
      </c>
      <c r="F801" s="10" t="s">
        <v>557</v>
      </c>
      <c r="G801" s="55" t="str">
        <f t="shared" si="18"/>
        <v>Obsolete</v>
      </c>
      <c r="H801" s="10"/>
      <c r="I801" s="13"/>
      <c r="J801" s="56"/>
      <c r="K801" s="57"/>
      <c r="M801" s="14"/>
      <c r="N801" s="14"/>
      <c r="O801" s="14"/>
      <c r="P801" s="14"/>
      <c r="Q801" s="14"/>
      <c r="R801" s="14"/>
      <c r="S801" s="14"/>
      <c r="T801" s="70"/>
      <c r="U801" s="76" t="s">
        <v>54</v>
      </c>
      <c r="V801" s="76">
        <v>0</v>
      </c>
      <c r="W801" s="76" t="s">
        <v>54</v>
      </c>
      <c r="X801" s="76">
        <v>0</v>
      </c>
      <c r="Y801" s="77" t="s">
        <v>37</v>
      </c>
      <c r="Z801" s="78"/>
      <c r="AA801" s="79" t="s">
        <v>277</v>
      </c>
      <c r="AB801" s="79" t="s">
        <v>37</v>
      </c>
      <c r="AC801" s="79" t="s">
        <v>35</v>
      </c>
      <c r="AD801" s="79" t="s">
        <v>38</v>
      </c>
      <c r="AE801" s="79" t="s">
        <v>1299</v>
      </c>
      <c r="AF801" s="79" t="s">
        <v>1300</v>
      </c>
      <c r="AG801" s="79" t="s">
        <v>1301</v>
      </c>
      <c r="AH801" s="79"/>
      <c r="AI801" s="53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</row>
    <row r="802" spans="1:110" ht="20.399999999999999" x14ac:dyDescent="0.25">
      <c r="A802" s="10">
        <v>1502005</v>
      </c>
      <c r="B802" s="11" t="s">
        <v>1211</v>
      </c>
      <c r="C802" s="25" t="s">
        <v>1304</v>
      </c>
      <c r="D802" s="10" t="s">
        <v>1211</v>
      </c>
      <c r="E802" s="10" t="s">
        <v>1267</v>
      </c>
      <c r="F802" s="10" t="s">
        <v>557</v>
      </c>
      <c r="G802" s="55" t="str">
        <f t="shared" si="18"/>
        <v>Obsolete</v>
      </c>
      <c r="H802" s="10"/>
      <c r="I802" s="13"/>
      <c r="J802" s="56"/>
      <c r="K802" s="57"/>
      <c r="M802" s="14"/>
      <c r="N802" s="14"/>
      <c r="O802" s="14"/>
      <c r="P802" s="14"/>
      <c r="Q802" s="14"/>
      <c r="R802" s="14"/>
      <c r="S802" s="14"/>
      <c r="T802" s="70"/>
      <c r="U802" s="76" t="s">
        <v>54</v>
      </c>
      <c r="V802" s="76">
        <v>0</v>
      </c>
      <c r="W802" s="76" t="s">
        <v>54</v>
      </c>
      <c r="X802" s="76">
        <v>0</v>
      </c>
      <c r="Y802" s="77" t="s">
        <v>37</v>
      </c>
      <c r="Z802" s="78"/>
      <c r="AA802" s="79" t="s">
        <v>277</v>
      </c>
      <c r="AB802" s="79" t="s">
        <v>37</v>
      </c>
      <c r="AC802" s="79" t="s">
        <v>35</v>
      </c>
      <c r="AD802" s="79" t="s">
        <v>38</v>
      </c>
      <c r="AE802" s="79" t="s">
        <v>1299</v>
      </c>
      <c r="AF802" s="79" t="s">
        <v>1300</v>
      </c>
      <c r="AG802" s="79" t="s">
        <v>1301</v>
      </c>
      <c r="AH802" s="79"/>
      <c r="AI802" s="53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</row>
    <row r="803" spans="1:110" ht="13.8" x14ac:dyDescent="0.25">
      <c r="A803" s="10">
        <v>1502010</v>
      </c>
      <c r="B803" s="11" t="s">
        <v>1211</v>
      </c>
      <c r="C803" s="12" t="s">
        <v>1305</v>
      </c>
      <c r="D803" s="10" t="s">
        <v>1211</v>
      </c>
      <c r="E803" s="10" t="s">
        <v>116</v>
      </c>
      <c r="F803" s="10" t="s">
        <v>557</v>
      </c>
      <c r="G803" s="55" t="str">
        <f t="shared" si="18"/>
        <v>Obsolete</v>
      </c>
      <c r="H803" s="10"/>
      <c r="I803" s="13"/>
      <c r="J803" s="56"/>
      <c r="K803" s="57"/>
      <c r="M803" s="14"/>
      <c r="N803" s="14"/>
      <c r="O803" s="14"/>
      <c r="P803" s="14"/>
      <c r="Q803" s="14"/>
      <c r="R803" s="14"/>
      <c r="S803" s="14"/>
      <c r="T803" s="70"/>
      <c r="U803" s="76" t="s">
        <v>54</v>
      </c>
      <c r="V803" s="76" t="s">
        <v>38</v>
      </c>
      <c r="W803" s="76" t="s">
        <v>54</v>
      </c>
      <c r="X803" s="76" t="s">
        <v>38</v>
      </c>
      <c r="Y803" s="77" t="s">
        <v>37</v>
      </c>
      <c r="Z803" s="78"/>
      <c r="AA803" s="79" t="s">
        <v>277</v>
      </c>
      <c r="AB803" s="79" t="s">
        <v>37</v>
      </c>
      <c r="AC803" s="79" t="s">
        <v>35</v>
      </c>
      <c r="AD803" s="79" t="s">
        <v>38</v>
      </c>
      <c r="AE803" s="79" t="s">
        <v>1264</v>
      </c>
      <c r="AF803" s="79">
        <v>8991280318</v>
      </c>
      <c r="AG803" s="79" t="s">
        <v>1265</v>
      </c>
      <c r="AH803" s="79"/>
      <c r="AI803" s="53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</row>
    <row r="804" spans="1:110" ht="13.8" x14ac:dyDescent="0.25">
      <c r="A804" s="10">
        <v>1502011</v>
      </c>
      <c r="B804" s="11" t="s">
        <v>1211</v>
      </c>
      <c r="C804" s="12" t="s">
        <v>1306</v>
      </c>
      <c r="D804" s="10" t="s">
        <v>1211</v>
      </c>
      <c r="E804" s="10" t="s">
        <v>116</v>
      </c>
      <c r="F804" s="10" t="s">
        <v>557</v>
      </c>
      <c r="G804" s="55" t="str">
        <f t="shared" si="18"/>
        <v>Obsolete</v>
      </c>
      <c r="H804" s="10"/>
      <c r="I804" s="13"/>
      <c r="J804" s="56"/>
      <c r="K804" s="57"/>
      <c r="M804" s="14"/>
      <c r="N804" s="14"/>
      <c r="O804" s="14"/>
      <c r="P804" s="14"/>
      <c r="Q804" s="14"/>
      <c r="R804" s="14"/>
      <c r="S804" s="14"/>
      <c r="T804" s="70"/>
      <c r="U804" s="76" t="s">
        <v>54</v>
      </c>
      <c r="V804" s="76" t="s">
        <v>38</v>
      </c>
      <c r="W804" s="76" t="s">
        <v>54</v>
      </c>
      <c r="X804" s="76" t="s">
        <v>38</v>
      </c>
      <c r="Y804" s="77" t="s">
        <v>37</v>
      </c>
      <c r="Z804" s="78"/>
      <c r="AA804" s="79" t="s">
        <v>277</v>
      </c>
      <c r="AB804" s="79" t="s">
        <v>37</v>
      </c>
      <c r="AC804" s="79" t="s">
        <v>35</v>
      </c>
      <c r="AD804" s="79" t="s">
        <v>38</v>
      </c>
      <c r="AE804" s="79" t="s">
        <v>1264</v>
      </c>
      <c r="AF804" s="79">
        <v>8991280318</v>
      </c>
      <c r="AG804" s="79" t="s">
        <v>1265</v>
      </c>
      <c r="AH804" s="79"/>
      <c r="AI804" s="53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</row>
    <row r="805" spans="1:110" ht="13.8" x14ac:dyDescent="0.25">
      <c r="A805" s="10">
        <v>1502012</v>
      </c>
      <c r="B805" s="11" t="s">
        <v>1211</v>
      </c>
      <c r="C805" s="12" t="s">
        <v>1307</v>
      </c>
      <c r="D805" s="10" t="s">
        <v>1211</v>
      </c>
      <c r="E805" s="10" t="s">
        <v>116</v>
      </c>
      <c r="F805" s="10" t="s">
        <v>557</v>
      </c>
      <c r="G805" s="55" t="str">
        <f t="shared" si="18"/>
        <v>Obsolete</v>
      </c>
      <c r="H805" s="10"/>
      <c r="I805" s="13"/>
      <c r="J805" s="56"/>
      <c r="K805" s="57"/>
      <c r="M805" s="14"/>
      <c r="N805" s="14"/>
      <c r="O805" s="14"/>
      <c r="P805" s="14"/>
      <c r="Q805" s="14"/>
      <c r="R805" s="14"/>
      <c r="S805" s="14"/>
      <c r="T805" s="70"/>
      <c r="U805" s="76" t="s">
        <v>54</v>
      </c>
      <c r="V805" s="76" t="s">
        <v>38</v>
      </c>
      <c r="W805" s="76" t="s">
        <v>54</v>
      </c>
      <c r="X805" s="76" t="s">
        <v>38</v>
      </c>
      <c r="Y805" s="77" t="s">
        <v>37</v>
      </c>
      <c r="Z805" s="78"/>
      <c r="AA805" s="79" t="s">
        <v>277</v>
      </c>
      <c r="AB805" s="79" t="s">
        <v>37</v>
      </c>
      <c r="AC805" s="79" t="s">
        <v>35</v>
      </c>
      <c r="AD805" s="79" t="s">
        <v>38</v>
      </c>
      <c r="AE805" s="79" t="s">
        <v>1264</v>
      </c>
      <c r="AF805" s="79">
        <v>8991280318</v>
      </c>
      <c r="AG805" s="79" t="s">
        <v>1265</v>
      </c>
      <c r="AH805" s="79"/>
      <c r="AI805" s="53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</row>
    <row r="806" spans="1:110" ht="13.8" x14ac:dyDescent="0.25">
      <c r="A806" s="10">
        <v>1502013</v>
      </c>
      <c r="B806" s="11" t="s">
        <v>1211</v>
      </c>
      <c r="C806" s="12" t="s">
        <v>1308</v>
      </c>
      <c r="D806" s="10" t="s">
        <v>1211</v>
      </c>
      <c r="E806" s="10" t="s">
        <v>116</v>
      </c>
      <c r="F806" s="10" t="s">
        <v>557</v>
      </c>
      <c r="G806" s="55" t="str">
        <f t="shared" si="18"/>
        <v>Obsolete</v>
      </c>
      <c r="H806" s="10"/>
      <c r="I806" s="13"/>
      <c r="J806" s="56"/>
      <c r="K806" s="57"/>
      <c r="M806" s="14"/>
      <c r="N806" s="14"/>
      <c r="O806" s="14"/>
      <c r="P806" s="14"/>
      <c r="Q806" s="14"/>
      <c r="R806" s="14"/>
      <c r="S806" s="14"/>
      <c r="T806" s="70"/>
      <c r="U806" s="76" t="s">
        <v>54</v>
      </c>
      <c r="V806" s="76" t="s">
        <v>38</v>
      </c>
      <c r="W806" s="76" t="s">
        <v>54</v>
      </c>
      <c r="X806" s="76" t="s">
        <v>38</v>
      </c>
      <c r="Y806" s="77" t="s">
        <v>37</v>
      </c>
      <c r="Z806" s="78"/>
      <c r="AA806" s="79" t="s">
        <v>277</v>
      </c>
      <c r="AB806" s="79" t="s">
        <v>37</v>
      </c>
      <c r="AC806" s="79" t="s">
        <v>35</v>
      </c>
      <c r="AD806" s="79" t="s">
        <v>38</v>
      </c>
      <c r="AE806" s="79" t="s">
        <v>1264</v>
      </c>
      <c r="AF806" s="79">
        <v>8991280318</v>
      </c>
      <c r="AG806" s="79" t="s">
        <v>1265</v>
      </c>
      <c r="AH806" s="79"/>
      <c r="AI806" s="53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</row>
    <row r="807" spans="1:110" ht="13.8" x14ac:dyDescent="0.25">
      <c r="A807" s="10">
        <v>1502014</v>
      </c>
      <c r="B807" s="11" t="s">
        <v>1211</v>
      </c>
      <c r="C807" s="12" t="s">
        <v>1309</v>
      </c>
      <c r="D807" s="10" t="s">
        <v>1211</v>
      </c>
      <c r="E807" s="10" t="s">
        <v>116</v>
      </c>
      <c r="F807" s="10" t="s">
        <v>557</v>
      </c>
      <c r="G807" s="55" t="str">
        <f t="shared" si="18"/>
        <v>Obsolete</v>
      </c>
      <c r="H807" s="10"/>
      <c r="I807" s="13"/>
      <c r="J807" s="56"/>
      <c r="K807" s="57"/>
      <c r="M807" s="14"/>
      <c r="N807" s="14"/>
      <c r="O807" s="14"/>
      <c r="P807" s="14"/>
      <c r="Q807" s="14"/>
      <c r="R807" s="14"/>
      <c r="S807" s="14"/>
      <c r="T807" s="70"/>
      <c r="U807" s="76" t="s">
        <v>54</v>
      </c>
      <c r="V807" s="76" t="s">
        <v>38</v>
      </c>
      <c r="W807" s="76" t="s">
        <v>54</v>
      </c>
      <c r="X807" s="76" t="s">
        <v>38</v>
      </c>
      <c r="Y807" s="77" t="s">
        <v>37</v>
      </c>
      <c r="Z807" s="78"/>
      <c r="AA807" s="79" t="s">
        <v>277</v>
      </c>
      <c r="AB807" s="79" t="s">
        <v>37</v>
      </c>
      <c r="AC807" s="79" t="s">
        <v>35</v>
      </c>
      <c r="AD807" s="79" t="s">
        <v>38</v>
      </c>
      <c r="AE807" s="79" t="s">
        <v>1264</v>
      </c>
      <c r="AF807" s="79">
        <v>8991280318</v>
      </c>
      <c r="AG807" s="79" t="s">
        <v>1265</v>
      </c>
      <c r="AH807" s="79"/>
      <c r="AI807" s="53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</row>
    <row r="808" spans="1:110" ht="13.8" x14ac:dyDescent="0.25">
      <c r="A808" s="10">
        <v>1502015</v>
      </c>
      <c r="B808" s="11" t="s">
        <v>1211</v>
      </c>
      <c r="C808" s="12" t="s">
        <v>1310</v>
      </c>
      <c r="D808" s="10" t="s">
        <v>1211</v>
      </c>
      <c r="E808" s="10" t="s">
        <v>1311</v>
      </c>
      <c r="F808" s="10" t="s">
        <v>557</v>
      </c>
      <c r="G808" s="55" t="str">
        <f t="shared" si="18"/>
        <v>Obsolete</v>
      </c>
      <c r="H808" s="10">
        <v>1</v>
      </c>
      <c r="I808" s="13"/>
      <c r="J808" s="56"/>
      <c r="K808" s="57"/>
      <c r="M808" s="14"/>
      <c r="N808" s="14"/>
      <c r="O808" s="14"/>
      <c r="P808" s="14"/>
      <c r="Q808" s="14"/>
      <c r="R808" s="14"/>
      <c r="S808" s="14"/>
      <c r="T808" s="70"/>
      <c r="U808" s="76" t="s">
        <v>54</v>
      </c>
      <c r="V808" s="76">
        <v>0</v>
      </c>
      <c r="W808" s="76" t="s">
        <v>54</v>
      </c>
      <c r="X808" s="76">
        <v>0</v>
      </c>
      <c r="Y808" s="77" t="s">
        <v>37</v>
      </c>
      <c r="Z808" s="78"/>
      <c r="AA808" s="79" t="s">
        <v>36</v>
      </c>
      <c r="AB808" s="79" t="s">
        <v>37</v>
      </c>
      <c r="AC808" s="79" t="s">
        <v>37</v>
      </c>
      <c r="AD808" s="79" t="s">
        <v>38</v>
      </c>
      <c r="AE808" s="79" t="s">
        <v>1276</v>
      </c>
      <c r="AF808" s="79" t="s">
        <v>1312</v>
      </c>
      <c r="AG808" s="105" t="s">
        <v>1313</v>
      </c>
      <c r="AH808" s="79"/>
      <c r="AI808" s="53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</row>
    <row r="809" spans="1:110" ht="13.8" x14ac:dyDescent="0.25">
      <c r="A809" s="10">
        <v>1502016</v>
      </c>
      <c r="B809" s="26" t="s">
        <v>1314</v>
      </c>
      <c r="C809" s="16" t="s">
        <v>1315</v>
      </c>
      <c r="D809" s="10" t="s">
        <v>1316</v>
      </c>
      <c r="E809" s="10" t="s">
        <v>189</v>
      </c>
      <c r="F809" s="10" t="s">
        <v>557</v>
      </c>
      <c r="G809" s="58">
        <v>0</v>
      </c>
      <c r="H809" s="10"/>
      <c r="I809" s="13"/>
      <c r="J809" s="56"/>
      <c r="K809" s="57"/>
      <c r="M809" s="15"/>
      <c r="N809" s="15"/>
      <c r="O809" s="15"/>
      <c r="P809" s="15"/>
      <c r="Q809" s="15"/>
      <c r="R809" s="15"/>
      <c r="S809" s="15"/>
      <c r="T809" s="71"/>
      <c r="U809" s="77">
        <v>0</v>
      </c>
      <c r="V809" s="77">
        <v>0</v>
      </c>
      <c r="W809" s="77">
        <v>0</v>
      </c>
      <c r="X809" s="77">
        <v>0</v>
      </c>
      <c r="Y809" s="77" t="s">
        <v>37</v>
      </c>
      <c r="Z809" s="87"/>
      <c r="AA809" s="79" t="s">
        <v>189</v>
      </c>
      <c r="AB809" s="79" t="s">
        <v>37</v>
      </c>
      <c r="AC809" s="79" t="s">
        <v>35</v>
      </c>
      <c r="AD809" s="91" t="s">
        <v>57</v>
      </c>
      <c r="AE809" s="79"/>
      <c r="AF809" s="79"/>
      <c r="AG809" s="79"/>
      <c r="AH809" s="79"/>
      <c r="AI809" s="53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</row>
    <row r="810" spans="1:110" ht="13.8" x14ac:dyDescent="0.25">
      <c r="A810" s="10">
        <v>1502017</v>
      </c>
      <c r="B810" s="26" t="s">
        <v>1314</v>
      </c>
      <c r="C810" s="16" t="s">
        <v>1317</v>
      </c>
      <c r="D810" s="10" t="s">
        <v>1316</v>
      </c>
      <c r="E810" s="10" t="s">
        <v>189</v>
      </c>
      <c r="F810" s="10" t="s">
        <v>557</v>
      </c>
      <c r="G810" s="58">
        <v>0</v>
      </c>
      <c r="H810" s="10"/>
      <c r="I810" s="13"/>
      <c r="J810" s="56"/>
      <c r="K810" s="57"/>
      <c r="M810" s="15"/>
      <c r="N810" s="15"/>
      <c r="O810" s="15"/>
      <c r="P810" s="15"/>
      <c r="Q810" s="15"/>
      <c r="R810" s="15"/>
      <c r="S810" s="15"/>
      <c r="T810" s="71"/>
      <c r="U810" s="77"/>
      <c r="V810" s="77"/>
      <c r="W810" s="77"/>
      <c r="X810" s="77"/>
      <c r="Y810" s="77"/>
      <c r="Z810" s="87"/>
      <c r="AA810" s="79" t="s">
        <v>189</v>
      </c>
      <c r="AB810" s="79"/>
      <c r="AC810" s="79"/>
      <c r="AD810" s="79"/>
      <c r="AE810" s="79"/>
      <c r="AF810" s="79"/>
      <c r="AG810" s="79"/>
      <c r="AH810" s="79"/>
      <c r="AI810" s="53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</row>
    <row r="811" spans="1:110" ht="13.8" x14ac:dyDescent="0.25">
      <c r="A811" s="10">
        <v>1502018</v>
      </c>
      <c r="B811" s="26" t="s">
        <v>1314</v>
      </c>
      <c r="C811" s="16" t="s">
        <v>1318</v>
      </c>
      <c r="D811" s="10" t="s">
        <v>1316</v>
      </c>
      <c r="E811" s="10" t="s">
        <v>1319</v>
      </c>
      <c r="F811" s="10" t="s">
        <v>557</v>
      </c>
      <c r="G811" s="55">
        <f>IF(U811="Obsolete",U811,U811+V811)</f>
        <v>9.1656999999999993</v>
      </c>
      <c r="H811" s="10"/>
      <c r="I811" s="13"/>
      <c r="J811" s="56"/>
      <c r="K811" s="57"/>
      <c r="M811" s="15"/>
      <c r="N811" s="15"/>
      <c r="O811" s="15"/>
      <c r="P811" s="15"/>
      <c r="Q811" s="15"/>
      <c r="R811" s="15"/>
      <c r="S811" s="15"/>
      <c r="T811" s="71"/>
      <c r="U811" s="77">
        <v>7.2157</v>
      </c>
      <c r="V811" s="77">
        <f>37.05/19</f>
        <v>1.95</v>
      </c>
      <c r="W811" s="77">
        <v>7.2157</v>
      </c>
      <c r="X811" s="77">
        <f>37.05/19</f>
        <v>1.95</v>
      </c>
      <c r="Y811" s="77"/>
      <c r="Z811" s="87"/>
      <c r="AA811" s="79" t="s">
        <v>272</v>
      </c>
      <c r="AB811" s="79"/>
      <c r="AC811" s="79"/>
      <c r="AD811" s="79"/>
      <c r="AE811" s="79"/>
      <c r="AF811" s="79"/>
      <c r="AG811" s="79"/>
      <c r="AH811" s="79"/>
      <c r="AI811" s="53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</row>
    <row r="812" spans="1:110" ht="13.8" x14ac:dyDescent="0.25">
      <c r="A812" s="10">
        <v>1502019</v>
      </c>
      <c r="B812" s="26" t="s">
        <v>1314</v>
      </c>
      <c r="C812" s="16" t="s">
        <v>1526</v>
      </c>
      <c r="D812" s="10" t="s">
        <v>1316</v>
      </c>
      <c r="E812" s="10" t="s">
        <v>102</v>
      </c>
      <c r="F812" s="10" t="s">
        <v>557</v>
      </c>
      <c r="G812" s="55">
        <v>0</v>
      </c>
      <c r="H812" s="10"/>
      <c r="I812" s="13"/>
      <c r="J812" s="56"/>
      <c r="K812" s="57"/>
      <c r="M812" s="15"/>
      <c r="N812" s="15"/>
      <c r="O812" s="15"/>
      <c r="P812" s="15"/>
      <c r="Q812" s="15"/>
      <c r="R812" s="15"/>
      <c r="S812" s="15"/>
      <c r="T812" s="71"/>
      <c r="U812" s="77"/>
      <c r="V812" s="77"/>
      <c r="W812" s="77"/>
      <c r="X812" s="77"/>
      <c r="Y812" s="77"/>
      <c r="Z812" s="87"/>
      <c r="AA812" s="79" t="s">
        <v>102</v>
      </c>
      <c r="AB812" s="79" t="s">
        <v>35</v>
      </c>
      <c r="AC812" s="79" t="s">
        <v>35</v>
      </c>
      <c r="AD812" s="79" t="s">
        <v>38</v>
      </c>
      <c r="AE812" s="79" t="s">
        <v>313</v>
      </c>
      <c r="AF812" s="79" t="s">
        <v>1510</v>
      </c>
      <c r="AG812" s="80" t="s">
        <v>473</v>
      </c>
      <c r="AH812" s="79"/>
      <c r="AI812" s="53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</row>
    <row r="813" spans="1:110" ht="13.8" x14ac:dyDescent="0.25">
      <c r="A813" s="10">
        <v>1502020</v>
      </c>
      <c r="B813" s="26" t="s">
        <v>1314</v>
      </c>
      <c r="C813" s="16" t="s">
        <v>1552</v>
      </c>
      <c r="D813" s="10" t="s">
        <v>1316</v>
      </c>
      <c r="E813" s="10" t="s">
        <v>102</v>
      </c>
      <c r="F813" s="10" t="s">
        <v>557</v>
      </c>
      <c r="G813" s="55">
        <v>0</v>
      </c>
      <c r="H813" s="10"/>
      <c r="I813" s="13"/>
      <c r="J813" s="56"/>
      <c r="K813" s="57"/>
      <c r="M813" s="15"/>
      <c r="N813" s="15"/>
      <c r="O813" s="15"/>
      <c r="P813" s="15"/>
      <c r="Q813" s="15"/>
      <c r="R813" s="15"/>
      <c r="S813" s="15"/>
      <c r="T813" s="71"/>
      <c r="U813" s="77"/>
      <c r="V813" s="77"/>
      <c r="W813" s="77"/>
      <c r="X813" s="77"/>
      <c r="Y813" s="77"/>
      <c r="Z813" s="87"/>
      <c r="AA813" s="79" t="s">
        <v>102</v>
      </c>
      <c r="AB813" s="79" t="s">
        <v>35</v>
      </c>
      <c r="AC813" s="79" t="s">
        <v>35</v>
      </c>
      <c r="AD813" s="79" t="s">
        <v>38</v>
      </c>
      <c r="AE813" s="79" t="s">
        <v>313</v>
      </c>
      <c r="AF813" s="79" t="s">
        <v>1510</v>
      </c>
      <c r="AG813" s="80" t="s">
        <v>473</v>
      </c>
      <c r="AH813" s="79"/>
      <c r="AI813" s="53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</row>
    <row r="814" spans="1:110" ht="13.8" x14ac:dyDescent="0.25">
      <c r="A814" s="10">
        <v>1502021</v>
      </c>
      <c r="B814" s="26" t="s">
        <v>1314</v>
      </c>
      <c r="C814" s="16" t="s">
        <v>1561</v>
      </c>
      <c r="D814" s="10" t="s">
        <v>1316</v>
      </c>
      <c r="E814" s="10" t="s">
        <v>189</v>
      </c>
      <c r="F814" s="10" t="s">
        <v>557</v>
      </c>
      <c r="G814" s="58">
        <v>0</v>
      </c>
      <c r="H814" s="10"/>
      <c r="I814" s="13"/>
      <c r="J814" s="56"/>
      <c r="K814" s="57"/>
      <c r="M814" s="15"/>
      <c r="N814" s="15"/>
      <c r="O814" s="15"/>
      <c r="P814" s="15"/>
      <c r="Q814" s="15"/>
      <c r="R814" s="15"/>
      <c r="S814" s="15"/>
      <c r="T814" s="71"/>
      <c r="U814" s="77"/>
      <c r="V814" s="77"/>
      <c r="W814" s="77"/>
      <c r="X814" s="77"/>
      <c r="Y814" s="77"/>
      <c r="Z814" s="87"/>
      <c r="AA814" s="79" t="s">
        <v>189</v>
      </c>
      <c r="AB814" s="79"/>
      <c r="AC814" s="79"/>
      <c r="AD814" s="79"/>
      <c r="AE814" s="79"/>
      <c r="AF814" s="79"/>
      <c r="AG814" s="80"/>
      <c r="AH814" s="79"/>
      <c r="AI814" s="53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</row>
    <row r="815" spans="1:110" ht="13.8" x14ac:dyDescent="0.25">
      <c r="A815" s="10">
        <v>1503001</v>
      </c>
      <c r="B815" s="26" t="s">
        <v>1314</v>
      </c>
      <c r="C815" s="12" t="s">
        <v>1320</v>
      </c>
      <c r="D815" s="11"/>
      <c r="E815" s="17" t="s">
        <v>57</v>
      </c>
      <c r="F815" s="10" t="s">
        <v>557</v>
      </c>
      <c r="G815" s="55" t="str">
        <f t="shared" ref="G815:G829" si="19">IF(U815="Obsolete",U815,U815+V815)</f>
        <v>Obsolete</v>
      </c>
      <c r="H815" s="10"/>
      <c r="I815" s="13"/>
      <c r="J815" s="56"/>
      <c r="K815" s="57"/>
      <c r="M815" s="10"/>
      <c r="N815" s="10"/>
      <c r="O815" s="29"/>
      <c r="P815" s="29"/>
      <c r="Q815" s="29"/>
      <c r="R815" s="29"/>
      <c r="S815" s="29"/>
      <c r="T815" s="72"/>
      <c r="U815" s="97" t="s">
        <v>54</v>
      </c>
      <c r="V815" s="97"/>
      <c r="W815" s="97" t="s">
        <v>54</v>
      </c>
      <c r="X815" s="97"/>
      <c r="Y815" s="97"/>
      <c r="Z815" s="78"/>
      <c r="AA815" s="79" t="s">
        <v>55</v>
      </c>
      <c r="AB815" s="79" t="s">
        <v>37</v>
      </c>
      <c r="AC815" s="79" t="s">
        <v>37</v>
      </c>
      <c r="AD815" s="79"/>
      <c r="AE815" s="79"/>
      <c r="AF815" s="79"/>
      <c r="AG815" s="79"/>
      <c r="AH815" s="79"/>
      <c r="AI815" s="53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</row>
    <row r="816" spans="1:110" ht="13.8" x14ac:dyDescent="0.25">
      <c r="A816" s="24">
        <v>1503002</v>
      </c>
      <c r="B816" s="26" t="s">
        <v>1314</v>
      </c>
      <c r="C816" s="25" t="s">
        <v>1321</v>
      </c>
      <c r="D816" s="26"/>
      <c r="E816" s="17" t="s">
        <v>57</v>
      </c>
      <c r="F816" s="10" t="s">
        <v>557</v>
      </c>
      <c r="G816" s="55" t="str">
        <f t="shared" si="19"/>
        <v>Obsolete</v>
      </c>
      <c r="H816" s="10"/>
      <c r="I816" s="13"/>
      <c r="J816" s="56"/>
      <c r="K816" s="57"/>
      <c r="M816" s="10"/>
      <c r="N816" s="10"/>
      <c r="O816" s="29"/>
      <c r="P816" s="29"/>
      <c r="Q816" s="29"/>
      <c r="R816" s="29"/>
      <c r="S816" s="29"/>
      <c r="T816" s="72"/>
      <c r="U816" s="97" t="s">
        <v>54</v>
      </c>
      <c r="V816" s="97"/>
      <c r="W816" s="97" t="s">
        <v>54</v>
      </c>
      <c r="X816" s="97"/>
      <c r="Y816" s="97"/>
      <c r="Z816" s="87"/>
      <c r="AA816" s="79"/>
      <c r="AB816" s="79" t="s">
        <v>37</v>
      </c>
      <c r="AC816" s="79" t="s">
        <v>37</v>
      </c>
      <c r="AD816" s="79"/>
      <c r="AE816" s="79"/>
      <c r="AF816" s="79"/>
      <c r="AG816" s="79"/>
      <c r="AH816" s="79"/>
      <c r="AI816" s="53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</row>
    <row r="817" spans="1:110" ht="13.8" x14ac:dyDescent="0.25">
      <c r="A817" s="10">
        <v>1503003</v>
      </c>
      <c r="B817" s="26" t="s">
        <v>1314</v>
      </c>
      <c r="C817" s="12" t="s">
        <v>1322</v>
      </c>
      <c r="D817" s="11"/>
      <c r="E817" s="17" t="s">
        <v>57</v>
      </c>
      <c r="F817" s="10" t="s">
        <v>557</v>
      </c>
      <c r="G817" s="55" t="str">
        <f t="shared" si="19"/>
        <v>Obsolete</v>
      </c>
      <c r="H817" s="10"/>
      <c r="I817" s="13"/>
      <c r="J817" s="56"/>
      <c r="K817" s="57"/>
      <c r="M817" s="10"/>
      <c r="N817" s="10"/>
      <c r="O817" s="29"/>
      <c r="P817" s="29"/>
      <c r="Q817" s="29"/>
      <c r="R817" s="29"/>
      <c r="S817" s="29"/>
      <c r="T817" s="72"/>
      <c r="U817" s="97" t="s">
        <v>54</v>
      </c>
      <c r="V817" s="97"/>
      <c r="W817" s="97" t="s">
        <v>54</v>
      </c>
      <c r="X817" s="97"/>
      <c r="Y817" s="97"/>
      <c r="Z817" s="78"/>
      <c r="AA817" s="79" t="s">
        <v>55</v>
      </c>
      <c r="AB817" s="79" t="s">
        <v>37</v>
      </c>
      <c r="AC817" s="79" t="s">
        <v>37</v>
      </c>
      <c r="AD817" s="79"/>
      <c r="AE817" s="79"/>
      <c r="AF817" s="79"/>
      <c r="AG817" s="79"/>
      <c r="AH817" s="79"/>
      <c r="AI817" s="53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</row>
    <row r="818" spans="1:110" ht="13.8" x14ac:dyDescent="0.25">
      <c r="A818" s="24">
        <v>1503004</v>
      </c>
      <c r="B818" s="26" t="s">
        <v>1314</v>
      </c>
      <c r="C818" s="25" t="s">
        <v>1323</v>
      </c>
      <c r="D818" s="26"/>
      <c r="E818" s="17" t="s">
        <v>57</v>
      </c>
      <c r="F818" s="10" t="s">
        <v>557</v>
      </c>
      <c r="G818" s="55" t="str">
        <f t="shared" si="19"/>
        <v>Obsolete</v>
      </c>
      <c r="H818" s="10"/>
      <c r="I818" s="13"/>
      <c r="J818" s="56"/>
      <c r="K818" s="57"/>
      <c r="M818" s="10"/>
      <c r="N818" s="10"/>
      <c r="O818" s="29"/>
      <c r="P818" s="29"/>
      <c r="Q818" s="29"/>
      <c r="R818" s="29"/>
      <c r="S818" s="29"/>
      <c r="T818" s="72"/>
      <c r="U818" s="97" t="s">
        <v>54</v>
      </c>
      <c r="V818" s="97"/>
      <c r="W818" s="97" t="s">
        <v>54</v>
      </c>
      <c r="X818" s="97"/>
      <c r="Y818" s="97"/>
      <c r="Z818" s="87"/>
      <c r="AA818" s="79"/>
      <c r="AB818" s="79" t="s">
        <v>37</v>
      </c>
      <c r="AC818" s="79" t="s">
        <v>37</v>
      </c>
      <c r="AD818" s="79"/>
      <c r="AE818" s="79"/>
      <c r="AF818" s="79"/>
      <c r="AG818" s="79"/>
      <c r="AH818" s="79"/>
      <c r="AI818" s="53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</row>
    <row r="819" spans="1:110" ht="20.399999999999999" x14ac:dyDescent="0.25">
      <c r="A819" s="24">
        <v>1503005</v>
      </c>
      <c r="B819" s="26" t="s">
        <v>1314</v>
      </c>
      <c r="C819" s="25" t="s">
        <v>1324</v>
      </c>
      <c r="D819" s="26"/>
      <c r="E819" s="10" t="s">
        <v>1325</v>
      </c>
      <c r="F819" s="10" t="s">
        <v>557</v>
      </c>
      <c r="G819" s="55" t="str">
        <f t="shared" si="19"/>
        <v>Obsolete</v>
      </c>
      <c r="H819" s="10"/>
      <c r="I819" s="13">
        <v>1000</v>
      </c>
      <c r="J819" s="56"/>
      <c r="K819" s="57"/>
      <c r="M819" s="10">
        <v>0.98</v>
      </c>
      <c r="N819" s="10"/>
      <c r="O819" s="29"/>
      <c r="P819" s="29"/>
      <c r="Q819" s="29"/>
      <c r="R819" s="29"/>
      <c r="S819" s="29"/>
      <c r="T819" s="72"/>
      <c r="U819" s="97" t="s">
        <v>54</v>
      </c>
      <c r="V819" s="97"/>
      <c r="W819" s="97" t="s">
        <v>54</v>
      </c>
      <c r="X819" s="97"/>
      <c r="Y819" s="97"/>
      <c r="Z819" s="87"/>
      <c r="AA819" s="79" t="s">
        <v>64</v>
      </c>
      <c r="AB819" s="79" t="s">
        <v>37</v>
      </c>
      <c r="AC819" s="79" t="s">
        <v>37</v>
      </c>
      <c r="AD819" s="79"/>
      <c r="AE819" s="79" t="s">
        <v>1326</v>
      </c>
      <c r="AF819" s="79" t="s">
        <v>1327</v>
      </c>
      <c r="AG819" s="79" t="s">
        <v>1328</v>
      </c>
      <c r="AH819" s="79"/>
      <c r="AI819" s="53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</row>
    <row r="820" spans="1:110" ht="20.399999999999999" x14ac:dyDescent="0.25">
      <c r="A820" s="24">
        <v>1503006</v>
      </c>
      <c r="B820" s="26" t="s">
        <v>1314</v>
      </c>
      <c r="C820" s="25" t="s">
        <v>1329</v>
      </c>
      <c r="D820" s="26"/>
      <c r="E820" s="10" t="s">
        <v>1325</v>
      </c>
      <c r="F820" s="10" t="s">
        <v>557</v>
      </c>
      <c r="G820" s="55" t="str">
        <f t="shared" si="19"/>
        <v>Obsolete</v>
      </c>
      <c r="H820" s="10"/>
      <c r="I820" s="13">
        <v>1000</v>
      </c>
      <c r="J820" s="56"/>
      <c r="K820" s="57"/>
      <c r="M820" s="29">
        <v>0.98</v>
      </c>
      <c r="N820" s="10"/>
      <c r="O820" s="29"/>
      <c r="P820" s="29"/>
      <c r="Q820" s="29"/>
      <c r="R820" s="29"/>
      <c r="S820" s="29"/>
      <c r="T820" s="72"/>
      <c r="U820" s="97" t="s">
        <v>54</v>
      </c>
      <c r="V820" s="97"/>
      <c r="W820" s="97" t="s">
        <v>54</v>
      </c>
      <c r="X820" s="97"/>
      <c r="Y820" s="97"/>
      <c r="Z820" s="87"/>
      <c r="AA820" s="79" t="s">
        <v>64</v>
      </c>
      <c r="AB820" s="79" t="s">
        <v>37</v>
      </c>
      <c r="AC820" s="79" t="s">
        <v>37</v>
      </c>
      <c r="AD820" s="79"/>
      <c r="AE820" s="79" t="s">
        <v>1326</v>
      </c>
      <c r="AF820" s="79" t="s">
        <v>1327</v>
      </c>
      <c r="AG820" s="79" t="s">
        <v>1328</v>
      </c>
      <c r="AH820" s="79"/>
      <c r="AI820" s="53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</row>
    <row r="821" spans="1:110" ht="20.399999999999999" x14ac:dyDescent="0.25">
      <c r="A821" s="24">
        <v>1503007</v>
      </c>
      <c r="B821" s="26" t="s">
        <v>1314</v>
      </c>
      <c r="C821" s="25" t="s">
        <v>1330</v>
      </c>
      <c r="D821" s="26"/>
      <c r="E821" s="10" t="s">
        <v>1325</v>
      </c>
      <c r="F821" s="10" t="s">
        <v>557</v>
      </c>
      <c r="G821" s="55" t="str">
        <f t="shared" si="19"/>
        <v>Obsolete</v>
      </c>
      <c r="H821" s="10"/>
      <c r="I821" s="13">
        <v>1000</v>
      </c>
      <c r="J821" s="56"/>
      <c r="K821" s="57"/>
      <c r="M821" s="29">
        <v>0.98</v>
      </c>
      <c r="N821" s="10"/>
      <c r="O821" s="29"/>
      <c r="P821" s="29"/>
      <c r="Q821" s="29"/>
      <c r="R821" s="29"/>
      <c r="S821" s="29"/>
      <c r="T821" s="72"/>
      <c r="U821" s="97" t="s">
        <v>54</v>
      </c>
      <c r="V821" s="97"/>
      <c r="W821" s="97" t="s">
        <v>54</v>
      </c>
      <c r="X821" s="97"/>
      <c r="Y821" s="97"/>
      <c r="Z821" s="87"/>
      <c r="AA821" s="79" t="s">
        <v>64</v>
      </c>
      <c r="AB821" s="79" t="s">
        <v>37</v>
      </c>
      <c r="AC821" s="79" t="s">
        <v>37</v>
      </c>
      <c r="AD821" s="79"/>
      <c r="AE821" s="79" t="s">
        <v>1326</v>
      </c>
      <c r="AF821" s="79" t="s">
        <v>1327</v>
      </c>
      <c r="AG821" s="79" t="s">
        <v>1328</v>
      </c>
      <c r="AH821" s="79"/>
      <c r="AI821" s="53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</row>
    <row r="822" spans="1:110" ht="40.799999999999997" x14ac:dyDescent="0.25">
      <c r="A822" s="24">
        <v>1503008</v>
      </c>
      <c r="B822" s="26" t="s">
        <v>1314</v>
      </c>
      <c r="C822" s="25" t="s">
        <v>1331</v>
      </c>
      <c r="D822" s="26"/>
      <c r="E822" s="10" t="s">
        <v>1325</v>
      </c>
      <c r="F822" s="10" t="s">
        <v>557</v>
      </c>
      <c r="G822" s="55" t="str">
        <f t="shared" si="19"/>
        <v>Obsolete</v>
      </c>
      <c r="H822" s="10"/>
      <c r="I822" s="13">
        <v>1000</v>
      </c>
      <c r="J822" s="56"/>
      <c r="K822" s="57"/>
      <c r="M822" s="29">
        <v>0.98</v>
      </c>
      <c r="N822" s="10"/>
      <c r="O822" s="29"/>
      <c r="P822" s="29"/>
      <c r="Q822" s="29"/>
      <c r="R822" s="29"/>
      <c r="S822" s="29"/>
      <c r="T822" s="72"/>
      <c r="U822" s="97" t="s">
        <v>54</v>
      </c>
      <c r="V822" s="97"/>
      <c r="W822" s="97" t="s">
        <v>54</v>
      </c>
      <c r="X822" s="97"/>
      <c r="Y822" s="97"/>
      <c r="Z822" s="87"/>
      <c r="AA822" s="79" t="s">
        <v>64</v>
      </c>
      <c r="AB822" s="79" t="s">
        <v>37</v>
      </c>
      <c r="AC822" s="79" t="s">
        <v>37</v>
      </c>
      <c r="AD822" s="79"/>
      <c r="AE822" s="79" t="s">
        <v>1326</v>
      </c>
      <c r="AF822" s="79" t="s">
        <v>1327</v>
      </c>
      <c r="AG822" s="79" t="s">
        <v>1328</v>
      </c>
      <c r="AH822" s="79"/>
      <c r="AI822" s="53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</row>
    <row r="823" spans="1:110" ht="40.799999999999997" x14ac:dyDescent="0.25">
      <c r="A823" s="24">
        <v>1503009</v>
      </c>
      <c r="B823" s="26" t="s">
        <v>1314</v>
      </c>
      <c r="C823" s="25" t="s">
        <v>1332</v>
      </c>
      <c r="D823" s="26"/>
      <c r="E823" s="10" t="s">
        <v>1325</v>
      </c>
      <c r="F823" s="10" t="s">
        <v>557</v>
      </c>
      <c r="G823" s="55" t="str">
        <f t="shared" si="19"/>
        <v>Obsolete</v>
      </c>
      <c r="H823" s="10"/>
      <c r="I823" s="13">
        <v>1000</v>
      </c>
      <c r="J823" s="56"/>
      <c r="K823" s="57"/>
      <c r="M823" s="29">
        <v>0.98</v>
      </c>
      <c r="N823" s="10"/>
      <c r="O823" s="29"/>
      <c r="P823" s="29"/>
      <c r="Q823" s="29"/>
      <c r="R823" s="29"/>
      <c r="S823" s="29"/>
      <c r="T823" s="72"/>
      <c r="U823" s="97" t="s">
        <v>54</v>
      </c>
      <c r="V823" s="97"/>
      <c r="W823" s="97" t="s">
        <v>54</v>
      </c>
      <c r="X823" s="97"/>
      <c r="Y823" s="97"/>
      <c r="Z823" s="87"/>
      <c r="AA823" s="79" t="s">
        <v>64</v>
      </c>
      <c r="AB823" s="79" t="s">
        <v>37</v>
      </c>
      <c r="AC823" s="79" t="s">
        <v>37</v>
      </c>
      <c r="AD823" s="79"/>
      <c r="AE823" s="79" t="s">
        <v>1326</v>
      </c>
      <c r="AF823" s="79" t="s">
        <v>1327</v>
      </c>
      <c r="AG823" s="79" t="s">
        <v>1328</v>
      </c>
      <c r="AH823" s="79"/>
      <c r="AI823" s="53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</row>
    <row r="824" spans="1:110" ht="13.8" x14ac:dyDescent="0.25">
      <c r="A824" s="24">
        <v>1503010</v>
      </c>
      <c r="B824" s="26" t="s">
        <v>1314</v>
      </c>
      <c r="C824" s="25" t="s">
        <v>1333</v>
      </c>
      <c r="D824" s="26" t="s">
        <v>1334</v>
      </c>
      <c r="E824" s="10" t="s">
        <v>1325</v>
      </c>
      <c r="F824" s="10" t="s">
        <v>557</v>
      </c>
      <c r="G824" s="55" t="str">
        <f t="shared" si="19"/>
        <v>Obsolete</v>
      </c>
      <c r="H824" s="10"/>
      <c r="I824" s="13"/>
      <c r="J824" s="56"/>
      <c r="K824" s="57"/>
      <c r="M824" s="10"/>
      <c r="N824" s="10"/>
      <c r="O824" s="29"/>
      <c r="P824" s="29"/>
      <c r="Q824" s="29"/>
      <c r="R824" s="29"/>
      <c r="S824" s="29"/>
      <c r="T824" s="72"/>
      <c r="U824" s="97" t="s">
        <v>54</v>
      </c>
      <c r="V824" s="97"/>
      <c r="W824" s="97" t="s">
        <v>54</v>
      </c>
      <c r="X824" s="97"/>
      <c r="Y824" s="97"/>
      <c r="Z824" s="87"/>
      <c r="AA824" s="79" t="s">
        <v>64</v>
      </c>
      <c r="AB824" s="79" t="s">
        <v>37</v>
      </c>
      <c r="AC824" s="79" t="s">
        <v>37</v>
      </c>
      <c r="AD824" s="79"/>
      <c r="AE824" s="79" t="s">
        <v>1326</v>
      </c>
      <c r="AF824" s="79" t="s">
        <v>1327</v>
      </c>
      <c r="AG824" s="79" t="s">
        <v>1328</v>
      </c>
      <c r="AH824" s="79"/>
      <c r="AI824" s="53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</row>
    <row r="825" spans="1:110" ht="13.8" x14ac:dyDescent="0.25">
      <c r="A825" s="24">
        <v>1503011</v>
      </c>
      <c r="B825" s="26" t="s">
        <v>1314</v>
      </c>
      <c r="C825" s="25" t="s">
        <v>1335</v>
      </c>
      <c r="D825" s="26" t="s">
        <v>1336</v>
      </c>
      <c r="E825" s="10" t="s">
        <v>1325</v>
      </c>
      <c r="F825" s="10" t="s">
        <v>557</v>
      </c>
      <c r="G825" s="55" t="str">
        <f t="shared" si="19"/>
        <v>Obsolete</v>
      </c>
      <c r="H825" s="10"/>
      <c r="I825" s="13"/>
      <c r="J825" s="56"/>
      <c r="K825" s="57"/>
      <c r="M825" s="10">
        <v>11</v>
      </c>
      <c r="N825" s="10"/>
      <c r="O825" s="29"/>
      <c r="P825" s="29"/>
      <c r="Q825" s="29"/>
      <c r="R825" s="29"/>
      <c r="S825" s="29"/>
      <c r="T825" s="72"/>
      <c r="U825" s="97" t="s">
        <v>54</v>
      </c>
      <c r="V825" s="97"/>
      <c r="W825" s="97" t="s">
        <v>54</v>
      </c>
      <c r="X825" s="97"/>
      <c r="Y825" s="97"/>
      <c r="Z825" s="87"/>
      <c r="AA825" s="79" t="s">
        <v>64</v>
      </c>
      <c r="AB825" s="79" t="s">
        <v>37</v>
      </c>
      <c r="AC825" s="79" t="s">
        <v>37</v>
      </c>
      <c r="AD825" s="79"/>
      <c r="AE825" s="79"/>
      <c r="AF825" s="79"/>
      <c r="AG825" s="79"/>
      <c r="AH825" s="79"/>
      <c r="AI825" s="53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</row>
    <row r="826" spans="1:110" ht="13.8" x14ac:dyDescent="0.25">
      <c r="A826" s="10">
        <v>1503012</v>
      </c>
      <c r="B826" s="26" t="s">
        <v>1314</v>
      </c>
      <c r="C826" s="16" t="s">
        <v>1337</v>
      </c>
      <c r="D826" s="26"/>
      <c r="E826" s="10" t="s">
        <v>64</v>
      </c>
      <c r="F826" s="10" t="s">
        <v>557</v>
      </c>
      <c r="G826" s="55" t="str">
        <f t="shared" si="19"/>
        <v>Obsolete</v>
      </c>
      <c r="H826" s="10"/>
      <c r="I826" s="13"/>
      <c r="J826" s="56"/>
      <c r="K826" s="57"/>
      <c r="M826" s="10"/>
      <c r="N826" s="10"/>
      <c r="O826" s="29"/>
      <c r="P826" s="29"/>
      <c r="Q826" s="29"/>
      <c r="R826" s="29"/>
      <c r="S826" s="29"/>
      <c r="T826" s="72"/>
      <c r="U826" s="97" t="s">
        <v>54</v>
      </c>
      <c r="V826" s="97"/>
      <c r="W826" s="97" t="s">
        <v>54</v>
      </c>
      <c r="X826" s="97"/>
      <c r="Y826" s="97"/>
      <c r="Z826" s="87"/>
      <c r="AA826" s="79" t="s">
        <v>64</v>
      </c>
      <c r="AB826" s="79" t="s">
        <v>37</v>
      </c>
      <c r="AC826" s="79" t="s">
        <v>37</v>
      </c>
      <c r="AD826" s="79"/>
      <c r="AE826" s="79"/>
      <c r="AF826" s="79"/>
      <c r="AG826" s="79"/>
      <c r="AH826" s="79"/>
      <c r="AI826" s="53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</row>
    <row r="827" spans="1:110" ht="20.399999999999999" x14ac:dyDescent="0.25">
      <c r="A827" s="10">
        <v>1503013</v>
      </c>
      <c r="B827" s="11" t="s">
        <v>1211</v>
      </c>
      <c r="C827" s="25" t="s">
        <v>1338</v>
      </c>
      <c r="D827" s="26"/>
      <c r="E827" s="10" t="s">
        <v>1339</v>
      </c>
      <c r="F827" s="10" t="s">
        <v>557</v>
      </c>
      <c r="G827" s="55">
        <f t="shared" si="19"/>
        <v>26.271874999999998</v>
      </c>
      <c r="H827" s="10">
        <v>2</v>
      </c>
      <c r="I827" s="13">
        <v>50</v>
      </c>
      <c r="J827" s="56"/>
      <c r="K827" s="57"/>
      <c r="M827" s="14"/>
      <c r="N827" s="14"/>
      <c r="O827" s="14"/>
      <c r="P827" s="14"/>
      <c r="Q827" s="14"/>
      <c r="R827" s="14"/>
      <c r="S827" s="14"/>
      <c r="T827" s="70"/>
      <c r="U827" s="76">
        <v>26.271874999999998</v>
      </c>
      <c r="V827" s="76">
        <v>0</v>
      </c>
      <c r="W827" s="76">
        <v>26.271874999999998</v>
      </c>
      <c r="X827" s="76">
        <v>0</v>
      </c>
      <c r="Y827" s="77" t="s">
        <v>37</v>
      </c>
      <c r="Z827" s="87"/>
      <c r="AA827" s="79" t="s">
        <v>517</v>
      </c>
      <c r="AB827" s="79" t="s">
        <v>35</v>
      </c>
      <c r="AC827" s="79" t="s">
        <v>35</v>
      </c>
      <c r="AD827" s="79" t="s">
        <v>38</v>
      </c>
      <c r="AE827" s="79" t="s">
        <v>1340</v>
      </c>
      <c r="AF827" s="79" t="s">
        <v>1341</v>
      </c>
      <c r="AG827" s="105" t="s">
        <v>1342</v>
      </c>
      <c r="AH827" s="79"/>
      <c r="AI827" s="53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</row>
    <row r="828" spans="1:110" ht="30.6" x14ac:dyDescent="0.25">
      <c r="A828" s="10">
        <v>1503014</v>
      </c>
      <c r="B828" s="26" t="s">
        <v>1229</v>
      </c>
      <c r="C828" s="25" t="s">
        <v>1343</v>
      </c>
      <c r="D828" s="26"/>
      <c r="E828" s="10" t="s">
        <v>1344</v>
      </c>
      <c r="F828" s="10" t="s">
        <v>557</v>
      </c>
      <c r="G828" s="55">
        <f t="shared" si="19"/>
        <v>0.11156648451730419</v>
      </c>
      <c r="H828" s="10"/>
      <c r="I828" s="13"/>
      <c r="J828" s="56"/>
      <c r="K828" s="57"/>
      <c r="M828" s="14"/>
      <c r="N828" s="14"/>
      <c r="O828" s="14"/>
      <c r="P828" s="14"/>
      <c r="Q828" s="14"/>
      <c r="R828" s="14"/>
      <c r="S828" s="14"/>
      <c r="T828" s="70"/>
      <c r="U828" s="76">
        <v>0.11156648451730419</v>
      </c>
      <c r="V828" s="76">
        <v>0</v>
      </c>
      <c r="W828" s="76">
        <v>0.11156648451730419</v>
      </c>
      <c r="X828" s="76">
        <v>0</v>
      </c>
      <c r="Y828" s="77" t="s">
        <v>37</v>
      </c>
      <c r="Z828" s="87"/>
      <c r="AA828" s="79" t="s">
        <v>517</v>
      </c>
      <c r="AB828" s="79" t="s">
        <v>35</v>
      </c>
      <c r="AC828" s="79" t="s">
        <v>35</v>
      </c>
      <c r="AD828" s="79" t="s">
        <v>38</v>
      </c>
      <c r="AE828" s="79"/>
      <c r="AF828" s="79"/>
      <c r="AG828" s="79"/>
      <c r="AH828" s="79"/>
      <c r="AI828" s="53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</row>
    <row r="829" spans="1:110" ht="30.6" x14ac:dyDescent="0.25">
      <c r="A829" s="10">
        <v>1503015</v>
      </c>
      <c r="B829" s="26" t="s">
        <v>1229</v>
      </c>
      <c r="C829" s="25" t="s">
        <v>1345</v>
      </c>
      <c r="D829" s="26"/>
      <c r="E829" s="10" t="s">
        <v>1344</v>
      </c>
      <c r="F829" s="10" t="s">
        <v>557</v>
      </c>
      <c r="G829" s="55">
        <f t="shared" si="19"/>
        <v>9.4869459623557986E-2</v>
      </c>
      <c r="H829" s="10"/>
      <c r="I829" s="13"/>
      <c r="J829" s="56"/>
      <c r="K829" s="57"/>
      <c r="M829" s="14"/>
      <c r="N829" s="14"/>
      <c r="O829" s="14"/>
      <c r="P829" s="14"/>
      <c r="Q829" s="14"/>
      <c r="R829" s="14"/>
      <c r="S829" s="14"/>
      <c r="T829" s="70"/>
      <c r="U829" s="76">
        <v>9.4869459623557986E-2</v>
      </c>
      <c r="V829" s="76">
        <v>0</v>
      </c>
      <c r="W829" s="76">
        <v>9.4869459623557986E-2</v>
      </c>
      <c r="X829" s="76">
        <v>0</v>
      </c>
      <c r="Y829" s="77" t="s">
        <v>37</v>
      </c>
      <c r="Z829" s="87"/>
      <c r="AA829" s="79" t="s">
        <v>517</v>
      </c>
      <c r="AB829" s="79" t="s">
        <v>35</v>
      </c>
      <c r="AC829" s="79" t="s">
        <v>35</v>
      </c>
      <c r="AD829" s="79" t="s">
        <v>38</v>
      </c>
      <c r="AE829" s="79"/>
      <c r="AF829" s="79"/>
      <c r="AG829" s="79"/>
      <c r="AH829" s="79"/>
      <c r="AI829" s="53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</row>
    <row r="830" spans="1:110" ht="13.8" x14ac:dyDescent="0.25">
      <c r="A830" s="10">
        <v>1503016</v>
      </c>
      <c r="B830" s="26" t="s">
        <v>1211</v>
      </c>
      <c r="C830" s="12" t="s">
        <v>1346</v>
      </c>
      <c r="D830" s="26"/>
      <c r="E830" s="10" t="s">
        <v>517</v>
      </c>
      <c r="F830" s="10" t="s">
        <v>557</v>
      </c>
      <c r="G830" s="55" t="s">
        <v>433</v>
      </c>
      <c r="H830" s="10">
        <v>1</v>
      </c>
      <c r="I830" s="13"/>
      <c r="J830" s="56"/>
      <c r="K830" s="57"/>
      <c r="M830" s="14"/>
      <c r="N830" s="14"/>
      <c r="O830" s="14"/>
      <c r="P830" s="14"/>
      <c r="Q830" s="14"/>
      <c r="R830" s="14"/>
      <c r="S830" s="14"/>
      <c r="T830" s="70"/>
      <c r="U830" s="76"/>
      <c r="V830" s="76"/>
      <c r="W830" s="76"/>
      <c r="X830" s="76"/>
      <c r="Y830" s="77" t="s">
        <v>37</v>
      </c>
      <c r="Z830" s="87"/>
      <c r="AA830" s="79" t="s">
        <v>517</v>
      </c>
      <c r="AB830" s="79" t="s">
        <v>35</v>
      </c>
      <c r="AC830" s="79" t="s">
        <v>35</v>
      </c>
      <c r="AD830" s="79" t="s">
        <v>38</v>
      </c>
      <c r="AE830" s="79"/>
      <c r="AF830" s="79"/>
      <c r="AG830" s="79"/>
      <c r="AH830" s="79"/>
      <c r="AI830" s="53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</row>
    <row r="831" spans="1:110" ht="20.399999999999999" x14ac:dyDescent="0.25">
      <c r="A831" s="10">
        <v>1503017</v>
      </c>
      <c r="B831" s="26" t="s">
        <v>1211</v>
      </c>
      <c r="C831" s="25" t="s">
        <v>1347</v>
      </c>
      <c r="D831" s="26"/>
      <c r="E831" s="10" t="s">
        <v>517</v>
      </c>
      <c r="F831" s="10" t="s">
        <v>557</v>
      </c>
      <c r="G831" s="55" t="s">
        <v>433</v>
      </c>
      <c r="H831" s="10">
        <v>1</v>
      </c>
      <c r="I831" s="13"/>
      <c r="J831" s="56"/>
      <c r="K831" s="57"/>
      <c r="M831" s="14"/>
      <c r="N831" s="14"/>
      <c r="O831" s="14"/>
      <c r="P831" s="14"/>
      <c r="Q831" s="14"/>
      <c r="R831" s="14"/>
      <c r="S831" s="14"/>
      <c r="T831" s="70"/>
      <c r="U831" s="76"/>
      <c r="V831" s="76"/>
      <c r="W831" s="76"/>
      <c r="X831" s="76"/>
      <c r="Y831" s="77" t="s">
        <v>37</v>
      </c>
      <c r="Z831" s="87"/>
      <c r="AA831" s="79" t="s">
        <v>517</v>
      </c>
      <c r="AB831" s="79" t="s">
        <v>35</v>
      </c>
      <c r="AC831" s="79" t="s">
        <v>35</v>
      </c>
      <c r="AD831" s="79" t="s">
        <v>38</v>
      </c>
      <c r="AE831" s="79"/>
      <c r="AF831" s="79"/>
      <c r="AG831" s="79"/>
      <c r="AH831" s="79"/>
      <c r="AI831" s="53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</row>
    <row r="832" spans="1:110" ht="13.8" x14ac:dyDescent="0.25">
      <c r="A832" s="10">
        <v>1503018</v>
      </c>
      <c r="B832" s="26" t="s">
        <v>1211</v>
      </c>
      <c r="C832" s="12" t="s">
        <v>1348</v>
      </c>
      <c r="D832" s="26"/>
      <c r="E832" s="10" t="s">
        <v>517</v>
      </c>
      <c r="F832" s="10" t="s">
        <v>557</v>
      </c>
      <c r="G832" s="55" t="s">
        <v>433</v>
      </c>
      <c r="H832" s="10"/>
      <c r="I832" s="13"/>
      <c r="J832" s="56"/>
      <c r="K832" s="57"/>
      <c r="M832" s="14"/>
      <c r="N832" s="14"/>
      <c r="O832" s="14"/>
      <c r="P832" s="14"/>
      <c r="Q832" s="14"/>
      <c r="R832" s="14"/>
      <c r="S832" s="14"/>
      <c r="T832" s="70"/>
      <c r="U832" s="76"/>
      <c r="V832" s="76"/>
      <c r="W832" s="76"/>
      <c r="X832" s="76"/>
      <c r="Y832" s="77"/>
      <c r="Z832" s="87"/>
      <c r="AA832" s="79"/>
      <c r="AB832" s="79"/>
      <c r="AC832" s="79"/>
      <c r="AD832" s="79"/>
      <c r="AE832" s="79"/>
      <c r="AF832" s="79"/>
      <c r="AG832" s="79"/>
      <c r="AH832" s="79"/>
      <c r="AI832" s="53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</row>
    <row r="833" spans="1:110" ht="13.8" x14ac:dyDescent="0.25">
      <c r="A833" s="10">
        <v>1503019</v>
      </c>
      <c r="B833" s="26" t="s">
        <v>1211</v>
      </c>
      <c r="C833" s="12" t="s">
        <v>1349</v>
      </c>
      <c r="D833" s="26"/>
      <c r="E833" s="10" t="s">
        <v>517</v>
      </c>
      <c r="F833" s="10" t="s">
        <v>557</v>
      </c>
      <c r="G833" s="55" t="s">
        <v>433</v>
      </c>
      <c r="H833" s="10"/>
      <c r="I833" s="13"/>
      <c r="J833" s="56"/>
      <c r="K833" s="57"/>
      <c r="M833" s="14"/>
      <c r="N833" s="14"/>
      <c r="O833" s="14"/>
      <c r="P833" s="14"/>
      <c r="Q833" s="14"/>
      <c r="R833" s="14"/>
      <c r="S833" s="14"/>
      <c r="T833" s="70"/>
      <c r="U833" s="76"/>
      <c r="V833" s="76"/>
      <c r="W833" s="76"/>
      <c r="X833" s="76"/>
      <c r="Y833" s="77"/>
      <c r="Z833" s="87"/>
      <c r="AA833" s="79"/>
      <c r="AB833" s="79"/>
      <c r="AC833" s="79"/>
      <c r="AD833" s="79"/>
      <c r="AE833" s="79"/>
      <c r="AF833" s="79"/>
      <c r="AG833" s="79"/>
      <c r="AH833" s="79"/>
      <c r="AI833" s="53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</row>
    <row r="834" spans="1:110" ht="13.8" x14ac:dyDescent="0.25">
      <c r="A834" s="10">
        <v>1503020</v>
      </c>
      <c r="B834" s="26" t="s">
        <v>1211</v>
      </c>
      <c r="C834" s="12" t="s">
        <v>1647</v>
      </c>
      <c r="D834" s="26" t="s">
        <v>1211</v>
      </c>
      <c r="E834" s="10" t="s">
        <v>1649</v>
      </c>
      <c r="F834" s="10" t="s">
        <v>557</v>
      </c>
      <c r="G834" s="55">
        <f>IF(U834="Obsolete",U834,U834+V834)</f>
        <v>10.39</v>
      </c>
      <c r="H834" s="10">
        <v>2</v>
      </c>
      <c r="I834" s="13">
        <v>100</v>
      </c>
      <c r="J834" s="56"/>
      <c r="K834" s="57"/>
      <c r="M834" s="14"/>
      <c r="N834" s="14"/>
      <c r="O834" s="14"/>
      <c r="P834" s="14"/>
      <c r="Q834" s="14"/>
      <c r="R834" s="14"/>
      <c r="S834" s="14"/>
      <c r="T834" s="70"/>
      <c r="U834" s="76">
        <v>10.39</v>
      </c>
      <c r="V834" s="76">
        <v>0</v>
      </c>
      <c r="W834" s="76">
        <v>10.39</v>
      </c>
      <c r="X834" s="76">
        <v>0</v>
      </c>
      <c r="Y834" s="77" t="s">
        <v>37</v>
      </c>
      <c r="Z834" s="87">
        <v>100</v>
      </c>
      <c r="AA834" s="79" t="s">
        <v>1650</v>
      </c>
      <c r="AB834" s="79" t="s">
        <v>35</v>
      </c>
      <c r="AC834" s="79" t="s">
        <v>37</v>
      </c>
      <c r="AD834" s="79"/>
      <c r="AE834" s="79"/>
      <c r="AF834" s="79"/>
      <c r="AG834" s="79"/>
      <c r="AH834" s="79"/>
      <c r="AI834" s="53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</row>
    <row r="835" spans="1:110" ht="13.8" x14ac:dyDescent="0.25">
      <c r="A835" s="10">
        <v>1503021</v>
      </c>
      <c r="B835" s="26" t="s">
        <v>1211</v>
      </c>
      <c r="C835" s="12" t="s">
        <v>1648</v>
      </c>
      <c r="D835" s="26" t="s">
        <v>1211</v>
      </c>
      <c r="E835" s="10" t="s">
        <v>1649</v>
      </c>
      <c r="F835" s="10" t="s">
        <v>557</v>
      </c>
      <c r="G835" s="55">
        <f>IF(U835="Obsolete",U835,U835+V835)</f>
        <v>0.85</v>
      </c>
      <c r="H835" s="10">
        <v>2</v>
      </c>
      <c r="I835" s="13">
        <v>650</v>
      </c>
      <c r="J835" s="56"/>
      <c r="K835" s="57"/>
      <c r="M835" s="14"/>
      <c r="N835" s="14"/>
      <c r="O835" s="14"/>
      <c r="P835" s="14"/>
      <c r="Q835" s="14"/>
      <c r="R835" s="14"/>
      <c r="S835" s="14"/>
      <c r="T835" s="70"/>
      <c r="U835" s="76">
        <v>0.85</v>
      </c>
      <c r="V835" s="76">
        <v>0</v>
      </c>
      <c r="W835" s="76">
        <v>0.85</v>
      </c>
      <c r="X835" s="76">
        <v>0</v>
      </c>
      <c r="Y835" s="77" t="s">
        <v>37</v>
      </c>
      <c r="Z835" s="87">
        <v>650</v>
      </c>
      <c r="AA835" s="79" t="s">
        <v>1650</v>
      </c>
      <c r="AB835" s="79" t="s">
        <v>35</v>
      </c>
      <c r="AC835" s="79" t="s">
        <v>37</v>
      </c>
      <c r="AD835" s="79"/>
      <c r="AE835" s="79"/>
      <c r="AF835" s="79"/>
      <c r="AG835" s="79"/>
      <c r="AH835" s="79"/>
      <c r="AI835" s="53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</row>
    <row r="836" spans="1:110" ht="20.399999999999999" x14ac:dyDescent="0.25">
      <c r="A836" s="10">
        <v>1503100</v>
      </c>
      <c r="B836" s="26" t="s">
        <v>1314</v>
      </c>
      <c r="C836" s="25" t="s">
        <v>1350</v>
      </c>
      <c r="D836" s="26"/>
      <c r="E836" s="10" t="s">
        <v>58</v>
      </c>
      <c r="F836" s="10" t="s">
        <v>557</v>
      </c>
      <c r="G836" s="55">
        <f>IF(U836="Obsolete",U836,U836+V836)</f>
        <v>0</v>
      </c>
      <c r="H836" s="10"/>
      <c r="I836" s="13"/>
      <c r="J836" s="56"/>
      <c r="K836" s="57"/>
      <c r="M836" s="14"/>
      <c r="N836" s="14"/>
      <c r="O836" s="14"/>
      <c r="P836" s="14"/>
      <c r="Q836" s="14"/>
      <c r="R836" s="14"/>
      <c r="S836" s="14"/>
      <c r="T836" s="70"/>
      <c r="U836" s="76"/>
      <c r="V836" s="76">
        <v>0</v>
      </c>
      <c r="W836" s="76"/>
      <c r="X836" s="76">
        <v>0</v>
      </c>
      <c r="Y836" s="77" t="s">
        <v>37</v>
      </c>
      <c r="Z836" s="87"/>
      <c r="AA836" s="79" t="s">
        <v>58</v>
      </c>
      <c r="AB836" s="79" t="s">
        <v>35</v>
      </c>
      <c r="AC836" s="79" t="s">
        <v>35</v>
      </c>
      <c r="AD836" s="79" t="s">
        <v>38</v>
      </c>
      <c r="AE836" s="79" t="s">
        <v>1351</v>
      </c>
      <c r="AF836" s="79"/>
      <c r="AG836" s="105" t="s">
        <v>1352</v>
      </c>
      <c r="AH836" s="79"/>
      <c r="AI836" s="53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</row>
    <row r="837" spans="1:110" ht="30.6" x14ac:dyDescent="0.25">
      <c r="A837" s="10">
        <v>1503101</v>
      </c>
      <c r="B837" s="26" t="s">
        <v>1314</v>
      </c>
      <c r="C837" s="25" t="s">
        <v>1353</v>
      </c>
      <c r="D837" s="26"/>
      <c r="E837" s="10" t="s">
        <v>1325</v>
      </c>
      <c r="F837" s="10" t="s">
        <v>557</v>
      </c>
      <c r="G837" s="55">
        <f>IF(U837="Obsolete",U837,U837+V837)</f>
        <v>1.45</v>
      </c>
      <c r="H837" s="10">
        <v>2</v>
      </c>
      <c r="I837" s="13"/>
      <c r="J837" s="56"/>
      <c r="K837" s="57"/>
      <c r="M837" s="14"/>
      <c r="N837" s="14"/>
      <c r="O837" s="14"/>
      <c r="P837" s="14"/>
      <c r="Q837" s="14"/>
      <c r="R837" s="14"/>
      <c r="S837" s="14"/>
      <c r="T837" s="70"/>
      <c r="U837" s="76">
        <v>1.45</v>
      </c>
      <c r="V837" s="76">
        <v>0</v>
      </c>
      <c r="W837" s="76">
        <v>1.45</v>
      </c>
      <c r="X837" s="76">
        <v>0</v>
      </c>
      <c r="Y837" s="77" t="s">
        <v>35</v>
      </c>
      <c r="Z837" s="87"/>
      <c r="AA837" s="79" t="s">
        <v>189</v>
      </c>
      <c r="AB837" s="79" t="s">
        <v>35</v>
      </c>
      <c r="AC837" s="79" t="s">
        <v>37</v>
      </c>
      <c r="AD837" s="79" t="s">
        <v>38</v>
      </c>
      <c r="AE837" s="79" t="s">
        <v>1326</v>
      </c>
      <c r="AF837" s="79" t="s">
        <v>1327</v>
      </c>
      <c r="AG837" s="79" t="s">
        <v>1328</v>
      </c>
      <c r="AH837" s="79"/>
      <c r="AI837" s="53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</row>
    <row r="838" spans="1:110" ht="30.6" x14ac:dyDescent="0.25">
      <c r="A838" s="10">
        <v>1503102</v>
      </c>
      <c r="B838" s="26" t="s">
        <v>1314</v>
      </c>
      <c r="C838" s="25" t="s">
        <v>1525</v>
      </c>
      <c r="D838" s="26" t="s">
        <v>84</v>
      </c>
      <c r="E838" s="10" t="s">
        <v>102</v>
      </c>
      <c r="F838" s="10" t="s">
        <v>557</v>
      </c>
      <c r="G838" s="55">
        <v>0</v>
      </c>
      <c r="H838" s="10"/>
      <c r="I838" s="13"/>
      <c r="J838" s="56"/>
      <c r="K838" s="57"/>
      <c r="M838" s="14"/>
      <c r="N838" s="14"/>
      <c r="O838" s="14"/>
      <c r="P838" s="14"/>
      <c r="Q838" s="14"/>
      <c r="R838" s="14"/>
      <c r="S838" s="14"/>
      <c r="T838" s="70"/>
      <c r="U838" s="76"/>
      <c r="V838" s="76"/>
      <c r="W838" s="76"/>
      <c r="X838" s="76"/>
      <c r="Y838" s="77"/>
      <c r="Z838" s="87"/>
      <c r="AA838" s="79" t="s">
        <v>102</v>
      </c>
      <c r="AB838" s="79" t="s">
        <v>35</v>
      </c>
      <c r="AC838" s="79" t="s">
        <v>35</v>
      </c>
      <c r="AD838" s="79" t="s">
        <v>38</v>
      </c>
      <c r="AE838" s="79" t="s">
        <v>313</v>
      </c>
      <c r="AF838" s="79" t="s">
        <v>1510</v>
      </c>
      <c r="AG838" s="80" t="s">
        <v>473</v>
      </c>
      <c r="AH838" s="79"/>
      <c r="AI838" s="53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</row>
    <row r="839" spans="1:110" ht="20.399999999999999" x14ac:dyDescent="0.25">
      <c r="A839" s="10">
        <v>1503103</v>
      </c>
      <c r="B839" s="26" t="s">
        <v>1314</v>
      </c>
      <c r="C839" s="25" t="s">
        <v>1527</v>
      </c>
      <c r="D839" s="26" t="s">
        <v>1411</v>
      </c>
      <c r="E839" s="10" t="s">
        <v>370</v>
      </c>
      <c r="F839" s="10" t="s">
        <v>557</v>
      </c>
      <c r="G839" s="55">
        <v>0</v>
      </c>
      <c r="H839" s="10"/>
      <c r="I839" s="13"/>
      <c r="J839" s="56"/>
      <c r="K839" s="57"/>
      <c r="M839" s="14"/>
      <c r="N839" s="14"/>
      <c r="O839" s="14"/>
      <c r="P839" s="14"/>
      <c r="Q839" s="14"/>
      <c r="R839" s="14"/>
      <c r="S839" s="14"/>
      <c r="T839" s="70"/>
      <c r="U839" s="76"/>
      <c r="V839" s="76"/>
      <c r="W839" s="76"/>
      <c r="X839" s="76"/>
      <c r="Y839" s="77"/>
      <c r="Z839" s="87"/>
      <c r="AA839" s="79" t="s">
        <v>102</v>
      </c>
      <c r="AB839" s="79" t="s">
        <v>35</v>
      </c>
      <c r="AC839" s="79" t="s">
        <v>35</v>
      </c>
      <c r="AD839" s="79" t="s">
        <v>38</v>
      </c>
      <c r="AE839" s="79" t="s">
        <v>313</v>
      </c>
      <c r="AF839" s="79" t="s">
        <v>1510</v>
      </c>
      <c r="AG839" s="80" t="s">
        <v>473</v>
      </c>
      <c r="AH839" s="79"/>
      <c r="AI839" s="53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</row>
    <row r="840" spans="1:110" ht="20.399999999999999" x14ac:dyDescent="0.25">
      <c r="A840" s="10">
        <v>1503104</v>
      </c>
      <c r="B840" s="26" t="s">
        <v>1314</v>
      </c>
      <c r="C840" s="25" t="s">
        <v>1553</v>
      </c>
      <c r="D840" s="26" t="s">
        <v>84</v>
      </c>
      <c r="E840" s="10" t="s">
        <v>102</v>
      </c>
      <c r="F840" s="10" t="s">
        <v>557</v>
      </c>
      <c r="G840" s="55">
        <v>0</v>
      </c>
      <c r="H840" s="10"/>
      <c r="I840" s="13"/>
      <c r="J840" s="56"/>
      <c r="K840" s="57"/>
      <c r="M840" s="14"/>
      <c r="N840" s="14"/>
      <c r="O840" s="14"/>
      <c r="P840" s="14"/>
      <c r="Q840" s="14"/>
      <c r="R840" s="14"/>
      <c r="S840" s="14"/>
      <c r="T840" s="70"/>
      <c r="U840" s="76"/>
      <c r="V840" s="76"/>
      <c r="W840" s="76"/>
      <c r="X840" s="76"/>
      <c r="Y840" s="77"/>
      <c r="Z840" s="87"/>
      <c r="AA840" s="79" t="s">
        <v>102</v>
      </c>
      <c r="AB840" s="79"/>
      <c r="AC840" s="79"/>
      <c r="AD840" s="79"/>
      <c r="AE840" s="79"/>
      <c r="AF840" s="79"/>
      <c r="AG840" s="80"/>
      <c r="AH840" s="79"/>
      <c r="AI840" s="53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</row>
    <row r="841" spans="1:110" ht="20.399999999999999" x14ac:dyDescent="0.25">
      <c r="A841" s="10">
        <v>1503105</v>
      </c>
      <c r="B841" s="26" t="s">
        <v>1314</v>
      </c>
      <c r="C841" s="25" t="s">
        <v>1626</v>
      </c>
      <c r="D841" s="26" t="s">
        <v>1316</v>
      </c>
      <c r="E841" s="10" t="s">
        <v>1625</v>
      </c>
      <c r="F841" s="10" t="s">
        <v>557</v>
      </c>
      <c r="G841" s="55">
        <v>0</v>
      </c>
      <c r="H841" s="10"/>
      <c r="I841" s="13"/>
      <c r="J841" s="56"/>
      <c r="K841" s="57"/>
      <c r="M841" s="14"/>
      <c r="N841" s="14"/>
      <c r="O841" s="14"/>
      <c r="P841" s="14"/>
      <c r="Q841" s="14"/>
      <c r="R841" s="14"/>
      <c r="S841" s="14"/>
      <c r="T841" s="70"/>
      <c r="U841" s="76"/>
      <c r="V841" s="76"/>
      <c r="W841" s="76"/>
      <c r="X841" s="76"/>
      <c r="Y841" s="77"/>
      <c r="Z841" s="87"/>
      <c r="AA841" s="79"/>
      <c r="AB841" s="79"/>
      <c r="AC841" s="79"/>
      <c r="AD841" s="79"/>
      <c r="AE841" s="79"/>
      <c r="AF841" s="79"/>
      <c r="AG841" s="80"/>
      <c r="AH841" s="79"/>
      <c r="AI841" s="53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</row>
    <row r="842" spans="1:110" ht="13.8" x14ac:dyDescent="0.25">
      <c r="A842" s="24">
        <v>1504001</v>
      </c>
      <c r="B842" s="26" t="s">
        <v>1229</v>
      </c>
      <c r="C842" s="25" t="s">
        <v>1354</v>
      </c>
      <c r="D842" s="26"/>
      <c r="E842" s="17" t="s">
        <v>57</v>
      </c>
      <c r="F842" s="10" t="s">
        <v>557</v>
      </c>
      <c r="G842" s="55" t="str">
        <f t="shared" ref="G842:G885" si="20">IF(U842="Obsolete",U842,U842+V842)</f>
        <v>Obsolete</v>
      </c>
      <c r="H842" s="10"/>
      <c r="I842" s="13"/>
      <c r="J842" s="56"/>
      <c r="K842" s="57"/>
      <c r="M842" s="10"/>
      <c r="N842" s="10"/>
      <c r="O842" s="29"/>
      <c r="P842" s="29"/>
      <c r="Q842" s="29"/>
      <c r="R842" s="29"/>
      <c r="S842" s="29"/>
      <c r="T842" s="72"/>
      <c r="U842" s="97" t="s">
        <v>54</v>
      </c>
      <c r="V842" s="97"/>
      <c r="W842" s="97" t="s">
        <v>54</v>
      </c>
      <c r="X842" s="97"/>
      <c r="Y842" s="97"/>
      <c r="Z842" s="87"/>
      <c r="AA842" s="79"/>
      <c r="AB842" s="79" t="s">
        <v>37</v>
      </c>
      <c r="AC842" s="79" t="s">
        <v>37</v>
      </c>
      <c r="AD842" s="79"/>
      <c r="AE842" s="79"/>
      <c r="AF842" s="79"/>
      <c r="AG842" s="79"/>
      <c r="AH842" s="79"/>
      <c r="AI842" s="53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</row>
    <row r="843" spans="1:110" ht="13.8" x14ac:dyDescent="0.25">
      <c r="A843" s="10">
        <v>1504002</v>
      </c>
      <c r="B843" s="11" t="s">
        <v>956</v>
      </c>
      <c r="C843" s="12" t="s">
        <v>1355</v>
      </c>
      <c r="D843" s="11"/>
      <c r="E843" s="17" t="s">
        <v>57</v>
      </c>
      <c r="F843" s="10" t="s">
        <v>557</v>
      </c>
      <c r="G843" s="55" t="str">
        <f t="shared" si="20"/>
        <v>Obsolete</v>
      </c>
      <c r="H843" s="10"/>
      <c r="I843" s="13"/>
      <c r="J843" s="56"/>
      <c r="K843" s="57"/>
      <c r="M843" s="10"/>
      <c r="N843" s="10"/>
      <c r="O843" s="29"/>
      <c r="P843" s="29"/>
      <c r="Q843" s="29"/>
      <c r="R843" s="29"/>
      <c r="S843" s="29"/>
      <c r="T843" s="72"/>
      <c r="U843" s="97" t="s">
        <v>54</v>
      </c>
      <c r="V843" s="97"/>
      <c r="W843" s="97" t="s">
        <v>54</v>
      </c>
      <c r="X843" s="97"/>
      <c r="Y843" s="97"/>
      <c r="Z843" s="78"/>
      <c r="AA843" s="79" t="s">
        <v>55</v>
      </c>
      <c r="AB843" s="79" t="s">
        <v>37</v>
      </c>
      <c r="AC843" s="79" t="s">
        <v>37</v>
      </c>
      <c r="AD843" s="79"/>
      <c r="AE843" s="79"/>
      <c r="AF843" s="79"/>
      <c r="AG843" s="79"/>
      <c r="AH843" s="79"/>
      <c r="AI843" s="53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</row>
    <row r="844" spans="1:110" ht="13.8" x14ac:dyDescent="0.25">
      <c r="A844" s="10">
        <v>1504003</v>
      </c>
      <c r="B844" s="11" t="s">
        <v>956</v>
      </c>
      <c r="C844" s="12" t="s">
        <v>1356</v>
      </c>
      <c r="D844" s="11"/>
      <c r="E844" s="17" t="s">
        <v>57</v>
      </c>
      <c r="F844" s="10" t="s">
        <v>557</v>
      </c>
      <c r="G844" s="55" t="str">
        <f t="shared" si="20"/>
        <v>Obsolete</v>
      </c>
      <c r="H844" s="10"/>
      <c r="I844" s="13"/>
      <c r="J844" s="56"/>
      <c r="K844" s="57"/>
      <c r="M844" s="10"/>
      <c r="N844" s="10"/>
      <c r="O844" s="29"/>
      <c r="P844" s="29"/>
      <c r="Q844" s="29"/>
      <c r="R844" s="29"/>
      <c r="S844" s="29"/>
      <c r="T844" s="72"/>
      <c r="U844" s="97" t="s">
        <v>54</v>
      </c>
      <c r="V844" s="97"/>
      <c r="W844" s="97" t="s">
        <v>54</v>
      </c>
      <c r="X844" s="97"/>
      <c r="Y844" s="97"/>
      <c r="Z844" s="78"/>
      <c r="AA844" s="79" t="s">
        <v>55</v>
      </c>
      <c r="AB844" s="79" t="s">
        <v>37</v>
      </c>
      <c r="AC844" s="79" t="s">
        <v>37</v>
      </c>
      <c r="AD844" s="79"/>
      <c r="AE844" s="79"/>
      <c r="AF844" s="79"/>
      <c r="AG844" s="79"/>
      <c r="AH844" s="79"/>
      <c r="AI844" s="53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</row>
    <row r="845" spans="1:110" ht="20.399999999999999" x14ac:dyDescent="0.25">
      <c r="A845" s="24">
        <v>1504004</v>
      </c>
      <c r="B845" s="11" t="s">
        <v>956</v>
      </c>
      <c r="C845" s="25" t="s">
        <v>1357</v>
      </c>
      <c r="D845" s="26"/>
      <c r="E845" s="17" t="s">
        <v>57</v>
      </c>
      <c r="F845" s="10" t="s">
        <v>557</v>
      </c>
      <c r="G845" s="55" t="str">
        <f t="shared" si="20"/>
        <v>Obsolete</v>
      </c>
      <c r="H845" s="10"/>
      <c r="I845" s="13"/>
      <c r="J845" s="56"/>
      <c r="K845" s="57"/>
      <c r="M845" s="10"/>
      <c r="N845" s="10"/>
      <c r="O845" s="29"/>
      <c r="P845" s="29"/>
      <c r="Q845" s="29"/>
      <c r="R845" s="29"/>
      <c r="S845" s="29"/>
      <c r="T845" s="72"/>
      <c r="U845" s="97" t="s">
        <v>54</v>
      </c>
      <c r="V845" s="97"/>
      <c r="W845" s="97" t="s">
        <v>54</v>
      </c>
      <c r="X845" s="97"/>
      <c r="Y845" s="97"/>
      <c r="Z845" s="87"/>
      <c r="AA845" s="79"/>
      <c r="AB845" s="79" t="s">
        <v>37</v>
      </c>
      <c r="AC845" s="79" t="s">
        <v>37</v>
      </c>
      <c r="AD845" s="79"/>
      <c r="AE845" s="79"/>
      <c r="AF845" s="79"/>
      <c r="AG845" s="79"/>
      <c r="AH845" s="79"/>
      <c r="AI845" s="53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</row>
    <row r="846" spans="1:110" ht="13.8" x14ac:dyDescent="0.25">
      <c r="A846" s="10">
        <v>1504005</v>
      </c>
      <c r="B846" s="11" t="s">
        <v>956</v>
      </c>
      <c r="C846" s="12" t="s">
        <v>1358</v>
      </c>
      <c r="D846" s="11"/>
      <c r="E846" s="17" t="s">
        <v>57</v>
      </c>
      <c r="F846" s="10" t="s">
        <v>557</v>
      </c>
      <c r="G846" s="55" t="str">
        <f t="shared" si="20"/>
        <v>Obsolete</v>
      </c>
      <c r="H846" s="10"/>
      <c r="I846" s="13"/>
      <c r="J846" s="56"/>
      <c r="K846" s="57"/>
      <c r="M846" s="10"/>
      <c r="N846" s="10"/>
      <c r="O846" s="29"/>
      <c r="P846" s="29"/>
      <c r="Q846" s="29"/>
      <c r="R846" s="29"/>
      <c r="S846" s="29"/>
      <c r="T846" s="72"/>
      <c r="U846" s="97" t="s">
        <v>54</v>
      </c>
      <c r="V846" s="97"/>
      <c r="W846" s="97" t="s">
        <v>54</v>
      </c>
      <c r="X846" s="97"/>
      <c r="Y846" s="97"/>
      <c r="Z846" s="78"/>
      <c r="AA846" s="79" t="s">
        <v>55</v>
      </c>
      <c r="AB846" s="79" t="s">
        <v>37</v>
      </c>
      <c r="AC846" s="79" t="s">
        <v>37</v>
      </c>
      <c r="AD846" s="79"/>
      <c r="AE846" s="79"/>
      <c r="AF846" s="79"/>
      <c r="AG846" s="79"/>
      <c r="AH846" s="79"/>
      <c r="AI846" s="53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</row>
    <row r="847" spans="1:110" ht="20.399999999999999" x14ac:dyDescent="0.25">
      <c r="A847" s="24">
        <v>1504006</v>
      </c>
      <c r="B847" s="26" t="s">
        <v>1229</v>
      </c>
      <c r="C847" s="25" t="s">
        <v>1359</v>
      </c>
      <c r="D847" s="26"/>
      <c r="E847" s="10" t="s">
        <v>1360</v>
      </c>
      <c r="F847" s="10" t="s">
        <v>557</v>
      </c>
      <c r="G847" s="55" t="str">
        <f t="shared" si="20"/>
        <v>Obsolete</v>
      </c>
      <c r="H847" s="10">
        <v>1</v>
      </c>
      <c r="I847" s="13"/>
      <c r="J847" s="56"/>
      <c r="K847" s="57"/>
      <c r="M847" s="10"/>
      <c r="N847" s="10"/>
      <c r="O847" s="29"/>
      <c r="P847" s="29"/>
      <c r="Q847" s="29"/>
      <c r="R847" s="29"/>
      <c r="S847" s="29"/>
      <c r="T847" s="72"/>
      <c r="U847" s="97" t="s">
        <v>54</v>
      </c>
      <c r="V847" s="97"/>
      <c r="W847" s="97" t="s">
        <v>54</v>
      </c>
      <c r="X847" s="97"/>
      <c r="Y847" s="97"/>
      <c r="Z847" s="87"/>
      <c r="AA847" s="79"/>
      <c r="AB847" s="79" t="s">
        <v>37</v>
      </c>
      <c r="AC847" s="79" t="s">
        <v>37</v>
      </c>
      <c r="AD847" s="79"/>
      <c r="AE847" s="79"/>
      <c r="AF847" s="79"/>
      <c r="AG847" s="79"/>
      <c r="AH847" s="79"/>
      <c r="AI847" s="53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</row>
    <row r="848" spans="1:110" ht="20.399999999999999" x14ac:dyDescent="0.25">
      <c r="A848" s="24">
        <v>1504007</v>
      </c>
      <c r="B848" s="26" t="s">
        <v>1229</v>
      </c>
      <c r="C848" s="25" t="s">
        <v>1361</v>
      </c>
      <c r="D848" s="26"/>
      <c r="E848" s="10" t="s">
        <v>966</v>
      </c>
      <c r="F848" s="10" t="s">
        <v>557</v>
      </c>
      <c r="G848" s="55" t="str">
        <f t="shared" si="20"/>
        <v>Obsolete</v>
      </c>
      <c r="H848" s="10"/>
      <c r="I848" s="13"/>
      <c r="J848" s="56"/>
      <c r="K848" s="57"/>
      <c r="M848" s="10"/>
      <c r="N848" s="10"/>
      <c r="O848" s="29"/>
      <c r="P848" s="29"/>
      <c r="Q848" s="29"/>
      <c r="R848" s="29"/>
      <c r="S848" s="29"/>
      <c r="T848" s="72"/>
      <c r="U848" s="97" t="s">
        <v>54</v>
      </c>
      <c r="V848" s="97"/>
      <c r="W848" s="97" t="s">
        <v>54</v>
      </c>
      <c r="X848" s="97"/>
      <c r="Y848" s="97"/>
      <c r="Z848" s="87"/>
      <c r="AA848" s="79" t="s">
        <v>966</v>
      </c>
      <c r="AB848" s="79" t="s">
        <v>37</v>
      </c>
      <c r="AC848" s="79" t="s">
        <v>37</v>
      </c>
      <c r="AD848" s="79"/>
      <c r="AE848" s="79"/>
      <c r="AF848" s="79"/>
      <c r="AG848" s="79"/>
      <c r="AH848" s="79"/>
      <c r="AI848" s="53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</row>
    <row r="849" spans="1:110" ht="13.8" x14ac:dyDescent="0.25">
      <c r="A849" s="24">
        <v>1504008</v>
      </c>
      <c r="B849" s="26" t="s">
        <v>1229</v>
      </c>
      <c r="C849" s="25" t="s">
        <v>1362</v>
      </c>
      <c r="D849" s="26"/>
      <c r="E849" s="10" t="s">
        <v>966</v>
      </c>
      <c r="F849" s="10" t="s">
        <v>557</v>
      </c>
      <c r="G849" s="55" t="str">
        <f t="shared" si="20"/>
        <v>Obsolete</v>
      </c>
      <c r="H849" s="10"/>
      <c r="I849" s="13"/>
      <c r="J849" s="56"/>
      <c r="K849" s="57"/>
      <c r="M849" s="10"/>
      <c r="N849" s="10"/>
      <c r="O849" s="29"/>
      <c r="P849" s="29"/>
      <c r="Q849" s="29"/>
      <c r="R849" s="29"/>
      <c r="S849" s="29"/>
      <c r="T849" s="72"/>
      <c r="U849" s="97" t="s">
        <v>54</v>
      </c>
      <c r="V849" s="97"/>
      <c r="W849" s="97" t="s">
        <v>54</v>
      </c>
      <c r="X849" s="97"/>
      <c r="Y849" s="97"/>
      <c r="Z849" s="87"/>
      <c r="AA849" s="79" t="s">
        <v>966</v>
      </c>
      <c r="AB849" s="79" t="s">
        <v>37</v>
      </c>
      <c r="AC849" s="79" t="s">
        <v>37</v>
      </c>
      <c r="AD849" s="79"/>
      <c r="AE849" s="79"/>
      <c r="AF849" s="79"/>
      <c r="AG849" s="79"/>
      <c r="AH849" s="79"/>
      <c r="AI849" s="53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</row>
    <row r="850" spans="1:110" ht="13.8" x14ac:dyDescent="0.25">
      <c r="A850" s="10">
        <v>1504010</v>
      </c>
      <c r="B850" s="11" t="s">
        <v>956</v>
      </c>
      <c r="C850" s="12" t="s">
        <v>1363</v>
      </c>
      <c r="D850" s="11"/>
      <c r="E850" s="17" t="s">
        <v>57</v>
      </c>
      <c r="F850" s="10" t="s">
        <v>557</v>
      </c>
      <c r="G850" s="55" t="str">
        <f t="shared" si="20"/>
        <v>Obsolete</v>
      </c>
      <c r="H850" s="10"/>
      <c r="I850" s="13"/>
      <c r="J850" s="56"/>
      <c r="K850" s="57"/>
      <c r="M850" s="10"/>
      <c r="N850" s="10"/>
      <c r="O850" s="29"/>
      <c r="P850" s="29"/>
      <c r="Q850" s="29"/>
      <c r="R850" s="29"/>
      <c r="S850" s="29"/>
      <c r="T850" s="72"/>
      <c r="U850" s="97" t="s">
        <v>54</v>
      </c>
      <c r="V850" s="97"/>
      <c r="W850" s="97" t="s">
        <v>54</v>
      </c>
      <c r="X850" s="97"/>
      <c r="Y850" s="97"/>
      <c r="Z850" s="78"/>
      <c r="AA850" s="79" t="s">
        <v>55</v>
      </c>
      <c r="AB850" s="79" t="s">
        <v>37</v>
      </c>
      <c r="AC850" s="79" t="s">
        <v>37</v>
      </c>
      <c r="AD850" s="79"/>
      <c r="AE850" s="79"/>
      <c r="AF850" s="79"/>
      <c r="AG850" s="79"/>
      <c r="AH850" s="79"/>
      <c r="AI850" s="53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</row>
    <row r="851" spans="1:110" ht="13.8" x14ac:dyDescent="0.25">
      <c r="A851" s="10">
        <v>1504011</v>
      </c>
      <c r="B851" s="10" t="s">
        <v>1229</v>
      </c>
      <c r="C851" s="16" t="s">
        <v>1364</v>
      </c>
      <c r="D851" s="11"/>
      <c r="E851" s="10" t="s">
        <v>1231</v>
      </c>
      <c r="F851" s="10" t="s">
        <v>557</v>
      </c>
      <c r="G851" s="55">
        <f t="shared" si="20"/>
        <v>1.89E-2</v>
      </c>
      <c r="H851" s="10">
        <v>1</v>
      </c>
      <c r="I851" s="13">
        <v>1000</v>
      </c>
      <c r="J851" s="56"/>
      <c r="K851" s="57"/>
      <c r="M851" s="14"/>
      <c r="N851" s="14"/>
      <c r="O851" s="14"/>
      <c r="P851" s="14"/>
      <c r="Q851" s="14"/>
      <c r="R851" s="14"/>
      <c r="S851" s="14"/>
      <c r="T851" s="70"/>
      <c r="U851" s="76">
        <v>1.89E-2</v>
      </c>
      <c r="V851" s="76">
        <v>0</v>
      </c>
      <c r="W851" s="76">
        <v>1.89E-2</v>
      </c>
      <c r="X851" s="76">
        <v>0</v>
      </c>
      <c r="Y851" s="77" t="s">
        <v>37</v>
      </c>
      <c r="Z851" s="78">
        <v>1000</v>
      </c>
      <c r="AA851" s="79" t="s">
        <v>1365</v>
      </c>
      <c r="AB851" s="79" t="s">
        <v>35</v>
      </c>
      <c r="AC851" s="79" t="s">
        <v>37</v>
      </c>
      <c r="AD851" s="79" t="s">
        <v>38</v>
      </c>
      <c r="AE851" s="79" t="s">
        <v>1232</v>
      </c>
      <c r="AF851" s="79" t="s">
        <v>1233</v>
      </c>
      <c r="AG851" s="105" t="s">
        <v>1234</v>
      </c>
      <c r="AH851" s="79"/>
      <c r="AI851" s="53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</row>
    <row r="852" spans="1:110" ht="13.8" x14ac:dyDescent="0.25">
      <c r="A852" s="10">
        <v>1504012</v>
      </c>
      <c r="B852" s="11" t="s">
        <v>1229</v>
      </c>
      <c r="C852" s="12" t="s">
        <v>1366</v>
      </c>
      <c r="D852" s="11"/>
      <c r="E852" s="10" t="s">
        <v>1231</v>
      </c>
      <c r="F852" s="10" t="s">
        <v>557</v>
      </c>
      <c r="G852" s="55">
        <f t="shared" si="20"/>
        <v>6.6659999999999997E-2</v>
      </c>
      <c r="H852" s="10">
        <v>1</v>
      </c>
      <c r="I852" s="13">
        <v>1000</v>
      </c>
      <c r="J852" s="56"/>
      <c r="K852" s="57"/>
      <c r="M852" s="14"/>
      <c r="N852" s="14"/>
      <c r="O852" s="14"/>
      <c r="P852" s="14"/>
      <c r="Q852" s="14"/>
      <c r="R852" s="14"/>
      <c r="S852" s="14"/>
      <c r="T852" s="70"/>
      <c r="U852" s="117">
        <v>6.6659999999999997E-2</v>
      </c>
      <c r="V852" s="76">
        <v>0</v>
      </c>
      <c r="W852" s="117">
        <v>6.6659999999999997E-2</v>
      </c>
      <c r="X852" s="117">
        <v>0</v>
      </c>
      <c r="Y852" s="77" t="s">
        <v>37</v>
      </c>
      <c r="Z852" s="78">
        <v>1000</v>
      </c>
      <c r="AA852" s="79" t="s">
        <v>234</v>
      </c>
      <c r="AB852" s="79" t="s">
        <v>35</v>
      </c>
      <c r="AC852" s="79" t="s">
        <v>37</v>
      </c>
      <c r="AD852" s="79" t="s">
        <v>38</v>
      </c>
      <c r="AE852" s="79" t="s">
        <v>1232</v>
      </c>
      <c r="AF852" s="79" t="s">
        <v>1233</v>
      </c>
      <c r="AG852" s="105" t="s">
        <v>1234</v>
      </c>
      <c r="AH852" s="79"/>
      <c r="AI852" s="53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</row>
    <row r="853" spans="1:110" ht="13.8" x14ac:dyDescent="0.25">
      <c r="A853" s="10">
        <v>1504013</v>
      </c>
      <c r="B853" s="11" t="s">
        <v>1229</v>
      </c>
      <c r="C853" s="12" t="s">
        <v>1367</v>
      </c>
      <c r="D853" s="11"/>
      <c r="E853" s="10" t="s">
        <v>1360</v>
      </c>
      <c r="F853" s="10" t="s">
        <v>557</v>
      </c>
      <c r="G853" s="55" t="str">
        <f t="shared" si="20"/>
        <v>Obsolete</v>
      </c>
      <c r="H853" s="10"/>
      <c r="I853" s="13">
        <v>1000</v>
      </c>
      <c r="J853" s="56"/>
      <c r="K853" s="57"/>
      <c r="M853" s="10"/>
      <c r="N853" s="10"/>
      <c r="O853" s="29"/>
      <c r="P853" s="29"/>
      <c r="Q853" s="29"/>
      <c r="R853" s="29"/>
      <c r="S853" s="29"/>
      <c r="T853" s="72"/>
      <c r="U853" s="97" t="s">
        <v>54</v>
      </c>
      <c r="V853" s="97"/>
      <c r="W853" s="97" t="s">
        <v>54</v>
      </c>
      <c r="X853" s="97"/>
      <c r="Y853" s="97"/>
      <c r="Z853" s="78"/>
      <c r="AA853" s="79" t="s">
        <v>234</v>
      </c>
      <c r="AB853" s="79" t="s">
        <v>37</v>
      </c>
      <c r="AC853" s="79" t="s">
        <v>37</v>
      </c>
      <c r="AD853" s="79"/>
      <c r="AE853" s="79"/>
      <c r="AF853" s="79"/>
      <c r="AG853" s="79"/>
      <c r="AH853" s="79"/>
      <c r="AI853" s="53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</row>
    <row r="854" spans="1:110" ht="13.8" x14ac:dyDescent="0.25">
      <c r="A854" s="10">
        <v>1504014</v>
      </c>
      <c r="B854" s="11" t="s">
        <v>1229</v>
      </c>
      <c r="C854" s="12" t="s">
        <v>1368</v>
      </c>
      <c r="D854" s="11"/>
      <c r="E854" s="10" t="s">
        <v>1369</v>
      </c>
      <c r="F854" s="10" t="s">
        <v>557</v>
      </c>
      <c r="G854" s="55">
        <f t="shared" si="20"/>
        <v>2.3199999999999998E-2</v>
      </c>
      <c r="H854" s="10">
        <v>2</v>
      </c>
      <c r="I854" s="13">
        <v>3750</v>
      </c>
      <c r="J854" s="56"/>
      <c r="K854" s="57"/>
      <c r="M854" s="10"/>
      <c r="N854" s="10"/>
      <c r="O854" s="29"/>
      <c r="P854" s="29"/>
      <c r="Q854" s="29"/>
      <c r="R854" s="29"/>
      <c r="S854" s="29"/>
      <c r="T854" s="72"/>
      <c r="U854" s="103">
        <v>2.3199999999999998E-2</v>
      </c>
      <c r="V854" s="77">
        <v>0</v>
      </c>
      <c r="W854" s="103">
        <v>2.3199999999999998E-2</v>
      </c>
      <c r="X854" s="97">
        <v>0</v>
      </c>
      <c r="Y854" s="97" t="s">
        <v>37</v>
      </c>
      <c r="Z854" s="78">
        <v>150</v>
      </c>
      <c r="AA854" s="79" t="s">
        <v>44</v>
      </c>
      <c r="AB854" s="79" t="s">
        <v>35</v>
      </c>
      <c r="AC854" s="79" t="s">
        <v>37</v>
      </c>
      <c r="AD854" s="79" t="s">
        <v>38</v>
      </c>
      <c r="AE854" s="79" t="s">
        <v>1370</v>
      </c>
      <c r="AF854" s="79" t="s">
        <v>1371</v>
      </c>
      <c r="AG854" s="105" t="s">
        <v>1372</v>
      </c>
      <c r="AH854" s="79"/>
      <c r="AI854" s="53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</row>
    <row r="855" spans="1:110" ht="13.8" x14ac:dyDescent="0.25">
      <c r="A855" s="10">
        <v>1504015</v>
      </c>
      <c r="B855" s="11" t="s">
        <v>1229</v>
      </c>
      <c r="C855" s="12" t="s">
        <v>1373</v>
      </c>
      <c r="D855" s="11"/>
      <c r="E855" s="10" t="s">
        <v>1369</v>
      </c>
      <c r="F855" s="10" t="s">
        <v>557</v>
      </c>
      <c r="G855" s="55">
        <f t="shared" si="20"/>
        <v>2.3900000000000001E-2</v>
      </c>
      <c r="H855" s="10">
        <v>2</v>
      </c>
      <c r="I855" s="13">
        <v>1000</v>
      </c>
      <c r="J855" s="56"/>
      <c r="K855" s="57"/>
      <c r="M855" s="10"/>
      <c r="N855" s="10"/>
      <c r="O855" s="29"/>
      <c r="P855" s="29"/>
      <c r="Q855" s="29"/>
      <c r="R855" s="29"/>
      <c r="S855" s="29"/>
      <c r="T855" s="72"/>
      <c r="U855" s="103">
        <v>2.3900000000000001E-2</v>
      </c>
      <c r="V855" s="103">
        <v>0</v>
      </c>
      <c r="W855" s="103">
        <v>2.3900000000000001E-2</v>
      </c>
      <c r="X855" s="97">
        <v>0</v>
      </c>
      <c r="Y855" s="97" t="s">
        <v>37</v>
      </c>
      <c r="Z855" s="78">
        <v>1000</v>
      </c>
      <c r="AA855" s="79" t="s">
        <v>44</v>
      </c>
      <c r="AB855" s="79" t="s">
        <v>35</v>
      </c>
      <c r="AC855" s="79" t="s">
        <v>37</v>
      </c>
      <c r="AD855" s="79" t="s">
        <v>38</v>
      </c>
      <c r="AE855" s="79" t="s">
        <v>1370</v>
      </c>
      <c r="AF855" s="79" t="s">
        <v>1371</v>
      </c>
      <c r="AG855" s="105" t="s">
        <v>1372</v>
      </c>
      <c r="AH855" s="79"/>
      <c r="AI855" s="53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</row>
    <row r="856" spans="1:110" ht="13.8" x14ac:dyDescent="0.25">
      <c r="A856" s="10">
        <v>1504016</v>
      </c>
      <c r="B856" s="11" t="s">
        <v>1229</v>
      </c>
      <c r="C856" s="12" t="s">
        <v>1374</v>
      </c>
      <c r="D856" s="11"/>
      <c r="E856" s="10" t="s">
        <v>1369</v>
      </c>
      <c r="F856" s="10" t="s">
        <v>557</v>
      </c>
      <c r="G856" s="60">
        <f t="shared" si="20"/>
        <v>1.15E-2</v>
      </c>
      <c r="H856" s="10">
        <v>1</v>
      </c>
      <c r="I856" s="13">
        <v>1000</v>
      </c>
      <c r="J856" s="56">
        <v>44153</v>
      </c>
      <c r="K856" s="57">
        <v>8.9999999999999993E-3</v>
      </c>
      <c r="M856" s="10"/>
      <c r="N856" s="10"/>
      <c r="O856" s="29"/>
      <c r="P856" s="29"/>
      <c r="Q856" s="29"/>
      <c r="R856" s="29"/>
      <c r="S856" s="29"/>
      <c r="T856" s="72"/>
      <c r="U856" s="103">
        <v>1.15E-2</v>
      </c>
      <c r="V856" s="103">
        <v>0</v>
      </c>
      <c r="W856" s="103">
        <v>1.15E-2</v>
      </c>
      <c r="X856" s="103">
        <v>0</v>
      </c>
      <c r="Y856" s="97" t="s">
        <v>37</v>
      </c>
      <c r="Z856" s="78"/>
      <c r="AA856" s="79" t="s">
        <v>44</v>
      </c>
      <c r="AB856" s="79" t="s">
        <v>35</v>
      </c>
      <c r="AC856" s="79" t="s">
        <v>37</v>
      </c>
      <c r="AD856" s="79" t="s">
        <v>38</v>
      </c>
      <c r="AE856" s="79" t="s">
        <v>1370</v>
      </c>
      <c r="AF856" s="79" t="s">
        <v>1371</v>
      </c>
      <c r="AG856" s="105" t="s">
        <v>1372</v>
      </c>
      <c r="AH856" s="79"/>
      <c r="AI856" s="53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</row>
    <row r="857" spans="1:110" ht="13.8" x14ac:dyDescent="0.25">
      <c r="A857" s="10">
        <v>1504017</v>
      </c>
      <c r="B857" s="11" t="s">
        <v>1229</v>
      </c>
      <c r="C857" s="12" t="s">
        <v>1375</v>
      </c>
      <c r="D857" s="11"/>
      <c r="E857" s="10" t="s">
        <v>1376</v>
      </c>
      <c r="F857" s="10" t="s">
        <v>557</v>
      </c>
      <c r="G857" s="60">
        <f t="shared" si="20"/>
        <v>4.2000000000000003E-2</v>
      </c>
      <c r="H857" s="10"/>
      <c r="I857" s="13"/>
      <c r="J857" s="56"/>
      <c r="K857" s="57"/>
      <c r="M857" s="10"/>
      <c r="N857" s="10"/>
      <c r="O857" s="29"/>
      <c r="P857" s="29"/>
      <c r="Q857" s="29"/>
      <c r="R857" s="29"/>
      <c r="S857" s="29"/>
      <c r="T857" s="72"/>
      <c r="U857" s="103">
        <v>4.2000000000000003E-2</v>
      </c>
      <c r="V857" s="103">
        <v>0</v>
      </c>
      <c r="W857" s="103">
        <v>4.2000000000000003E-2</v>
      </c>
      <c r="X857" s="103">
        <v>0</v>
      </c>
      <c r="Y857" s="97" t="s">
        <v>37</v>
      </c>
      <c r="Z857" s="78"/>
      <c r="AA857" s="79" t="s">
        <v>272</v>
      </c>
      <c r="AB857" s="79" t="s">
        <v>35</v>
      </c>
      <c r="AC857" s="79" t="s">
        <v>35</v>
      </c>
      <c r="AD857" s="79" t="s">
        <v>38</v>
      </c>
      <c r="AE857" s="79" t="s">
        <v>1377</v>
      </c>
      <c r="AF857" s="79" t="s">
        <v>1378</v>
      </c>
      <c r="AG857" s="105" t="s">
        <v>1379</v>
      </c>
      <c r="AH857" s="79"/>
      <c r="AI857" s="53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</row>
    <row r="858" spans="1:110" ht="13.8" x14ac:dyDescent="0.25">
      <c r="A858" s="10">
        <v>1504018</v>
      </c>
      <c r="B858" s="11" t="s">
        <v>1229</v>
      </c>
      <c r="C858" s="12" t="s">
        <v>1380</v>
      </c>
      <c r="D858" s="11"/>
      <c r="E858" s="10" t="s">
        <v>1376</v>
      </c>
      <c r="F858" s="10" t="s">
        <v>557</v>
      </c>
      <c r="G858" s="60">
        <f t="shared" si="20"/>
        <v>0.03</v>
      </c>
      <c r="H858" s="10"/>
      <c r="I858" s="13"/>
      <c r="J858" s="56"/>
      <c r="K858" s="57"/>
      <c r="M858" s="10"/>
      <c r="N858" s="10"/>
      <c r="O858" s="29"/>
      <c r="P858" s="29"/>
      <c r="Q858" s="29"/>
      <c r="R858" s="29"/>
      <c r="S858" s="29"/>
      <c r="T858" s="72"/>
      <c r="U858" s="103">
        <v>0.03</v>
      </c>
      <c r="V858" s="103">
        <v>0</v>
      </c>
      <c r="W858" s="103">
        <v>0.03</v>
      </c>
      <c r="X858" s="103">
        <v>0</v>
      </c>
      <c r="Y858" s="97" t="s">
        <v>37</v>
      </c>
      <c r="Z858" s="78"/>
      <c r="AA858" s="79" t="s">
        <v>272</v>
      </c>
      <c r="AB858" s="79" t="s">
        <v>35</v>
      </c>
      <c r="AC858" s="79" t="s">
        <v>35</v>
      </c>
      <c r="AD858" s="79" t="s">
        <v>38</v>
      </c>
      <c r="AE858" s="79" t="s">
        <v>1377</v>
      </c>
      <c r="AF858" s="79" t="s">
        <v>1378</v>
      </c>
      <c r="AG858" s="105" t="s">
        <v>1379</v>
      </c>
      <c r="AH858" s="79"/>
      <c r="AI858" s="53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</row>
    <row r="859" spans="1:110" ht="13.8" x14ac:dyDescent="0.25">
      <c r="A859" s="10">
        <v>1504019</v>
      </c>
      <c r="B859" s="11" t="s">
        <v>1229</v>
      </c>
      <c r="C859" s="12" t="s">
        <v>1572</v>
      </c>
      <c r="D859" s="11"/>
      <c r="E859" s="10" t="s">
        <v>1369</v>
      </c>
      <c r="F859" s="10" t="s">
        <v>557</v>
      </c>
      <c r="G859" s="60">
        <f t="shared" si="20"/>
        <v>2.5000000000000001E-2</v>
      </c>
      <c r="H859" s="10">
        <v>1</v>
      </c>
      <c r="I859" s="13"/>
      <c r="J859" s="56"/>
      <c r="K859" s="57"/>
      <c r="M859" s="10"/>
      <c r="N859" s="10"/>
      <c r="O859" s="29"/>
      <c r="P859" s="29"/>
      <c r="Q859" s="29"/>
      <c r="R859" s="29"/>
      <c r="S859" s="29"/>
      <c r="T859" s="72"/>
      <c r="U859" s="103">
        <f>0.5/20</f>
        <v>2.5000000000000001E-2</v>
      </c>
      <c r="V859" s="103">
        <v>0</v>
      </c>
      <c r="W859" s="103">
        <f>0.5/20</f>
        <v>2.5000000000000001E-2</v>
      </c>
      <c r="X859" s="103">
        <v>0</v>
      </c>
      <c r="Y859" s="97" t="s">
        <v>37</v>
      </c>
      <c r="Z859" s="78"/>
      <c r="AA859" s="79" t="s">
        <v>468</v>
      </c>
      <c r="AB859" s="79" t="s">
        <v>35</v>
      </c>
      <c r="AC859" s="79" t="s">
        <v>37</v>
      </c>
      <c r="AD859" s="79" t="s">
        <v>38</v>
      </c>
      <c r="AE859" s="79" t="s">
        <v>1370</v>
      </c>
      <c r="AF859" s="79" t="s">
        <v>1371</v>
      </c>
      <c r="AG859" s="105" t="s">
        <v>1372</v>
      </c>
      <c r="AH859" s="79"/>
      <c r="AI859" s="53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</row>
    <row r="860" spans="1:110" ht="13.8" x14ac:dyDescent="0.25">
      <c r="A860" s="10">
        <v>1504020</v>
      </c>
      <c r="B860" s="11" t="s">
        <v>1229</v>
      </c>
      <c r="C860" s="12" t="s">
        <v>1627</v>
      </c>
      <c r="D860" s="11"/>
      <c r="E860" s="10" t="s">
        <v>1625</v>
      </c>
      <c r="F860" s="10" t="s">
        <v>557</v>
      </c>
      <c r="G860" s="55">
        <v>0</v>
      </c>
      <c r="H860" s="10"/>
      <c r="I860" s="13"/>
      <c r="J860" s="56"/>
      <c r="K860" s="57"/>
      <c r="M860" s="10"/>
      <c r="N860" s="10"/>
      <c r="O860" s="29"/>
      <c r="P860" s="29"/>
      <c r="Q860" s="29"/>
      <c r="R860" s="29"/>
      <c r="S860" s="29"/>
      <c r="T860" s="72"/>
      <c r="U860" s="103"/>
      <c r="V860" s="103"/>
      <c r="W860" s="103"/>
      <c r="X860" s="103"/>
      <c r="Y860" s="97"/>
      <c r="Z860" s="78"/>
      <c r="AA860" s="79"/>
      <c r="AB860" s="79"/>
      <c r="AC860" s="79"/>
      <c r="AD860" s="79"/>
      <c r="AE860" s="79"/>
      <c r="AF860" s="79"/>
      <c r="AG860" s="105"/>
      <c r="AH860" s="79"/>
      <c r="AI860" s="53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</row>
    <row r="861" spans="1:110" ht="13.8" x14ac:dyDescent="0.25">
      <c r="A861" s="10">
        <v>1505001</v>
      </c>
      <c r="B861" s="11" t="s">
        <v>1229</v>
      </c>
      <c r="C861" s="12" t="s">
        <v>1381</v>
      </c>
      <c r="D861" s="11"/>
      <c r="E861" s="10" t="s">
        <v>966</v>
      </c>
      <c r="F861" s="10" t="s">
        <v>557</v>
      </c>
      <c r="G861" s="55" t="str">
        <f t="shared" si="20"/>
        <v>Obsolete</v>
      </c>
      <c r="H861" s="10"/>
      <c r="I861" s="13"/>
      <c r="J861" s="56"/>
      <c r="K861" s="57"/>
      <c r="M861" s="10"/>
      <c r="N861" s="10"/>
      <c r="O861" s="29"/>
      <c r="P861" s="29"/>
      <c r="Q861" s="29"/>
      <c r="R861" s="29"/>
      <c r="S861" s="29"/>
      <c r="T861" s="72"/>
      <c r="U861" s="97" t="s">
        <v>54</v>
      </c>
      <c r="V861" s="97"/>
      <c r="W861" s="97" t="s">
        <v>54</v>
      </c>
      <c r="X861" s="97"/>
      <c r="Y861" s="97"/>
      <c r="Z861" s="78"/>
      <c r="AA861" s="79" t="s">
        <v>966</v>
      </c>
      <c r="AB861" s="79" t="s">
        <v>37</v>
      </c>
      <c r="AC861" s="79" t="s">
        <v>37</v>
      </c>
      <c r="AD861" s="79"/>
      <c r="AE861" s="79"/>
      <c r="AF861" s="79"/>
      <c r="AG861" s="79"/>
      <c r="AH861" s="79"/>
      <c r="AI861" s="53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</row>
    <row r="862" spans="1:110" ht="13.8" x14ac:dyDescent="0.25">
      <c r="A862" s="10">
        <v>1505002</v>
      </c>
      <c r="B862" s="11" t="s">
        <v>956</v>
      </c>
      <c r="C862" s="12" t="s">
        <v>1382</v>
      </c>
      <c r="D862" s="11"/>
      <c r="E862" s="10" t="s">
        <v>966</v>
      </c>
      <c r="F862" s="10" t="s">
        <v>557</v>
      </c>
      <c r="G862" s="55" t="str">
        <f t="shared" si="20"/>
        <v>Obsolete</v>
      </c>
      <c r="H862" s="10"/>
      <c r="I862" s="13"/>
      <c r="J862" s="56"/>
      <c r="K862" s="57"/>
      <c r="M862" s="10"/>
      <c r="N862" s="10"/>
      <c r="O862" s="29"/>
      <c r="P862" s="29"/>
      <c r="Q862" s="29"/>
      <c r="R862" s="29"/>
      <c r="S862" s="29"/>
      <c r="T862" s="72"/>
      <c r="U862" s="97" t="s">
        <v>54</v>
      </c>
      <c r="V862" s="97"/>
      <c r="W862" s="97" t="s">
        <v>54</v>
      </c>
      <c r="X862" s="97"/>
      <c r="Y862" s="97"/>
      <c r="Z862" s="78"/>
      <c r="AA862" s="79" t="s">
        <v>966</v>
      </c>
      <c r="AB862" s="79" t="s">
        <v>37</v>
      </c>
      <c r="AC862" s="79" t="s">
        <v>37</v>
      </c>
      <c r="AD862" s="79"/>
      <c r="AE862" s="79"/>
      <c r="AF862" s="79"/>
      <c r="AG862" s="79"/>
      <c r="AH862" s="79"/>
      <c r="AI862" s="53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</row>
    <row r="863" spans="1:110" ht="30.6" x14ac:dyDescent="0.25">
      <c r="A863" s="10">
        <v>1505003</v>
      </c>
      <c r="B863" s="26" t="s">
        <v>956</v>
      </c>
      <c r="C863" s="25" t="s">
        <v>1383</v>
      </c>
      <c r="D863" s="11"/>
      <c r="E863" s="17" t="s">
        <v>57</v>
      </c>
      <c r="F863" s="10" t="s">
        <v>557</v>
      </c>
      <c r="G863" s="55" t="str">
        <f t="shared" si="20"/>
        <v>Obsolete</v>
      </c>
      <c r="H863" s="10"/>
      <c r="I863" s="13"/>
      <c r="J863" s="56"/>
      <c r="K863" s="57"/>
      <c r="M863" s="10"/>
      <c r="N863" s="10"/>
      <c r="O863" s="29"/>
      <c r="P863" s="29"/>
      <c r="Q863" s="29"/>
      <c r="R863" s="29"/>
      <c r="S863" s="29"/>
      <c r="T863" s="72"/>
      <c r="U863" s="97" t="s">
        <v>54</v>
      </c>
      <c r="V863" s="97"/>
      <c r="W863" s="97" t="s">
        <v>54</v>
      </c>
      <c r="X863" s="97"/>
      <c r="Y863" s="97"/>
      <c r="Z863" s="78"/>
      <c r="AA863" s="79"/>
      <c r="AB863" s="79" t="s">
        <v>37</v>
      </c>
      <c r="AC863" s="79" t="s">
        <v>37</v>
      </c>
      <c r="AD863" s="79"/>
      <c r="AE863" s="79"/>
      <c r="AF863" s="79"/>
      <c r="AG863" s="79"/>
      <c r="AH863" s="79"/>
      <c r="AI863" s="53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</row>
    <row r="864" spans="1:110" ht="30.6" x14ac:dyDescent="0.25">
      <c r="A864" s="10">
        <v>1505004</v>
      </c>
      <c r="B864" s="26" t="s">
        <v>956</v>
      </c>
      <c r="C864" s="25" t="s">
        <v>1384</v>
      </c>
      <c r="D864" s="11"/>
      <c r="E864" s="17" t="s">
        <v>57</v>
      </c>
      <c r="F864" s="10" t="s">
        <v>557</v>
      </c>
      <c r="G864" s="55" t="str">
        <f t="shared" si="20"/>
        <v>Obsolete</v>
      </c>
      <c r="H864" s="10"/>
      <c r="I864" s="13"/>
      <c r="J864" s="56"/>
      <c r="K864" s="57"/>
      <c r="M864" s="10"/>
      <c r="N864" s="10"/>
      <c r="O864" s="29"/>
      <c r="P864" s="29"/>
      <c r="Q864" s="29"/>
      <c r="R864" s="29"/>
      <c r="S864" s="29"/>
      <c r="T864" s="72"/>
      <c r="U864" s="97" t="s">
        <v>54</v>
      </c>
      <c r="V864" s="97"/>
      <c r="W864" s="97" t="s">
        <v>54</v>
      </c>
      <c r="X864" s="97"/>
      <c r="Y864" s="97"/>
      <c r="Z864" s="78"/>
      <c r="AA864" s="79"/>
      <c r="AB864" s="79" t="s">
        <v>37</v>
      </c>
      <c r="AC864" s="79" t="s">
        <v>37</v>
      </c>
      <c r="AD864" s="79"/>
      <c r="AE864" s="79"/>
      <c r="AF864" s="79"/>
      <c r="AG864" s="79"/>
      <c r="AH864" s="79"/>
      <c r="AI864" s="53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</row>
    <row r="865" spans="1:110" ht="13.8" x14ac:dyDescent="0.25">
      <c r="A865" s="10">
        <v>1505005</v>
      </c>
      <c r="B865" s="26" t="s">
        <v>940</v>
      </c>
      <c r="C865" s="25" t="s">
        <v>1385</v>
      </c>
      <c r="D865" s="11"/>
      <c r="E865" s="10" t="s">
        <v>1386</v>
      </c>
      <c r="F865" s="10" t="s">
        <v>557</v>
      </c>
      <c r="G865" s="55">
        <f t="shared" si="20"/>
        <v>0.25128300000000003</v>
      </c>
      <c r="H865" s="10">
        <v>4</v>
      </c>
      <c r="I865" s="13">
        <v>10000</v>
      </c>
      <c r="J865" s="56"/>
      <c r="K865" s="57"/>
      <c r="M865" s="14"/>
      <c r="N865" s="14"/>
      <c r="O865" s="14"/>
      <c r="P865" s="14"/>
      <c r="Q865" s="14"/>
      <c r="R865" s="14"/>
      <c r="S865" s="14">
        <v>0.28299999999999997</v>
      </c>
      <c r="T865" s="70">
        <v>0.23</v>
      </c>
      <c r="U865" s="76">
        <v>0.23</v>
      </c>
      <c r="V865" s="76">
        <v>2.1283E-2</v>
      </c>
      <c r="W865" s="76">
        <v>0.23</v>
      </c>
      <c r="X865" s="76">
        <v>2.1283E-2</v>
      </c>
      <c r="Y865" s="77" t="s">
        <v>35</v>
      </c>
      <c r="Z865" s="78"/>
      <c r="AA865" s="79" t="s">
        <v>234</v>
      </c>
      <c r="AB865" s="79" t="s">
        <v>35</v>
      </c>
      <c r="AC865" s="79" t="s">
        <v>37</v>
      </c>
      <c r="AD865" s="79" t="s">
        <v>38</v>
      </c>
      <c r="AE865" s="79" t="s">
        <v>1387</v>
      </c>
      <c r="AF865" s="79" t="s">
        <v>1388</v>
      </c>
      <c r="AG865" s="105" t="s">
        <v>1389</v>
      </c>
      <c r="AH865" s="79"/>
      <c r="AI865" s="53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</row>
    <row r="866" spans="1:110" ht="20.399999999999999" x14ac:dyDescent="0.25">
      <c r="A866" s="10">
        <v>1505006</v>
      </c>
      <c r="B866" s="26" t="s">
        <v>940</v>
      </c>
      <c r="C866" s="25" t="s">
        <v>1390</v>
      </c>
      <c r="D866" s="11"/>
      <c r="E866" s="17" t="s">
        <v>57</v>
      </c>
      <c r="F866" s="10" t="s">
        <v>557</v>
      </c>
      <c r="G866" s="55" t="str">
        <f t="shared" si="20"/>
        <v>Obsolete</v>
      </c>
      <c r="H866" s="10"/>
      <c r="I866" s="13"/>
      <c r="J866" s="56"/>
      <c r="K866" s="57"/>
      <c r="M866" s="10"/>
      <c r="N866" s="10"/>
      <c r="O866" s="29"/>
      <c r="P866" s="29"/>
      <c r="Q866" s="29"/>
      <c r="R866" s="29"/>
      <c r="S866" s="29"/>
      <c r="T866" s="72"/>
      <c r="U866" s="97" t="s">
        <v>54</v>
      </c>
      <c r="V866" s="97"/>
      <c r="W866" s="97" t="s">
        <v>54</v>
      </c>
      <c r="X866" s="97"/>
      <c r="Y866" s="97"/>
      <c r="Z866" s="78"/>
      <c r="AA866" s="79"/>
      <c r="AB866" s="79" t="s">
        <v>37</v>
      </c>
      <c r="AC866" s="79" t="s">
        <v>37</v>
      </c>
      <c r="AD866" s="79"/>
      <c r="AE866" s="79"/>
      <c r="AF866" s="79"/>
      <c r="AG866" s="79"/>
      <c r="AH866" s="79"/>
      <c r="AI866" s="53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</row>
    <row r="867" spans="1:110" ht="20.399999999999999" x14ac:dyDescent="0.25">
      <c r="A867" s="10">
        <v>1505007</v>
      </c>
      <c r="B867" s="26" t="s">
        <v>940</v>
      </c>
      <c r="C867" s="25" t="s">
        <v>1391</v>
      </c>
      <c r="D867" s="11"/>
      <c r="E867" s="17" t="s">
        <v>57</v>
      </c>
      <c r="F867" s="10" t="s">
        <v>557</v>
      </c>
      <c r="G867" s="55" t="str">
        <f t="shared" si="20"/>
        <v>Obsolete</v>
      </c>
      <c r="H867" s="10"/>
      <c r="I867" s="13"/>
      <c r="J867" s="56"/>
      <c r="K867" s="57"/>
      <c r="M867" s="10"/>
      <c r="N867" s="10"/>
      <c r="O867" s="29"/>
      <c r="P867" s="29"/>
      <c r="Q867" s="29"/>
      <c r="R867" s="29"/>
      <c r="S867" s="29"/>
      <c r="T867" s="72"/>
      <c r="U867" s="97" t="s">
        <v>54</v>
      </c>
      <c r="V867" s="97"/>
      <c r="W867" s="97" t="s">
        <v>54</v>
      </c>
      <c r="X867" s="97"/>
      <c r="Y867" s="97"/>
      <c r="Z867" s="78"/>
      <c r="AA867" s="79"/>
      <c r="AB867" s="79" t="s">
        <v>37</v>
      </c>
      <c r="AC867" s="79" t="s">
        <v>37</v>
      </c>
      <c r="AD867" s="79"/>
      <c r="AE867" s="79"/>
      <c r="AF867" s="79"/>
      <c r="AG867" s="79"/>
      <c r="AH867" s="79"/>
      <c r="AI867" s="53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</row>
    <row r="868" spans="1:110" ht="13.8" x14ac:dyDescent="0.25">
      <c r="A868" s="10">
        <v>1505008</v>
      </c>
      <c r="B868" s="26" t="s">
        <v>940</v>
      </c>
      <c r="C868" s="25" t="s">
        <v>1392</v>
      </c>
      <c r="D868" s="11"/>
      <c r="E868" s="17" t="s">
        <v>57</v>
      </c>
      <c r="F868" s="10" t="s">
        <v>557</v>
      </c>
      <c r="G868" s="55" t="str">
        <f t="shared" si="20"/>
        <v>Obsolete</v>
      </c>
      <c r="H868" s="10"/>
      <c r="I868" s="13"/>
      <c r="J868" s="56"/>
      <c r="K868" s="57"/>
      <c r="M868" s="10"/>
      <c r="N868" s="10"/>
      <c r="O868" s="29"/>
      <c r="P868" s="29"/>
      <c r="Q868" s="29"/>
      <c r="R868" s="29"/>
      <c r="S868" s="29"/>
      <c r="T868" s="72"/>
      <c r="U868" s="97" t="s">
        <v>54</v>
      </c>
      <c r="V868" s="97"/>
      <c r="W868" s="97" t="s">
        <v>54</v>
      </c>
      <c r="X868" s="97"/>
      <c r="Y868" s="97"/>
      <c r="Z868" s="78"/>
      <c r="AA868" s="79"/>
      <c r="AB868" s="79" t="s">
        <v>37</v>
      </c>
      <c r="AC868" s="79" t="s">
        <v>37</v>
      </c>
      <c r="AD868" s="79"/>
      <c r="AE868" s="79"/>
      <c r="AF868" s="79"/>
      <c r="AG868" s="79"/>
      <c r="AH868" s="79"/>
      <c r="AI868" s="53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</row>
    <row r="869" spans="1:110" ht="13.8" x14ac:dyDescent="0.25">
      <c r="A869" s="10">
        <v>1505009</v>
      </c>
      <c r="B869" s="26" t="s">
        <v>940</v>
      </c>
      <c r="C869" s="25" t="s">
        <v>1393</v>
      </c>
      <c r="D869" s="11" t="s">
        <v>1087</v>
      </c>
      <c r="E869" s="17" t="s">
        <v>57</v>
      </c>
      <c r="F869" s="10" t="s">
        <v>557</v>
      </c>
      <c r="G869" s="55" t="str">
        <f t="shared" si="20"/>
        <v>Obsolete</v>
      </c>
      <c r="H869" s="10"/>
      <c r="I869" s="13"/>
      <c r="J869" s="56"/>
      <c r="K869" s="57"/>
      <c r="M869" s="10"/>
      <c r="N869" s="10"/>
      <c r="O869" s="29"/>
      <c r="P869" s="29"/>
      <c r="Q869" s="29"/>
      <c r="R869" s="29"/>
      <c r="S869" s="29"/>
      <c r="T869" s="72"/>
      <c r="U869" s="97" t="s">
        <v>54</v>
      </c>
      <c r="V869" s="97"/>
      <c r="W869" s="97" t="s">
        <v>54</v>
      </c>
      <c r="X869" s="97"/>
      <c r="Y869" s="97"/>
      <c r="Z869" s="78"/>
      <c r="AA869" s="79"/>
      <c r="AB869" s="79" t="s">
        <v>37</v>
      </c>
      <c r="AC869" s="79" t="s">
        <v>37</v>
      </c>
      <c r="AD869" s="79"/>
      <c r="AE869" s="79"/>
      <c r="AF869" s="79"/>
      <c r="AG869" s="79"/>
      <c r="AH869" s="79"/>
      <c r="AI869" s="53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</row>
    <row r="870" spans="1:110" ht="13.8" x14ac:dyDescent="0.25">
      <c r="A870" s="10">
        <v>1505010</v>
      </c>
      <c r="B870" s="26" t="s">
        <v>940</v>
      </c>
      <c r="C870" s="25" t="s">
        <v>1394</v>
      </c>
      <c r="D870" s="11" t="s">
        <v>1087</v>
      </c>
      <c r="E870" s="17" t="s">
        <v>57</v>
      </c>
      <c r="F870" s="10" t="s">
        <v>557</v>
      </c>
      <c r="G870" s="55" t="str">
        <f t="shared" si="20"/>
        <v>Obsolete</v>
      </c>
      <c r="H870" s="10"/>
      <c r="I870" s="13"/>
      <c r="J870" s="56"/>
      <c r="K870" s="57"/>
      <c r="M870" s="10"/>
      <c r="N870" s="10"/>
      <c r="O870" s="29"/>
      <c r="P870" s="29"/>
      <c r="Q870" s="29"/>
      <c r="R870" s="29"/>
      <c r="S870" s="29"/>
      <c r="T870" s="72"/>
      <c r="U870" s="97" t="s">
        <v>54</v>
      </c>
      <c r="V870" s="97"/>
      <c r="W870" s="97" t="s">
        <v>54</v>
      </c>
      <c r="X870" s="97"/>
      <c r="Y870" s="97"/>
      <c r="Z870" s="78"/>
      <c r="AA870" s="79"/>
      <c r="AB870" s="79" t="s">
        <v>37</v>
      </c>
      <c r="AC870" s="79" t="s">
        <v>37</v>
      </c>
      <c r="AD870" s="79"/>
      <c r="AE870" s="79"/>
      <c r="AF870" s="79"/>
      <c r="AG870" s="79"/>
      <c r="AH870" s="79"/>
      <c r="AI870" s="53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</row>
    <row r="871" spans="1:110" ht="20.399999999999999" x14ac:dyDescent="0.25">
      <c r="A871" s="10">
        <v>1505011</v>
      </c>
      <c r="B871" s="26" t="s">
        <v>940</v>
      </c>
      <c r="C871" s="25" t="s">
        <v>1395</v>
      </c>
      <c r="D871" s="11"/>
      <c r="E871" s="10" t="s">
        <v>1396</v>
      </c>
      <c r="F871" s="10" t="s">
        <v>557</v>
      </c>
      <c r="G871" s="55" t="str">
        <f t="shared" si="20"/>
        <v>Obsolete</v>
      </c>
      <c r="H871" s="10" t="s">
        <v>1397</v>
      </c>
      <c r="I871" s="13"/>
      <c r="J871" s="56"/>
      <c r="K871" s="57"/>
      <c r="M871" s="10"/>
      <c r="N871" s="10"/>
      <c r="O871" s="29"/>
      <c r="P871" s="29"/>
      <c r="Q871" s="29"/>
      <c r="R871" s="29"/>
      <c r="S871" s="29"/>
      <c r="T871" s="72"/>
      <c r="U871" s="97" t="s">
        <v>54</v>
      </c>
      <c r="V871" s="97"/>
      <c r="W871" s="97" t="s">
        <v>54</v>
      </c>
      <c r="X871" s="97"/>
      <c r="Y871" s="97"/>
      <c r="Z871" s="78"/>
      <c r="AA871" s="79" t="s">
        <v>517</v>
      </c>
      <c r="AB871" s="79" t="s">
        <v>37</v>
      </c>
      <c r="AC871" s="79" t="s">
        <v>35</v>
      </c>
      <c r="AD871" s="79" t="s">
        <v>1398</v>
      </c>
      <c r="AE871" s="79" t="s">
        <v>1399</v>
      </c>
      <c r="AF871" s="79" t="s">
        <v>1400</v>
      </c>
      <c r="AG871" s="79"/>
      <c r="AH871" s="79"/>
      <c r="AI871" s="53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</row>
    <row r="872" spans="1:110" ht="20.399999999999999" x14ac:dyDescent="0.25">
      <c r="A872" s="10">
        <v>1505012</v>
      </c>
      <c r="B872" s="26" t="s">
        <v>940</v>
      </c>
      <c r="C872" s="25" t="s">
        <v>1401</v>
      </c>
      <c r="D872" s="11"/>
      <c r="E872" s="10" t="s">
        <v>1396</v>
      </c>
      <c r="F872" s="10" t="s">
        <v>557</v>
      </c>
      <c r="G872" s="55" t="str">
        <f t="shared" si="20"/>
        <v>Obsolete</v>
      </c>
      <c r="H872" s="10">
        <v>2</v>
      </c>
      <c r="I872" s="13">
        <v>400000</v>
      </c>
      <c r="J872" s="56"/>
      <c r="K872" s="57"/>
      <c r="M872" s="14"/>
      <c r="N872" s="14"/>
      <c r="O872" s="14"/>
      <c r="P872" s="14"/>
      <c r="Q872" s="14"/>
      <c r="R872" s="14"/>
      <c r="S872" s="14"/>
      <c r="T872" s="70"/>
      <c r="U872" s="76" t="s">
        <v>54</v>
      </c>
      <c r="V872" s="76"/>
      <c r="W872" s="76" t="s">
        <v>54</v>
      </c>
      <c r="X872" s="76"/>
      <c r="Y872" s="77" t="s">
        <v>37</v>
      </c>
      <c r="Z872" s="78"/>
      <c r="AA872" s="79" t="s">
        <v>517</v>
      </c>
      <c r="AB872" s="79" t="s">
        <v>37</v>
      </c>
      <c r="AC872" s="79" t="s">
        <v>35</v>
      </c>
      <c r="AD872" s="79" t="s">
        <v>38</v>
      </c>
      <c r="AE872" s="79" t="s">
        <v>1402</v>
      </c>
      <c r="AF872" s="79" t="s">
        <v>1403</v>
      </c>
      <c r="AG872" s="105" t="s">
        <v>1404</v>
      </c>
      <c r="AH872" s="79"/>
      <c r="AI872" s="53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</row>
    <row r="873" spans="1:110" ht="13.8" x14ac:dyDescent="0.25">
      <c r="A873" s="10">
        <v>1506001</v>
      </c>
      <c r="B873" s="26" t="s">
        <v>1405</v>
      </c>
      <c r="C873" s="25" t="s">
        <v>1406</v>
      </c>
      <c r="D873" s="11"/>
      <c r="E873" s="10" t="s">
        <v>1231</v>
      </c>
      <c r="F873" s="10" t="s">
        <v>557</v>
      </c>
      <c r="G873" s="55">
        <f t="shared" si="20"/>
        <v>9.1999999999999998E-2</v>
      </c>
      <c r="H873" s="10">
        <v>2</v>
      </c>
      <c r="I873" s="13">
        <v>201</v>
      </c>
      <c r="J873" s="56"/>
      <c r="K873" s="57"/>
      <c r="M873" s="14"/>
      <c r="N873" s="14"/>
      <c r="O873" s="14"/>
      <c r="P873" s="14"/>
      <c r="Q873" s="14"/>
      <c r="R873" s="14"/>
      <c r="S873" s="14"/>
      <c r="T873" s="70"/>
      <c r="U873" s="76">
        <v>9.1999999999999998E-2</v>
      </c>
      <c r="V873" s="76">
        <v>0</v>
      </c>
      <c r="W873" s="76">
        <v>9.1999999999999998E-2</v>
      </c>
      <c r="X873" s="76">
        <v>0</v>
      </c>
      <c r="Y873" s="77" t="s">
        <v>37</v>
      </c>
      <c r="Z873" s="78"/>
      <c r="AA873" s="79" t="s">
        <v>263</v>
      </c>
      <c r="AB873" s="79" t="s">
        <v>35</v>
      </c>
      <c r="AC873" s="79" t="s">
        <v>37</v>
      </c>
      <c r="AD873" s="79" t="s">
        <v>38</v>
      </c>
      <c r="AE873" s="79" t="s">
        <v>1232</v>
      </c>
      <c r="AF873" s="79" t="s">
        <v>1233</v>
      </c>
      <c r="AG873" s="105" t="s">
        <v>1234</v>
      </c>
      <c r="AH873" s="79"/>
      <c r="AI873" s="53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</row>
    <row r="874" spans="1:110" ht="13.8" x14ac:dyDescent="0.25">
      <c r="A874" s="10">
        <v>1506002</v>
      </c>
      <c r="B874" s="26" t="s">
        <v>1405</v>
      </c>
      <c r="C874" s="25" t="s">
        <v>1407</v>
      </c>
      <c r="D874" s="11"/>
      <c r="E874" s="10" t="s">
        <v>1231</v>
      </c>
      <c r="F874" s="10" t="s">
        <v>557</v>
      </c>
      <c r="G874" s="55">
        <f t="shared" si="20"/>
        <v>6.2E-2</v>
      </c>
      <c r="H874" s="10">
        <v>2</v>
      </c>
      <c r="I874" s="13">
        <v>403</v>
      </c>
      <c r="J874" s="56"/>
      <c r="K874" s="57"/>
      <c r="M874" s="14"/>
      <c r="N874" s="14"/>
      <c r="O874" s="14"/>
      <c r="P874" s="14"/>
      <c r="Q874" s="14"/>
      <c r="R874" s="14"/>
      <c r="S874" s="14"/>
      <c r="T874" s="70"/>
      <c r="U874" s="76">
        <v>6.2E-2</v>
      </c>
      <c r="V874" s="76">
        <v>0</v>
      </c>
      <c r="W874" s="76">
        <v>6.2E-2</v>
      </c>
      <c r="X874" s="76">
        <v>0</v>
      </c>
      <c r="Y874" s="77" t="s">
        <v>37</v>
      </c>
      <c r="Z874" s="78"/>
      <c r="AA874" s="79" t="s">
        <v>263</v>
      </c>
      <c r="AB874" s="79" t="s">
        <v>35</v>
      </c>
      <c r="AC874" s="79" t="s">
        <v>37</v>
      </c>
      <c r="AD874" s="79" t="s">
        <v>38</v>
      </c>
      <c r="AE874" s="79" t="s">
        <v>1232</v>
      </c>
      <c r="AF874" s="79" t="s">
        <v>1233</v>
      </c>
      <c r="AG874" s="105" t="s">
        <v>1234</v>
      </c>
      <c r="AH874" s="79"/>
      <c r="AI874" s="53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</row>
    <row r="875" spans="1:110" ht="20.399999999999999" x14ac:dyDescent="0.25">
      <c r="A875" s="10">
        <v>1506003</v>
      </c>
      <c r="B875" s="26" t="s">
        <v>1405</v>
      </c>
      <c r="C875" s="25" t="s">
        <v>1408</v>
      </c>
      <c r="D875" s="10" t="s">
        <v>1211</v>
      </c>
      <c r="E875" s="10" t="s">
        <v>1275</v>
      </c>
      <c r="F875" s="10" t="s">
        <v>557</v>
      </c>
      <c r="G875" s="55">
        <f t="shared" si="20"/>
        <v>0.01</v>
      </c>
      <c r="H875" s="10">
        <v>1</v>
      </c>
      <c r="I875" s="13">
        <v>1000</v>
      </c>
      <c r="J875" s="56"/>
      <c r="K875" s="57"/>
      <c r="M875" s="14"/>
      <c r="N875" s="14"/>
      <c r="O875" s="14"/>
      <c r="P875" s="14"/>
      <c r="Q875" s="14"/>
      <c r="R875" s="14"/>
      <c r="S875" s="14"/>
      <c r="T875" s="70"/>
      <c r="U875" s="76">
        <v>0.01</v>
      </c>
      <c r="V875" s="76">
        <v>0</v>
      </c>
      <c r="W875" s="76">
        <v>0.01</v>
      </c>
      <c r="X875" s="76">
        <v>0</v>
      </c>
      <c r="Y875" s="77" t="s">
        <v>37</v>
      </c>
      <c r="Z875" s="78">
        <v>1000</v>
      </c>
      <c r="AA875" s="79" t="s">
        <v>36</v>
      </c>
      <c r="AB875" s="79" t="s">
        <v>35</v>
      </c>
      <c r="AC875" s="79" t="s">
        <v>37</v>
      </c>
      <c r="AD875" s="79" t="s">
        <v>38</v>
      </c>
      <c r="AE875" s="79" t="s">
        <v>1276</v>
      </c>
      <c r="AF875" s="79" t="s">
        <v>1277</v>
      </c>
      <c r="AG875" s="105" t="s">
        <v>1278</v>
      </c>
      <c r="AH875" s="79"/>
      <c r="AI875" s="53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</row>
    <row r="876" spans="1:110" ht="13.8" x14ac:dyDescent="0.25">
      <c r="A876" s="10">
        <v>1506004</v>
      </c>
      <c r="B876" s="11" t="s">
        <v>956</v>
      </c>
      <c r="C876" s="25" t="s">
        <v>1409</v>
      </c>
      <c r="D876" s="11"/>
      <c r="E876" s="10" t="s">
        <v>1013</v>
      </c>
      <c r="F876" s="10" t="s">
        <v>557</v>
      </c>
      <c r="G876" s="55">
        <f t="shared" si="20"/>
        <v>0</v>
      </c>
      <c r="H876" s="10"/>
      <c r="I876" s="13"/>
      <c r="J876" s="56"/>
      <c r="K876" s="57"/>
      <c r="M876" s="14"/>
      <c r="N876" s="14"/>
      <c r="O876" s="14"/>
      <c r="P876" s="14"/>
      <c r="Q876" s="14"/>
      <c r="R876" s="14"/>
      <c r="S876" s="14"/>
      <c r="T876" s="70"/>
      <c r="U876" s="76">
        <v>0</v>
      </c>
      <c r="V876" s="76">
        <v>0</v>
      </c>
      <c r="W876" s="76">
        <v>0</v>
      </c>
      <c r="X876" s="76">
        <v>0</v>
      </c>
      <c r="Y876" s="77" t="s">
        <v>37</v>
      </c>
      <c r="Z876" s="78"/>
      <c r="AA876" s="79" t="s">
        <v>36</v>
      </c>
      <c r="AB876" s="79" t="s">
        <v>35</v>
      </c>
      <c r="AC876" s="79" t="s">
        <v>37</v>
      </c>
      <c r="AD876" s="79" t="s">
        <v>38</v>
      </c>
      <c r="AE876" s="79"/>
      <c r="AF876" s="79"/>
      <c r="AG876" s="79"/>
      <c r="AH876" s="79"/>
      <c r="AI876" s="53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</row>
    <row r="877" spans="1:110" ht="13.8" x14ac:dyDescent="0.25">
      <c r="A877" s="10">
        <v>1506005</v>
      </c>
      <c r="B877" s="11" t="s">
        <v>956</v>
      </c>
      <c r="C877" s="25" t="s">
        <v>1410</v>
      </c>
      <c r="D877" s="11"/>
      <c r="E877" s="10" t="s">
        <v>1013</v>
      </c>
      <c r="F877" s="10" t="s">
        <v>557</v>
      </c>
      <c r="G877" s="55">
        <f t="shared" si="20"/>
        <v>0</v>
      </c>
      <c r="H877" s="10"/>
      <c r="I877" s="13"/>
      <c r="J877" s="56"/>
      <c r="K877" s="57"/>
      <c r="M877" s="14"/>
      <c r="N877" s="14"/>
      <c r="O877" s="14"/>
      <c r="P877" s="14"/>
      <c r="Q877" s="14"/>
      <c r="R877" s="14"/>
      <c r="S877" s="14"/>
      <c r="T877" s="70"/>
      <c r="U877" s="76">
        <v>0</v>
      </c>
      <c r="V877" s="76">
        <v>0</v>
      </c>
      <c r="W877" s="76">
        <v>0</v>
      </c>
      <c r="X877" s="76">
        <v>0</v>
      </c>
      <c r="Y877" s="77" t="s">
        <v>37</v>
      </c>
      <c r="Z877" s="78"/>
      <c r="AA877" s="79" t="s">
        <v>36</v>
      </c>
      <c r="AB877" s="79" t="s">
        <v>35</v>
      </c>
      <c r="AC877" s="79" t="s">
        <v>37</v>
      </c>
      <c r="AD877" s="79" t="s">
        <v>38</v>
      </c>
      <c r="AE877" s="79"/>
      <c r="AF877" s="79"/>
      <c r="AG877" s="79"/>
      <c r="AH877" s="79"/>
      <c r="AI877" s="53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</row>
    <row r="878" spans="1:110" ht="30.6" x14ac:dyDescent="0.25">
      <c r="A878" s="10">
        <v>1506006</v>
      </c>
      <c r="B878" s="11" t="s">
        <v>1562</v>
      </c>
      <c r="C878" s="25" t="s">
        <v>1564</v>
      </c>
      <c r="D878" s="11"/>
      <c r="E878" s="10" t="s">
        <v>1563</v>
      </c>
      <c r="F878" s="10" t="s">
        <v>557</v>
      </c>
      <c r="G878" s="55">
        <f t="shared" si="20"/>
        <v>7.0000000000000007E-2</v>
      </c>
      <c r="H878" s="10">
        <v>10</v>
      </c>
      <c r="I878" s="13">
        <v>12000</v>
      </c>
      <c r="J878" s="56"/>
      <c r="K878" s="57"/>
      <c r="M878" s="14"/>
      <c r="N878" s="14"/>
      <c r="O878" s="14"/>
      <c r="P878" s="14"/>
      <c r="Q878" s="14"/>
      <c r="R878" s="14"/>
      <c r="S878" s="14"/>
      <c r="T878" s="70"/>
      <c r="U878" s="76">
        <v>7.0000000000000007E-2</v>
      </c>
      <c r="V878" s="76">
        <v>0</v>
      </c>
      <c r="W878" s="76">
        <v>7.0000000000000007E-2</v>
      </c>
      <c r="X878" s="76">
        <v>0</v>
      </c>
      <c r="Y878" s="77" t="s">
        <v>37</v>
      </c>
      <c r="Z878" s="78"/>
      <c r="AA878" s="79" t="s">
        <v>284</v>
      </c>
      <c r="AB878" s="79" t="s">
        <v>35</v>
      </c>
      <c r="AC878" s="79" t="s">
        <v>37</v>
      </c>
      <c r="AD878" s="79" t="s">
        <v>38</v>
      </c>
      <c r="AE878" s="79" t="s">
        <v>1565</v>
      </c>
      <c r="AF878" s="79" t="s">
        <v>1566</v>
      </c>
      <c r="AG878" s="105" t="s">
        <v>1567</v>
      </c>
      <c r="AH878" s="79"/>
      <c r="AI878" s="53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</row>
    <row r="879" spans="1:110" ht="13.8" x14ac:dyDescent="0.25">
      <c r="A879" s="10">
        <v>1506007</v>
      </c>
      <c r="B879" s="11" t="s">
        <v>956</v>
      </c>
      <c r="C879" s="25" t="s">
        <v>1617</v>
      </c>
      <c r="D879" s="11" t="s">
        <v>1618</v>
      </c>
      <c r="E879" s="10" t="s">
        <v>1013</v>
      </c>
      <c r="F879" s="10" t="s">
        <v>557</v>
      </c>
      <c r="G879" s="55">
        <f t="shared" si="20"/>
        <v>0</v>
      </c>
      <c r="H879" s="10"/>
      <c r="I879" s="13"/>
      <c r="J879" s="56"/>
      <c r="K879" s="57"/>
      <c r="M879" s="14"/>
      <c r="N879" s="14"/>
      <c r="O879" s="14"/>
      <c r="P879" s="14"/>
      <c r="Q879" s="14"/>
      <c r="R879" s="14"/>
      <c r="S879" s="14"/>
      <c r="T879" s="70"/>
      <c r="U879" s="76"/>
      <c r="V879" s="76"/>
      <c r="W879" s="76"/>
      <c r="X879" s="76"/>
      <c r="Y879" s="77"/>
      <c r="Z879" s="78"/>
      <c r="AA879" s="79"/>
      <c r="AB879" s="79"/>
      <c r="AC879" s="79"/>
      <c r="AD879" s="79"/>
      <c r="AE879" s="79"/>
      <c r="AF879" s="79"/>
      <c r="AG879" s="105"/>
      <c r="AH879" s="79"/>
      <c r="AI879" s="53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</row>
    <row r="880" spans="1:110" ht="20.399999999999999" x14ac:dyDescent="0.25">
      <c r="A880" s="10">
        <v>1507001</v>
      </c>
      <c r="B880" s="26" t="s">
        <v>1411</v>
      </c>
      <c r="C880" s="25" t="s">
        <v>1412</v>
      </c>
      <c r="D880" s="11"/>
      <c r="E880" s="10" t="s">
        <v>1231</v>
      </c>
      <c r="F880" s="10" t="s">
        <v>557</v>
      </c>
      <c r="G880" s="55">
        <f t="shared" si="20"/>
        <v>9.9</v>
      </c>
      <c r="H880" s="10">
        <v>2</v>
      </c>
      <c r="I880" s="13"/>
      <c r="J880" s="56"/>
      <c r="K880" s="57"/>
      <c r="M880" s="14"/>
      <c r="N880" s="14"/>
      <c r="O880" s="14"/>
      <c r="P880" s="14"/>
      <c r="Q880" s="14"/>
      <c r="R880" s="14"/>
      <c r="S880" s="14"/>
      <c r="T880" s="70"/>
      <c r="U880" s="76">
        <v>9.9</v>
      </c>
      <c r="V880" s="76">
        <v>0</v>
      </c>
      <c r="W880" s="76">
        <v>9.9</v>
      </c>
      <c r="X880" s="76">
        <v>0</v>
      </c>
      <c r="Y880" s="77" t="s">
        <v>37</v>
      </c>
      <c r="Z880" s="78"/>
      <c r="AA880" s="79" t="s">
        <v>263</v>
      </c>
      <c r="AB880" s="79" t="s">
        <v>35</v>
      </c>
      <c r="AC880" s="79" t="s">
        <v>37</v>
      </c>
      <c r="AD880" s="79" t="s">
        <v>38</v>
      </c>
      <c r="AE880" s="79" t="s">
        <v>1232</v>
      </c>
      <c r="AF880" s="79" t="s">
        <v>1233</v>
      </c>
      <c r="AG880" s="105" t="s">
        <v>1234</v>
      </c>
      <c r="AH880" s="79"/>
      <c r="AI880" s="53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</row>
    <row r="881" spans="1:110" ht="20.399999999999999" x14ac:dyDescent="0.25">
      <c r="A881" s="10">
        <v>1507002</v>
      </c>
      <c r="B881" s="26" t="s">
        <v>1411</v>
      </c>
      <c r="C881" s="25" t="s">
        <v>1413</v>
      </c>
      <c r="D881" s="11"/>
      <c r="E881" s="10" t="s">
        <v>1231</v>
      </c>
      <c r="F881" s="10" t="s">
        <v>557</v>
      </c>
      <c r="G881" s="55">
        <f t="shared" si="20"/>
        <v>5.95</v>
      </c>
      <c r="H881" s="10">
        <v>2</v>
      </c>
      <c r="I881" s="13"/>
      <c r="J881" s="56"/>
      <c r="K881" s="57"/>
      <c r="M881" s="14"/>
      <c r="N881" s="14"/>
      <c r="O881" s="14"/>
      <c r="P881" s="14"/>
      <c r="Q881" s="14"/>
      <c r="R881" s="14"/>
      <c r="S881" s="14"/>
      <c r="T881" s="70"/>
      <c r="U881" s="76">
        <v>5.95</v>
      </c>
      <c r="V881" s="76">
        <v>0</v>
      </c>
      <c r="W881" s="76">
        <v>5.95</v>
      </c>
      <c r="X881" s="76">
        <v>0</v>
      </c>
      <c r="Y881" s="77" t="s">
        <v>37</v>
      </c>
      <c r="Z881" s="78"/>
      <c r="AA881" s="79" t="s">
        <v>263</v>
      </c>
      <c r="AB881" s="79" t="s">
        <v>35</v>
      </c>
      <c r="AC881" s="79" t="s">
        <v>37</v>
      </c>
      <c r="AD881" s="79" t="s">
        <v>38</v>
      </c>
      <c r="AE881" s="79" t="s">
        <v>1232</v>
      </c>
      <c r="AF881" s="79" t="s">
        <v>1233</v>
      </c>
      <c r="AG881" s="105" t="s">
        <v>1234</v>
      </c>
      <c r="AH881" s="79"/>
      <c r="AI881" s="53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</row>
    <row r="882" spans="1:110" ht="13.8" x14ac:dyDescent="0.25">
      <c r="A882" s="10">
        <v>1508001</v>
      </c>
      <c r="B882" s="11" t="s">
        <v>1411</v>
      </c>
      <c r="C882" s="12" t="s">
        <v>1414</v>
      </c>
      <c r="D882" s="11"/>
      <c r="E882" s="17" t="s">
        <v>57</v>
      </c>
      <c r="F882" s="10" t="s">
        <v>557</v>
      </c>
      <c r="G882" s="55" t="str">
        <f t="shared" si="20"/>
        <v>Obsolete</v>
      </c>
      <c r="H882" s="10"/>
      <c r="I882" s="13"/>
      <c r="J882" s="56"/>
      <c r="K882" s="57"/>
      <c r="M882" s="10"/>
      <c r="N882" s="10"/>
      <c r="O882" s="29"/>
      <c r="P882" s="29"/>
      <c r="Q882" s="29"/>
      <c r="R882" s="29"/>
      <c r="S882" s="29"/>
      <c r="T882" s="72"/>
      <c r="U882" s="97" t="s">
        <v>54</v>
      </c>
      <c r="V882" s="97"/>
      <c r="W882" s="97" t="s">
        <v>54</v>
      </c>
      <c r="X882" s="97"/>
      <c r="Y882" s="97"/>
      <c r="Z882" s="78"/>
      <c r="AA882" s="79" t="s">
        <v>1415</v>
      </c>
      <c r="AB882" s="79" t="s">
        <v>37</v>
      </c>
      <c r="AC882" s="79" t="s">
        <v>37</v>
      </c>
      <c r="AD882" s="79"/>
      <c r="AE882" s="79"/>
      <c r="AF882" s="79"/>
      <c r="AG882" s="79"/>
      <c r="AH882" s="79"/>
      <c r="AI882" s="53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</row>
    <row r="883" spans="1:110" ht="13.8" x14ac:dyDescent="0.25">
      <c r="A883" s="10">
        <v>1509001</v>
      </c>
      <c r="B883" s="11" t="s">
        <v>956</v>
      </c>
      <c r="C883" s="12" t="s">
        <v>1416</v>
      </c>
      <c r="D883" s="11"/>
      <c r="E883" s="10" t="s">
        <v>55</v>
      </c>
      <c r="F883" s="10" t="s">
        <v>557</v>
      </c>
      <c r="G883" s="55" t="str">
        <f t="shared" si="20"/>
        <v>Obsolete</v>
      </c>
      <c r="H883" s="10">
        <v>1</v>
      </c>
      <c r="I883" s="13"/>
      <c r="J883" s="56"/>
      <c r="K883" s="57"/>
      <c r="M883" s="10"/>
      <c r="N883" s="10"/>
      <c r="O883" s="29"/>
      <c r="P883" s="29"/>
      <c r="Q883" s="29"/>
      <c r="R883" s="29"/>
      <c r="S883" s="29"/>
      <c r="T883" s="72"/>
      <c r="U883" s="97" t="s">
        <v>54</v>
      </c>
      <c r="V883" s="97"/>
      <c r="W883" s="97" t="s">
        <v>54</v>
      </c>
      <c r="X883" s="97"/>
      <c r="Y883" s="97"/>
      <c r="Z883" s="78"/>
      <c r="AA883" s="79" t="s">
        <v>55</v>
      </c>
      <c r="AB883" s="79" t="s">
        <v>37</v>
      </c>
      <c r="AC883" s="79" t="s">
        <v>37</v>
      </c>
      <c r="AD883" s="79"/>
      <c r="AE883" s="79"/>
      <c r="AF883" s="79"/>
      <c r="AG883" s="79"/>
      <c r="AH883" s="79"/>
      <c r="AI883" s="53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</row>
    <row r="884" spans="1:110" ht="13.8" x14ac:dyDescent="0.25">
      <c r="A884" s="10">
        <v>1509005</v>
      </c>
      <c r="B884" s="11" t="s">
        <v>1229</v>
      </c>
      <c r="C884" s="12" t="s">
        <v>1417</v>
      </c>
      <c r="D884" s="11"/>
      <c r="E884" s="10" t="s">
        <v>1231</v>
      </c>
      <c r="F884" s="10" t="s">
        <v>557</v>
      </c>
      <c r="G884" s="55">
        <f t="shared" si="20"/>
        <v>8.7599999999999997E-2</v>
      </c>
      <c r="H884" s="10">
        <v>1</v>
      </c>
      <c r="I884" s="13">
        <v>250</v>
      </c>
      <c r="J884" s="56"/>
      <c r="K884" s="57"/>
      <c r="M884" s="14"/>
      <c r="N884" s="14"/>
      <c r="O884" s="14"/>
      <c r="P884" s="14"/>
      <c r="Q884" s="14"/>
      <c r="R884" s="14"/>
      <c r="S884" s="14"/>
      <c r="T884" s="70"/>
      <c r="U884" s="76">
        <v>8.7599999999999997E-2</v>
      </c>
      <c r="V884" s="76">
        <v>0</v>
      </c>
      <c r="W884" s="76">
        <v>8.7599999999999997E-2</v>
      </c>
      <c r="X884" s="76">
        <v>0</v>
      </c>
      <c r="Y884" s="77" t="s">
        <v>37</v>
      </c>
      <c r="Z884" s="78">
        <v>250</v>
      </c>
      <c r="AA884" s="79" t="s">
        <v>1418</v>
      </c>
      <c r="AB884" s="79" t="s">
        <v>35</v>
      </c>
      <c r="AC884" s="79" t="s">
        <v>37</v>
      </c>
      <c r="AD884" s="79" t="s">
        <v>38</v>
      </c>
      <c r="AE884" s="79" t="s">
        <v>1232</v>
      </c>
      <c r="AF884" s="79" t="s">
        <v>1233</v>
      </c>
      <c r="AG884" s="105" t="s">
        <v>1234</v>
      </c>
      <c r="AH884" s="79"/>
      <c r="AI884" s="53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</row>
    <row r="885" spans="1:110" ht="13.8" x14ac:dyDescent="0.25">
      <c r="A885" s="10">
        <v>1509006</v>
      </c>
      <c r="B885" s="11" t="s">
        <v>1229</v>
      </c>
      <c r="C885" s="12" t="s">
        <v>1419</v>
      </c>
      <c r="D885" s="11"/>
      <c r="E885" s="10" t="s">
        <v>1231</v>
      </c>
      <c r="F885" s="10" t="s">
        <v>557</v>
      </c>
      <c r="G885" s="55">
        <f t="shared" si="20"/>
        <v>7.7999999999999996E-3</v>
      </c>
      <c r="H885" s="10">
        <v>1</v>
      </c>
      <c r="I885" s="13">
        <v>25</v>
      </c>
      <c r="J885" s="56"/>
      <c r="K885" s="57"/>
      <c r="M885" s="14"/>
      <c r="N885" s="14"/>
      <c r="O885" s="14"/>
      <c r="P885" s="14"/>
      <c r="Q885" s="14"/>
      <c r="R885" s="14"/>
      <c r="S885" s="14"/>
      <c r="T885" s="70"/>
      <c r="U885" s="76">
        <v>7.7999999999999996E-3</v>
      </c>
      <c r="V885" s="76">
        <v>0</v>
      </c>
      <c r="W885" s="76">
        <v>7.7999999999999996E-3</v>
      </c>
      <c r="X885" s="76">
        <v>0</v>
      </c>
      <c r="Y885" s="77" t="s">
        <v>37</v>
      </c>
      <c r="Z885" s="78" t="s">
        <v>1420</v>
      </c>
      <c r="AA885" s="79" t="s">
        <v>36</v>
      </c>
      <c r="AB885" s="79" t="s">
        <v>35</v>
      </c>
      <c r="AC885" s="79" t="s">
        <v>37</v>
      </c>
      <c r="AD885" s="79" t="s">
        <v>38</v>
      </c>
      <c r="AE885" s="79" t="s">
        <v>1232</v>
      </c>
      <c r="AF885" s="79" t="s">
        <v>1233</v>
      </c>
      <c r="AG885" s="105" t="s">
        <v>1234</v>
      </c>
      <c r="AH885" s="79"/>
      <c r="AI885" s="53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</row>
    <row r="886" spans="1:110" ht="13.8" x14ac:dyDescent="0.25">
      <c r="A886" s="10">
        <v>1509007</v>
      </c>
      <c r="B886" s="11" t="s">
        <v>940</v>
      </c>
      <c r="C886" s="12" t="s">
        <v>1421</v>
      </c>
      <c r="D886" s="11"/>
      <c r="E886" s="10" t="s">
        <v>1422</v>
      </c>
      <c r="F886" s="10" t="s">
        <v>557</v>
      </c>
      <c r="G886" s="55">
        <f>U886+V886</f>
        <v>0.02</v>
      </c>
      <c r="H886" s="10"/>
      <c r="I886" s="13">
        <v>8000</v>
      </c>
      <c r="J886" s="56"/>
      <c r="K886" s="57"/>
      <c r="M886" s="10"/>
      <c r="N886" s="10"/>
      <c r="O886" s="29"/>
      <c r="P886" s="29"/>
      <c r="Q886" s="29"/>
      <c r="R886" s="29"/>
      <c r="S886" s="29"/>
      <c r="T886" s="72"/>
      <c r="U886" s="77">
        <v>0.02</v>
      </c>
      <c r="V886" s="97"/>
      <c r="W886" s="77">
        <v>0.02</v>
      </c>
      <c r="X886" s="77"/>
      <c r="Y886" s="97"/>
      <c r="Z886" s="78"/>
      <c r="AA886" s="79" t="s">
        <v>1423</v>
      </c>
      <c r="AB886" s="79" t="s">
        <v>35</v>
      </c>
      <c r="AC886" s="79" t="s">
        <v>37</v>
      </c>
      <c r="AD886" s="79"/>
      <c r="AE886" s="79" t="s">
        <v>1424</v>
      </c>
      <c r="AF886" s="79" t="s">
        <v>1425</v>
      </c>
      <c r="AG886" s="118" t="s">
        <v>1426</v>
      </c>
      <c r="AH886" s="79"/>
      <c r="AI886" s="53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</row>
    <row r="887" spans="1:110" ht="13.8" x14ac:dyDescent="0.25">
      <c r="A887" s="10">
        <v>1509008</v>
      </c>
      <c r="B887" s="11" t="s">
        <v>934</v>
      </c>
      <c r="C887" s="12" t="s">
        <v>1427</v>
      </c>
      <c r="D887" s="26" t="s">
        <v>971</v>
      </c>
      <c r="E887" s="10" t="s">
        <v>972</v>
      </c>
      <c r="F887" s="10" t="s">
        <v>557</v>
      </c>
      <c r="G887" s="55">
        <f t="shared" ref="G887:G934" si="21">IF(U887="Obsolete",U887,U887+V887)</f>
        <v>0.31225000000000003</v>
      </c>
      <c r="H887" s="10">
        <v>4</v>
      </c>
      <c r="I887" s="13">
        <v>4000</v>
      </c>
      <c r="J887" s="56"/>
      <c r="K887" s="57"/>
      <c r="M887" s="14"/>
      <c r="N887" s="14"/>
      <c r="O887" s="14"/>
      <c r="P887" s="14"/>
      <c r="Q887" s="14"/>
      <c r="R887" s="14"/>
      <c r="S887" s="14"/>
      <c r="T887" s="70"/>
      <c r="U887" s="76">
        <v>0.27560000000000001</v>
      </c>
      <c r="V887" s="76">
        <v>3.6650000000000002E-2</v>
      </c>
      <c r="W887" s="76">
        <v>0.27560000000000001</v>
      </c>
      <c r="X887" s="76">
        <v>3.6650000000000002E-2</v>
      </c>
      <c r="Y887" s="77" t="s">
        <v>35</v>
      </c>
      <c r="Z887" s="98">
        <v>4000</v>
      </c>
      <c r="AA887" s="79" t="s">
        <v>36</v>
      </c>
      <c r="AB887" s="79" t="s">
        <v>35</v>
      </c>
      <c r="AC887" s="79" t="s">
        <v>37</v>
      </c>
      <c r="AD887" s="79" t="s">
        <v>38</v>
      </c>
      <c r="AE887" s="79" t="s">
        <v>973</v>
      </c>
      <c r="AF887" s="79" t="s">
        <v>974</v>
      </c>
      <c r="AG887" s="79" t="s">
        <v>975</v>
      </c>
      <c r="AH887" s="79"/>
      <c r="AI887" s="53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</row>
    <row r="888" spans="1:110" ht="30.6" x14ac:dyDescent="0.25">
      <c r="A888" s="24">
        <v>1509009</v>
      </c>
      <c r="B888" s="26" t="s">
        <v>934</v>
      </c>
      <c r="C888" s="25" t="s">
        <v>1428</v>
      </c>
      <c r="D888" s="26"/>
      <c r="E888" s="10" t="s">
        <v>1429</v>
      </c>
      <c r="F888" s="10" t="s">
        <v>557</v>
      </c>
      <c r="G888" s="55" t="str">
        <f t="shared" si="21"/>
        <v>Obsolete</v>
      </c>
      <c r="H888" s="10"/>
      <c r="I888" s="13"/>
      <c r="J888" s="56"/>
      <c r="K888" s="57"/>
      <c r="M888" s="10"/>
      <c r="N888" s="10"/>
      <c r="O888" s="29"/>
      <c r="P888" s="29"/>
      <c r="Q888" s="29"/>
      <c r="R888" s="29"/>
      <c r="S888" s="29"/>
      <c r="T888" s="72"/>
      <c r="U888" s="97" t="s">
        <v>54</v>
      </c>
      <c r="V888" s="97"/>
      <c r="W888" s="97" t="s">
        <v>54</v>
      </c>
      <c r="X888" s="97"/>
      <c r="Y888" s="97"/>
      <c r="Z888" s="87"/>
      <c r="AA888" s="79"/>
      <c r="AB888" s="79" t="s">
        <v>37</v>
      </c>
      <c r="AC888" s="79" t="s">
        <v>37</v>
      </c>
      <c r="AD888" s="79"/>
      <c r="AE888" s="79"/>
      <c r="AF888" s="79"/>
      <c r="AG888" s="79"/>
      <c r="AH888" s="79"/>
      <c r="AI888" s="53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</row>
    <row r="889" spans="1:110" ht="13.8" x14ac:dyDescent="0.25">
      <c r="A889" s="24">
        <v>1509010</v>
      </c>
      <c r="B889" s="26" t="s">
        <v>934</v>
      </c>
      <c r="C889" s="25" t="s">
        <v>1430</v>
      </c>
      <c r="D889" s="26"/>
      <c r="E889" s="10" t="s">
        <v>972</v>
      </c>
      <c r="F889" s="10" t="s">
        <v>557</v>
      </c>
      <c r="G889" s="55">
        <f t="shared" si="21"/>
        <v>0.42699999999999999</v>
      </c>
      <c r="H889" s="10">
        <v>10</v>
      </c>
      <c r="I889" s="13">
        <v>9000</v>
      </c>
      <c r="J889" s="56"/>
      <c r="K889" s="57"/>
      <c r="M889" s="14"/>
      <c r="N889" s="14"/>
      <c r="O889" s="14"/>
      <c r="P889" s="14"/>
      <c r="Q889" s="14"/>
      <c r="R889" s="14"/>
      <c r="S889" s="14"/>
      <c r="T889" s="70"/>
      <c r="U889" s="76">
        <v>0.38200000000000001</v>
      </c>
      <c r="V889" s="76">
        <v>4.4999999999999998E-2</v>
      </c>
      <c r="W889" s="76">
        <v>0.38200000000000001</v>
      </c>
      <c r="X889" s="76">
        <v>4.4999999999999998E-2</v>
      </c>
      <c r="Y889" s="77" t="s">
        <v>35</v>
      </c>
      <c r="Z889" s="87"/>
      <c r="AA889" s="79" t="s">
        <v>36</v>
      </c>
      <c r="AB889" s="79" t="s">
        <v>35</v>
      </c>
      <c r="AC889" s="79" t="s">
        <v>37</v>
      </c>
      <c r="AD889" s="79" t="s">
        <v>38</v>
      </c>
      <c r="AE889" s="79" t="s">
        <v>1431</v>
      </c>
      <c r="AF889" s="79" t="s">
        <v>1432</v>
      </c>
      <c r="AG889" s="79" t="s">
        <v>1433</v>
      </c>
      <c r="AH889" s="79"/>
      <c r="AI889" s="53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</row>
    <row r="890" spans="1:110" ht="13.8" x14ac:dyDescent="0.25">
      <c r="A890" s="24">
        <v>1509011</v>
      </c>
      <c r="B890" s="26" t="s">
        <v>934</v>
      </c>
      <c r="C890" s="25" t="s">
        <v>1434</v>
      </c>
      <c r="D890" s="26"/>
      <c r="E890" s="10" t="s">
        <v>1435</v>
      </c>
      <c r="F890" s="10" t="s">
        <v>557</v>
      </c>
      <c r="G890" s="55">
        <f t="shared" si="21"/>
        <v>1.2476500000000001</v>
      </c>
      <c r="H890" s="10">
        <v>10</v>
      </c>
      <c r="I890" s="13">
        <v>3000</v>
      </c>
      <c r="J890" s="56"/>
      <c r="K890" s="57"/>
      <c r="M890" s="14">
        <v>1.2110000000000001</v>
      </c>
      <c r="N890" s="14"/>
      <c r="O890" s="14"/>
      <c r="P890" s="14"/>
      <c r="Q890" s="14"/>
      <c r="R890" s="14"/>
      <c r="S890" s="14"/>
      <c r="T890" s="70"/>
      <c r="U890" s="76">
        <v>1.2110000000000001</v>
      </c>
      <c r="V890" s="76">
        <v>3.6650000000000002E-2</v>
      </c>
      <c r="W890" s="76">
        <v>1.2110000000000001</v>
      </c>
      <c r="X890" s="76">
        <v>3.6650000000000002E-2</v>
      </c>
      <c r="Y890" s="77" t="s">
        <v>35</v>
      </c>
      <c r="Z890" s="87"/>
      <c r="AA890" s="79" t="s">
        <v>36</v>
      </c>
      <c r="AB890" s="79" t="s">
        <v>35</v>
      </c>
      <c r="AC890" s="79" t="s">
        <v>37</v>
      </c>
      <c r="AD890" s="79" t="s">
        <v>38</v>
      </c>
      <c r="AE890" s="79" t="s">
        <v>1431</v>
      </c>
      <c r="AF890" s="79" t="s">
        <v>1432</v>
      </c>
      <c r="AG890" s="79" t="s">
        <v>1433</v>
      </c>
      <c r="AH890" s="79"/>
      <c r="AI890" s="53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</row>
    <row r="891" spans="1:110" ht="13.8" x14ac:dyDescent="0.25">
      <c r="A891" s="24">
        <v>1509015</v>
      </c>
      <c r="B891" s="26" t="s">
        <v>934</v>
      </c>
      <c r="C891" s="25" t="s">
        <v>1436</v>
      </c>
      <c r="D891" s="26"/>
      <c r="E891" s="10" t="s">
        <v>1437</v>
      </c>
      <c r="F891" s="10" t="s">
        <v>557</v>
      </c>
      <c r="G891" s="55" t="str">
        <f t="shared" si="21"/>
        <v>Obsolete</v>
      </c>
      <c r="H891" s="10">
        <v>3</v>
      </c>
      <c r="I891" s="13">
        <v>650</v>
      </c>
      <c r="J891" s="56"/>
      <c r="K891" s="57"/>
      <c r="M891" s="14"/>
      <c r="N891" s="14"/>
      <c r="O891" s="14"/>
      <c r="P891" s="14"/>
      <c r="Q891" s="14"/>
      <c r="R891" s="14"/>
      <c r="S891" s="14"/>
      <c r="T891" s="70"/>
      <c r="U891" s="76" t="s">
        <v>54</v>
      </c>
      <c r="V891" s="76"/>
      <c r="W891" s="76" t="s">
        <v>54</v>
      </c>
      <c r="X891" s="76"/>
      <c r="Y891" s="97"/>
      <c r="Z891" s="87"/>
      <c r="AA891" s="79" t="s">
        <v>36</v>
      </c>
      <c r="AB891" s="79" t="s">
        <v>37</v>
      </c>
      <c r="AC891" s="79" t="s">
        <v>37</v>
      </c>
      <c r="AD891" s="79" t="s">
        <v>38</v>
      </c>
      <c r="AE891" s="79"/>
      <c r="AF891" s="79"/>
      <c r="AG891" s="79"/>
      <c r="AH891" s="79"/>
      <c r="AI891" s="53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</row>
    <row r="892" spans="1:110" ht="20.399999999999999" x14ac:dyDescent="0.25">
      <c r="A892" s="24">
        <v>1509020</v>
      </c>
      <c r="B892" s="26" t="s">
        <v>934</v>
      </c>
      <c r="C892" s="25" t="s">
        <v>1438</v>
      </c>
      <c r="D892" s="26"/>
      <c r="E892" s="10" t="s">
        <v>1439</v>
      </c>
      <c r="F892" s="10" t="s">
        <v>557</v>
      </c>
      <c r="G892" s="55">
        <f t="shared" si="21"/>
        <v>0.62</v>
      </c>
      <c r="H892" s="10">
        <v>4</v>
      </c>
      <c r="I892" s="13">
        <v>560</v>
      </c>
      <c r="J892" s="56"/>
      <c r="K892" s="57"/>
      <c r="M892" s="14"/>
      <c r="N892" s="14"/>
      <c r="O892" s="14"/>
      <c r="P892" s="14"/>
      <c r="Q892" s="14"/>
      <c r="R892" s="14"/>
      <c r="S892" s="14"/>
      <c r="T892" s="70"/>
      <c r="U892" s="76">
        <v>0.62</v>
      </c>
      <c r="V892" s="76">
        <v>0</v>
      </c>
      <c r="W892" s="76">
        <v>0.62</v>
      </c>
      <c r="X892" s="76">
        <v>0</v>
      </c>
      <c r="Y892" s="77" t="s">
        <v>35</v>
      </c>
      <c r="Z892" s="87">
        <v>560</v>
      </c>
      <c r="AA892" s="79" t="s">
        <v>36</v>
      </c>
      <c r="AB892" s="79" t="s">
        <v>35</v>
      </c>
      <c r="AC892" s="79" t="s">
        <v>37</v>
      </c>
      <c r="AD892" s="79" t="s">
        <v>38</v>
      </c>
      <c r="AE892" s="79" t="s">
        <v>1440</v>
      </c>
      <c r="AF892" s="79"/>
      <c r="AG892" s="79" t="s">
        <v>1441</v>
      </c>
      <c r="AH892" s="79"/>
      <c r="AI892" s="53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</row>
    <row r="893" spans="1:110" ht="13.8" x14ac:dyDescent="0.25">
      <c r="A893" s="10">
        <v>1510001</v>
      </c>
      <c r="B893" s="10" t="s">
        <v>1211</v>
      </c>
      <c r="C893" s="16" t="s">
        <v>1442</v>
      </c>
      <c r="D893" s="10" t="s">
        <v>1211</v>
      </c>
      <c r="E893" s="10" t="s">
        <v>1267</v>
      </c>
      <c r="F893" s="10" t="s">
        <v>557</v>
      </c>
      <c r="G893" s="55">
        <f t="shared" si="21"/>
        <v>0.23</v>
      </c>
      <c r="H893" s="10">
        <v>2</v>
      </c>
      <c r="I893" s="13"/>
      <c r="J893" s="56"/>
      <c r="K893" s="57"/>
      <c r="M893" s="15"/>
      <c r="N893" s="15"/>
      <c r="O893" s="15"/>
      <c r="P893" s="15"/>
      <c r="Q893" s="15"/>
      <c r="R893" s="15"/>
      <c r="S893" s="15"/>
      <c r="T893" s="71"/>
      <c r="U893" s="104">
        <v>0.23</v>
      </c>
      <c r="V893" s="119">
        <v>0</v>
      </c>
      <c r="W893" s="104">
        <v>0.23</v>
      </c>
      <c r="X893" s="104">
        <v>0</v>
      </c>
      <c r="Y893" s="77" t="s">
        <v>37</v>
      </c>
      <c r="Z893" s="87"/>
      <c r="AA893" s="79" t="s">
        <v>36</v>
      </c>
      <c r="AB893" s="79" t="s">
        <v>35</v>
      </c>
      <c r="AC893" s="79" t="s">
        <v>37</v>
      </c>
      <c r="AD893" s="79" t="s">
        <v>38</v>
      </c>
      <c r="AE893" s="79" t="s">
        <v>1268</v>
      </c>
      <c r="AF893" s="79" t="s">
        <v>1269</v>
      </c>
      <c r="AG893" s="88" t="s">
        <v>1270</v>
      </c>
      <c r="AH893" s="79"/>
      <c r="AI893" s="53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</row>
    <row r="894" spans="1:110" ht="13.8" x14ac:dyDescent="0.25">
      <c r="A894" s="10">
        <v>1510002</v>
      </c>
      <c r="B894" s="10" t="s">
        <v>1211</v>
      </c>
      <c r="C894" s="16" t="s">
        <v>1443</v>
      </c>
      <c r="D894" s="10" t="s">
        <v>1211</v>
      </c>
      <c r="E894" s="10" t="s">
        <v>1275</v>
      </c>
      <c r="F894" s="10" t="s">
        <v>557</v>
      </c>
      <c r="G894" s="55">
        <f t="shared" si="21"/>
        <v>0.5</v>
      </c>
      <c r="H894" s="10">
        <v>1</v>
      </c>
      <c r="I894" s="13"/>
      <c r="J894" s="56"/>
      <c r="K894" s="57"/>
      <c r="M894" s="15"/>
      <c r="N894" s="15"/>
      <c r="O894" s="15"/>
      <c r="P894" s="15"/>
      <c r="Q894" s="15"/>
      <c r="R894" s="15"/>
      <c r="S894" s="15"/>
      <c r="T894" s="71"/>
      <c r="U894" s="76">
        <v>0.5</v>
      </c>
      <c r="V894" s="76">
        <v>0</v>
      </c>
      <c r="W894" s="76">
        <v>0.5</v>
      </c>
      <c r="X894" s="76">
        <v>0</v>
      </c>
      <c r="Y894" s="77" t="s">
        <v>37</v>
      </c>
      <c r="Z894" s="87"/>
      <c r="AA894" s="79" t="s">
        <v>365</v>
      </c>
      <c r="AB894" s="79" t="s">
        <v>35</v>
      </c>
      <c r="AC894" s="79" t="s">
        <v>35</v>
      </c>
      <c r="AD894" s="79" t="s">
        <v>38</v>
      </c>
      <c r="AE894" s="79" t="s">
        <v>1276</v>
      </c>
      <c r="AF894" s="79" t="s">
        <v>1277</v>
      </c>
      <c r="AG894" s="105" t="s">
        <v>1278</v>
      </c>
      <c r="AH894" s="79"/>
      <c r="AI894" s="53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</row>
    <row r="895" spans="1:110" ht="13.8" x14ac:dyDescent="0.25">
      <c r="A895" s="10">
        <v>1510003</v>
      </c>
      <c r="B895" s="10" t="s">
        <v>1211</v>
      </c>
      <c r="C895" s="16" t="s">
        <v>1444</v>
      </c>
      <c r="D895" s="10" t="s">
        <v>1211</v>
      </c>
      <c r="E895" s="10" t="s">
        <v>1275</v>
      </c>
      <c r="F895" s="10" t="s">
        <v>557</v>
      </c>
      <c r="G895" s="55">
        <f t="shared" si="21"/>
        <v>0.13</v>
      </c>
      <c r="H895" s="10">
        <v>1</v>
      </c>
      <c r="I895" s="13"/>
      <c r="J895" s="56"/>
      <c r="K895" s="57"/>
      <c r="M895" s="15"/>
      <c r="N895" s="15"/>
      <c r="O895" s="15"/>
      <c r="P895" s="15"/>
      <c r="Q895" s="15"/>
      <c r="R895" s="15"/>
      <c r="S895" s="15"/>
      <c r="T895" s="71"/>
      <c r="U895" s="76">
        <v>0.13</v>
      </c>
      <c r="V895" s="76">
        <v>0</v>
      </c>
      <c r="W895" s="76">
        <v>0.13</v>
      </c>
      <c r="X895" s="76">
        <v>0</v>
      </c>
      <c r="Y895" s="77" t="s">
        <v>37</v>
      </c>
      <c r="Z895" s="87"/>
      <c r="AA895" s="79" t="s">
        <v>36</v>
      </c>
      <c r="AB895" s="79" t="s">
        <v>35</v>
      </c>
      <c r="AC895" s="79" t="s">
        <v>37</v>
      </c>
      <c r="AD895" s="79" t="s">
        <v>38</v>
      </c>
      <c r="AE895" s="79" t="s">
        <v>1276</v>
      </c>
      <c r="AF895" s="79" t="s">
        <v>1277</v>
      </c>
      <c r="AG895" s="105" t="s">
        <v>1278</v>
      </c>
      <c r="AH895" s="79"/>
      <c r="AI895" s="53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</row>
    <row r="896" spans="1:110" ht="13.8" x14ac:dyDescent="0.25">
      <c r="A896" s="10">
        <v>1601001</v>
      </c>
      <c r="B896" s="11" t="s">
        <v>1445</v>
      </c>
      <c r="C896" s="12" t="s">
        <v>1446</v>
      </c>
      <c r="D896" s="10"/>
      <c r="E896" s="10" t="s">
        <v>1447</v>
      </c>
      <c r="F896" s="10" t="s">
        <v>34</v>
      </c>
      <c r="G896" s="55">
        <f t="shared" si="21"/>
        <v>3.4</v>
      </c>
      <c r="H896" s="10">
        <v>2</v>
      </c>
      <c r="I896" s="13">
        <v>55</v>
      </c>
      <c r="J896" s="56"/>
      <c r="K896" s="57"/>
      <c r="M896" s="14">
        <v>2.8</v>
      </c>
      <c r="N896" s="14"/>
      <c r="O896" s="14"/>
      <c r="P896" s="14"/>
      <c r="Q896" s="14"/>
      <c r="R896" s="14"/>
      <c r="S896" s="14"/>
      <c r="T896" s="70"/>
      <c r="U896" s="76">
        <v>2.8</v>
      </c>
      <c r="V896" s="76">
        <v>0.6</v>
      </c>
      <c r="W896" s="76">
        <v>2.8</v>
      </c>
      <c r="X896" s="76">
        <v>0.6</v>
      </c>
      <c r="Y896" s="77" t="s">
        <v>37</v>
      </c>
      <c r="Z896" s="78">
        <v>55</v>
      </c>
      <c r="AA896" s="79" t="s">
        <v>1448</v>
      </c>
      <c r="AB896" s="79" t="s">
        <v>35</v>
      </c>
      <c r="AC896" s="79" t="s">
        <v>37</v>
      </c>
      <c r="AD896" s="79" t="s">
        <v>38</v>
      </c>
      <c r="AE896" s="79" t="s">
        <v>1449</v>
      </c>
      <c r="AF896" s="79" t="s">
        <v>1450</v>
      </c>
      <c r="AG896" s="120" t="s">
        <v>1451</v>
      </c>
      <c r="AH896" s="79"/>
      <c r="AI896" s="53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</row>
    <row r="897" spans="1:110" ht="13.8" x14ac:dyDescent="0.25">
      <c r="A897" s="24">
        <v>1601001</v>
      </c>
      <c r="B897" s="26" t="s">
        <v>956</v>
      </c>
      <c r="C897" s="25" t="s">
        <v>1452</v>
      </c>
      <c r="D897" s="26"/>
      <c r="E897" s="17" t="s">
        <v>57</v>
      </c>
      <c r="F897" s="10" t="s">
        <v>557</v>
      </c>
      <c r="G897" s="55" t="str">
        <f t="shared" si="21"/>
        <v>Obsolete</v>
      </c>
      <c r="H897" s="10"/>
      <c r="I897" s="13"/>
      <c r="J897" s="56"/>
      <c r="K897" s="57"/>
      <c r="M897" s="10"/>
      <c r="N897" s="10"/>
      <c r="O897" s="29"/>
      <c r="P897" s="29"/>
      <c r="Q897" s="29"/>
      <c r="R897" s="29"/>
      <c r="S897" s="29"/>
      <c r="T897" s="72"/>
      <c r="U897" s="97" t="s">
        <v>54</v>
      </c>
      <c r="V897" s="97"/>
      <c r="W897" s="97" t="s">
        <v>54</v>
      </c>
      <c r="X897" s="97"/>
      <c r="Y897" s="97"/>
      <c r="Z897" s="87"/>
      <c r="AA897" s="79"/>
      <c r="AB897" s="79" t="s">
        <v>37</v>
      </c>
      <c r="AC897" s="79" t="s">
        <v>37</v>
      </c>
      <c r="AD897" s="79"/>
      <c r="AE897" s="79"/>
      <c r="AF897" s="79"/>
      <c r="AG897" s="79"/>
      <c r="AH897" s="79"/>
      <c r="AI897" s="53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</row>
    <row r="898" spans="1:110" ht="13.8" x14ac:dyDescent="0.25">
      <c r="A898" s="10">
        <v>1601002</v>
      </c>
      <c r="B898" s="11" t="s">
        <v>1445</v>
      </c>
      <c r="C898" s="12" t="s">
        <v>1453</v>
      </c>
      <c r="D898" s="10"/>
      <c r="E898" s="10" t="s">
        <v>1447</v>
      </c>
      <c r="F898" s="10" t="s">
        <v>34</v>
      </c>
      <c r="G898" s="55" t="str">
        <f t="shared" si="21"/>
        <v>Obsolete</v>
      </c>
      <c r="H898" s="10">
        <v>2</v>
      </c>
      <c r="I898" s="13">
        <v>55</v>
      </c>
      <c r="J898" s="56"/>
      <c r="K898" s="57"/>
      <c r="M898" s="14"/>
      <c r="N898" s="14"/>
      <c r="O898" s="14"/>
      <c r="P898" s="14"/>
      <c r="Q898" s="14"/>
      <c r="R898" s="14"/>
      <c r="S898" s="14"/>
      <c r="T898" s="70"/>
      <c r="U898" s="76" t="s">
        <v>54</v>
      </c>
      <c r="V898" s="76">
        <v>0</v>
      </c>
      <c r="W898" s="76" t="s">
        <v>54</v>
      </c>
      <c r="X898" s="76">
        <v>0</v>
      </c>
      <c r="Y898" s="77" t="s">
        <v>37</v>
      </c>
      <c r="Z898" s="78">
        <v>55</v>
      </c>
      <c r="AA898" s="79" t="s">
        <v>1448</v>
      </c>
      <c r="AB898" s="79" t="s">
        <v>37</v>
      </c>
      <c r="AC898" s="79" t="s">
        <v>37</v>
      </c>
      <c r="AD898" s="79" t="s">
        <v>38</v>
      </c>
      <c r="AE898" s="79" t="s">
        <v>1449</v>
      </c>
      <c r="AF898" s="79" t="s">
        <v>1450</v>
      </c>
      <c r="AG898" s="120" t="s">
        <v>1451</v>
      </c>
      <c r="AH898" s="79"/>
      <c r="AI898" s="53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</row>
    <row r="899" spans="1:110" ht="13.8" x14ac:dyDescent="0.25">
      <c r="A899" s="24">
        <v>1601003</v>
      </c>
      <c r="B899" s="11" t="s">
        <v>1445</v>
      </c>
      <c r="C899" s="12" t="s">
        <v>1454</v>
      </c>
      <c r="D899" s="10"/>
      <c r="E899" s="10" t="s">
        <v>1455</v>
      </c>
      <c r="F899" s="10" t="s">
        <v>34</v>
      </c>
      <c r="G899" s="55">
        <f t="shared" si="21"/>
        <v>4.05</v>
      </c>
      <c r="H899" s="10">
        <v>2</v>
      </c>
      <c r="I899" s="13">
        <v>50</v>
      </c>
      <c r="J899" s="56"/>
      <c r="K899" s="57"/>
      <c r="M899" s="14">
        <v>3.7</v>
      </c>
      <c r="N899" s="14"/>
      <c r="O899" s="14">
        <v>3.13</v>
      </c>
      <c r="P899" s="14"/>
      <c r="Q899" s="14"/>
      <c r="R899" s="14"/>
      <c r="S899" s="14"/>
      <c r="T899" s="70"/>
      <c r="U899" s="76">
        <v>3.7</v>
      </c>
      <c r="V899" s="76">
        <v>0.35</v>
      </c>
      <c r="W899" s="76">
        <v>3.7</v>
      </c>
      <c r="X899" s="76">
        <v>0.35</v>
      </c>
      <c r="Y899" s="77"/>
      <c r="Z899" s="78"/>
      <c r="AA899" s="79"/>
      <c r="AB899" s="79"/>
      <c r="AC899" s="79"/>
      <c r="AD899" s="79"/>
      <c r="AE899" s="79"/>
      <c r="AF899" s="79"/>
      <c r="AG899" s="83"/>
      <c r="AH899" s="79"/>
      <c r="AI899" s="53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</row>
    <row r="900" spans="1:110" ht="13.8" x14ac:dyDescent="0.25">
      <c r="A900" s="24">
        <v>1701001</v>
      </c>
      <c r="B900" s="26" t="s">
        <v>956</v>
      </c>
      <c r="C900" s="38" t="s">
        <v>1456</v>
      </c>
      <c r="D900" s="26"/>
      <c r="E900" s="10" t="s">
        <v>1457</v>
      </c>
      <c r="F900" s="10" t="s">
        <v>557</v>
      </c>
      <c r="G900" s="55" t="str">
        <f t="shared" si="21"/>
        <v>Obsolete</v>
      </c>
      <c r="H900" s="10"/>
      <c r="I900" s="13"/>
      <c r="J900" s="56"/>
      <c r="K900" s="57"/>
      <c r="M900" s="10"/>
      <c r="N900" s="10"/>
      <c r="O900" s="29"/>
      <c r="P900" s="29"/>
      <c r="Q900" s="29"/>
      <c r="R900" s="29"/>
      <c r="S900" s="29"/>
      <c r="T900" s="72"/>
      <c r="U900" s="97" t="s">
        <v>54</v>
      </c>
      <c r="V900" s="97"/>
      <c r="W900" s="97" t="s">
        <v>54</v>
      </c>
      <c r="X900" s="97"/>
      <c r="Y900" s="97"/>
      <c r="Z900" s="87"/>
      <c r="AA900" s="79" t="s">
        <v>1457</v>
      </c>
      <c r="AB900" s="79" t="s">
        <v>37</v>
      </c>
      <c r="AC900" s="79" t="s">
        <v>37</v>
      </c>
      <c r="AD900" s="79"/>
      <c r="AE900" s="79"/>
      <c r="AF900" s="79"/>
      <c r="AG900" s="79"/>
      <c r="AH900" s="79"/>
      <c r="AI900" s="53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</row>
    <row r="901" spans="1:110" ht="13.8" x14ac:dyDescent="0.25">
      <c r="A901" s="24">
        <v>1701002</v>
      </c>
      <c r="B901" s="26" t="s">
        <v>956</v>
      </c>
      <c r="C901" s="38" t="s">
        <v>1458</v>
      </c>
      <c r="D901" s="26"/>
      <c r="E901" s="10" t="s">
        <v>1457</v>
      </c>
      <c r="F901" s="10" t="s">
        <v>557</v>
      </c>
      <c r="G901" s="55" t="str">
        <f t="shared" si="21"/>
        <v>Obsolete</v>
      </c>
      <c r="H901" s="10"/>
      <c r="I901" s="13"/>
      <c r="J901" s="56"/>
      <c r="K901" s="57"/>
      <c r="M901" s="10"/>
      <c r="N901" s="10"/>
      <c r="O901" s="29"/>
      <c r="P901" s="29"/>
      <c r="Q901" s="29"/>
      <c r="R901" s="29"/>
      <c r="S901" s="29"/>
      <c r="T901" s="72"/>
      <c r="U901" s="97" t="s">
        <v>54</v>
      </c>
      <c r="V901" s="97"/>
      <c r="W901" s="97" t="s">
        <v>54</v>
      </c>
      <c r="X901" s="97"/>
      <c r="Y901" s="97"/>
      <c r="Z901" s="87"/>
      <c r="AA901" s="79" t="s">
        <v>1457</v>
      </c>
      <c r="AB901" s="79" t="s">
        <v>37</v>
      </c>
      <c r="AC901" s="79" t="s">
        <v>37</v>
      </c>
      <c r="AD901" s="79"/>
      <c r="AE901" s="79"/>
      <c r="AF901" s="79"/>
      <c r="AG901" s="79"/>
      <c r="AH901" s="79"/>
      <c r="AI901" s="53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</row>
    <row r="902" spans="1:110" ht="13.8" x14ac:dyDescent="0.25">
      <c r="A902" s="24">
        <v>1701003</v>
      </c>
      <c r="B902" s="26" t="s">
        <v>956</v>
      </c>
      <c r="C902" s="38" t="s">
        <v>1459</v>
      </c>
      <c r="D902" s="26"/>
      <c r="E902" s="10" t="s">
        <v>1457</v>
      </c>
      <c r="F902" s="10" t="s">
        <v>557</v>
      </c>
      <c r="G902" s="55" t="str">
        <f t="shared" si="21"/>
        <v>Obsolete</v>
      </c>
      <c r="H902" s="10"/>
      <c r="I902" s="13"/>
      <c r="J902" s="56"/>
      <c r="K902" s="57"/>
      <c r="M902" s="10"/>
      <c r="N902" s="10"/>
      <c r="O902" s="29"/>
      <c r="P902" s="29"/>
      <c r="Q902" s="29"/>
      <c r="R902" s="29"/>
      <c r="S902" s="29"/>
      <c r="T902" s="72"/>
      <c r="U902" s="97" t="s">
        <v>54</v>
      </c>
      <c r="V902" s="97"/>
      <c r="W902" s="97" t="s">
        <v>54</v>
      </c>
      <c r="X902" s="97"/>
      <c r="Y902" s="97"/>
      <c r="Z902" s="87"/>
      <c r="AA902" s="79" t="s">
        <v>1457</v>
      </c>
      <c r="AB902" s="79" t="s">
        <v>37</v>
      </c>
      <c r="AC902" s="79" t="s">
        <v>37</v>
      </c>
      <c r="AD902" s="79"/>
      <c r="AE902" s="79"/>
      <c r="AF902" s="79"/>
      <c r="AG902" s="79"/>
      <c r="AH902" s="79"/>
      <c r="AI902" s="53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</row>
    <row r="903" spans="1:110" ht="13.8" x14ac:dyDescent="0.25">
      <c r="A903" s="24">
        <v>1701004</v>
      </c>
      <c r="B903" s="26" t="s">
        <v>956</v>
      </c>
      <c r="C903" s="38" t="s">
        <v>1460</v>
      </c>
      <c r="D903" s="26"/>
      <c r="E903" s="10" t="s">
        <v>1457</v>
      </c>
      <c r="F903" s="10" t="s">
        <v>557</v>
      </c>
      <c r="G903" s="55" t="str">
        <f t="shared" si="21"/>
        <v>Obsolete</v>
      </c>
      <c r="H903" s="10"/>
      <c r="I903" s="13"/>
      <c r="J903" s="56"/>
      <c r="K903" s="57"/>
      <c r="M903" s="10"/>
      <c r="N903" s="10"/>
      <c r="O903" s="29"/>
      <c r="P903" s="29"/>
      <c r="Q903" s="29"/>
      <c r="R903" s="29"/>
      <c r="S903" s="29"/>
      <c r="T903" s="72"/>
      <c r="U903" s="97" t="s">
        <v>54</v>
      </c>
      <c r="V903" s="97"/>
      <c r="W903" s="97" t="s">
        <v>54</v>
      </c>
      <c r="X903" s="97"/>
      <c r="Y903" s="97"/>
      <c r="Z903" s="87"/>
      <c r="AA903" s="79" t="s">
        <v>1457</v>
      </c>
      <c r="AB903" s="79" t="s">
        <v>37</v>
      </c>
      <c r="AC903" s="79" t="s">
        <v>37</v>
      </c>
      <c r="AD903" s="79"/>
      <c r="AE903" s="79"/>
      <c r="AF903" s="79"/>
      <c r="AG903" s="79"/>
      <c r="AH903" s="79"/>
      <c r="AI903" s="53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</row>
    <row r="904" spans="1:110" ht="13.8" x14ac:dyDescent="0.25">
      <c r="A904" s="24">
        <v>1701005</v>
      </c>
      <c r="B904" s="26" t="s">
        <v>956</v>
      </c>
      <c r="C904" s="46" t="s">
        <v>1461</v>
      </c>
      <c r="D904" s="26"/>
      <c r="E904" s="10" t="s">
        <v>1457</v>
      </c>
      <c r="F904" s="10" t="s">
        <v>557</v>
      </c>
      <c r="G904" s="55" t="str">
        <f t="shared" si="21"/>
        <v>Obsolete</v>
      </c>
      <c r="H904" s="10"/>
      <c r="I904" s="13"/>
      <c r="J904" s="56"/>
      <c r="K904" s="57"/>
      <c r="M904" s="10"/>
      <c r="N904" s="10"/>
      <c r="O904" s="29"/>
      <c r="P904" s="29"/>
      <c r="Q904" s="29"/>
      <c r="R904" s="29"/>
      <c r="S904" s="29"/>
      <c r="T904" s="72"/>
      <c r="U904" s="97" t="s">
        <v>54</v>
      </c>
      <c r="V904" s="97"/>
      <c r="W904" s="97" t="s">
        <v>54</v>
      </c>
      <c r="X904" s="97"/>
      <c r="Y904" s="97"/>
      <c r="Z904" s="87"/>
      <c r="AA904" s="79" t="s">
        <v>1457</v>
      </c>
      <c r="AB904" s="79" t="s">
        <v>37</v>
      </c>
      <c r="AC904" s="79" t="s">
        <v>37</v>
      </c>
      <c r="AD904" s="79"/>
      <c r="AE904" s="79"/>
      <c r="AF904" s="79"/>
      <c r="AG904" s="79"/>
      <c r="AH904" s="79"/>
      <c r="AI904" s="53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</row>
    <row r="905" spans="1:110" ht="13.8" x14ac:dyDescent="0.25">
      <c r="A905" s="24">
        <v>1701006</v>
      </c>
      <c r="B905" s="26" t="s">
        <v>956</v>
      </c>
      <c r="C905" s="46" t="s">
        <v>1462</v>
      </c>
      <c r="D905" s="26"/>
      <c r="E905" s="10" t="s">
        <v>1457</v>
      </c>
      <c r="F905" s="10" t="s">
        <v>557</v>
      </c>
      <c r="G905" s="55" t="str">
        <f t="shared" si="21"/>
        <v>Obsolete</v>
      </c>
      <c r="H905" s="10"/>
      <c r="I905" s="13"/>
      <c r="J905" s="56"/>
      <c r="K905" s="57"/>
      <c r="M905" s="10"/>
      <c r="N905" s="10"/>
      <c r="O905" s="29"/>
      <c r="P905" s="29"/>
      <c r="Q905" s="29"/>
      <c r="R905" s="29"/>
      <c r="S905" s="29"/>
      <c r="T905" s="72"/>
      <c r="U905" s="97" t="s">
        <v>54</v>
      </c>
      <c r="V905" s="97"/>
      <c r="W905" s="97" t="s">
        <v>54</v>
      </c>
      <c r="X905" s="97"/>
      <c r="Y905" s="97"/>
      <c r="Z905" s="87"/>
      <c r="AA905" s="79" t="s">
        <v>1457</v>
      </c>
      <c r="AB905" s="79" t="s">
        <v>37</v>
      </c>
      <c r="AC905" s="79" t="s">
        <v>37</v>
      </c>
      <c r="AD905" s="79"/>
      <c r="AE905" s="79"/>
      <c r="AF905" s="79"/>
      <c r="AG905" s="79"/>
      <c r="AH905" s="79"/>
      <c r="AI905" s="53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</row>
    <row r="906" spans="1:110" ht="13.8" x14ac:dyDescent="0.25">
      <c r="A906" s="24">
        <v>1701007</v>
      </c>
      <c r="B906" s="26" t="s">
        <v>956</v>
      </c>
      <c r="C906" s="46" t="s">
        <v>1463</v>
      </c>
      <c r="D906" s="26"/>
      <c r="E906" s="10" t="s">
        <v>1457</v>
      </c>
      <c r="F906" s="10" t="s">
        <v>557</v>
      </c>
      <c r="G906" s="55" t="str">
        <f t="shared" si="21"/>
        <v>Obsolete</v>
      </c>
      <c r="H906" s="10"/>
      <c r="I906" s="13"/>
      <c r="J906" s="56"/>
      <c r="K906" s="57"/>
      <c r="M906" s="10"/>
      <c r="N906" s="10"/>
      <c r="O906" s="29"/>
      <c r="P906" s="29"/>
      <c r="Q906" s="29"/>
      <c r="R906" s="29"/>
      <c r="S906" s="29"/>
      <c r="T906" s="72"/>
      <c r="U906" s="97" t="s">
        <v>54</v>
      </c>
      <c r="V906" s="97"/>
      <c r="W906" s="97" t="s">
        <v>54</v>
      </c>
      <c r="X906" s="97"/>
      <c r="Y906" s="97"/>
      <c r="Z906" s="87"/>
      <c r="AA906" s="79" t="s">
        <v>1457</v>
      </c>
      <c r="AB906" s="79" t="s">
        <v>37</v>
      </c>
      <c r="AC906" s="79" t="s">
        <v>37</v>
      </c>
      <c r="AD906" s="79"/>
      <c r="AE906" s="79"/>
      <c r="AF906" s="79"/>
      <c r="AG906" s="79"/>
      <c r="AH906" s="79"/>
      <c r="AI906" s="53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</row>
    <row r="907" spans="1:110" ht="13.8" x14ac:dyDescent="0.25">
      <c r="A907" s="24">
        <v>1701008</v>
      </c>
      <c r="B907" s="26" t="s">
        <v>956</v>
      </c>
      <c r="C907" s="46" t="s">
        <v>1464</v>
      </c>
      <c r="D907" s="26"/>
      <c r="E907" s="10" t="s">
        <v>1457</v>
      </c>
      <c r="F907" s="10" t="s">
        <v>557</v>
      </c>
      <c r="G907" s="55" t="str">
        <f t="shared" si="21"/>
        <v>Obsolete</v>
      </c>
      <c r="H907" s="10"/>
      <c r="I907" s="13"/>
      <c r="J907" s="56"/>
      <c r="K907" s="57"/>
      <c r="M907" s="10"/>
      <c r="N907" s="10"/>
      <c r="O907" s="29"/>
      <c r="P907" s="29"/>
      <c r="Q907" s="29"/>
      <c r="R907" s="29"/>
      <c r="S907" s="29"/>
      <c r="T907" s="72"/>
      <c r="U907" s="97" t="s">
        <v>54</v>
      </c>
      <c r="V907" s="97"/>
      <c r="W907" s="97" t="s">
        <v>54</v>
      </c>
      <c r="X907" s="97"/>
      <c r="Y907" s="97"/>
      <c r="Z907" s="87"/>
      <c r="AA907" s="79" t="s">
        <v>1457</v>
      </c>
      <c r="AB907" s="79" t="s">
        <v>37</v>
      </c>
      <c r="AC907" s="79" t="s">
        <v>37</v>
      </c>
      <c r="AD907" s="79"/>
      <c r="AE907" s="79"/>
      <c r="AF907" s="79"/>
      <c r="AG907" s="79"/>
      <c r="AH907" s="79"/>
      <c r="AI907" s="53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</row>
    <row r="908" spans="1:110" ht="13.8" x14ac:dyDescent="0.25">
      <c r="A908" s="24">
        <v>1702001</v>
      </c>
      <c r="B908" s="26" t="s">
        <v>956</v>
      </c>
      <c r="C908" s="16" t="s">
        <v>1465</v>
      </c>
      <c r="D908" s="26"/>
      <c r="E908" s="10" t="s">
        <v>1457</v>
      </c>
      <c r="F908" s="10" t="s">
        <v>557</v>
      </c>
      <c r="G908" s="55" t="str">
        <f t="shared" si="21"/>
        <v>Obsolete</v>
      </c>
      <c r="H908" s="10"/>
      <c r="I908" s="13"/>
      <c r="J908" s="56"/>
      <c r="K908" s="57"/>
      <c r="M908" s="10"/>
      <c r="N908" s="10"/>
      <c r="O908" s="29"/>
      <c r="P908" s="29"/>
      <c r="Q908" s="29"/>
      <c r="R908" s="29"/>
      <c r="S908" s="29"/>
      <c r="T908" s="72"/>
      <c r="U908" s="97" t="s">
        <v>54</v>
      </c>
      <c r="V908" s="97"/>
      <c r="W908" s="97" t="s">
        <v>54</v>
      </c>
      <c r="X908" s="97"/>
      <c r="Y908" s="97"/>
      <c r="Z908" s="87"/>
      <c r="AA908" s="79" t="s">
        <v>1457</v>
      </c>
      <c r="AB908" s="79" t="s">
        <v>37</v>
      </c>
      <c r="AC908" s="79" t="s">
        <v>37</v>
      </c>
      <c r="AD908" s="79"/>
      <c r="AE908" s="79"/>
      <c r="AF908" s="79"/>
      <c r="AG908" s="79"/>
      <c r="AH908" s="79"/>
      <c r="AI908" s="53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</row>
    <row r="909" spans="1:110" ht="13.8" x14ac:dyDescent="0.25">
      <c r="A909" s="24">
        <v>1702002</v>
      </c>
      <c r="B909" s="26" t="s">
        <v>956</v>
      </c>
      <c r="C909" s="16" t="s">
        <v>1466</v>
      </c>
      <c r="D909" s="26"/>
      <c r="E909" s="10" t="s">
        <v>1457</v>
      </c>
      <c r="F909" s="10" t="s">
        <v>557</v>
      </c>
      <c r="G909" s="55" t="str">
        <f t="shared" si="21"/>
        <v>Obsolete</v>
      </c>
      <c r="H909" s="10"/>
      <c r="I909" s="13"/>
      <c r="J909" s="56"/>
      <c r="K909" s="57"/>
      <c r="M909" s="10"/>
      <c r="N909" s="10"/>
      <c r="O909" s="29"/>
      <c r="P909" s="29"/>
      <c r="Q909" s="29"/>
      <c r="R909" s="29"/>
      <c r="S909" s="29"/>
      <c r="T909" s="72"/>
      <c r="U909" s="97" t="s">
        <v>54</v>
      </c>
      <c r="V909" s="97"/>
      <c r="W909" s="97" t="s">
        <v>54</v>
      </c>
      <c r="X909" s="97"/>
      <c r="Y909" s="97"/>
      <c r="Z909" s="87"/>
      <c r="AA909" s="79" t="s">
        <v>1457</v>
      </c>
      <c r="AB909" s="79" t="s">
        <v>37</v>
      </c>
      <c r="AC909" s="79" t="s">
        <v>37</v>
      </c>
      <c r="AD909" s="79"/>
      <c r="AE909" s="79"/>
      <c r="AF909" s="79"/>
      <c r="AG909" s="79"/>
      <c r="AH909" s="79"/>
      <c r="AI909" s="53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</row>
    <row r="910" spans="1:110" ht="13.8" x14ac:dyDescent="0.25">
      <c r="A910" s="24">
        <v>1702003</v>
      </c>
      <c r="B910" s="26" t="s">
        <v>956</v>
      </c>
      <c r="C910" s="16" t="s">
        <v>1467</v>
      </c>
      <c r="D910" s="26"/>
      <c r="E910" s="10" t="s">
        <v>1457</v>
      </c>
      <c r="F910" s="10" t="s">
        <v>557</v>
      </c>
      <c r="G910" s="55" t="str">
        <f t="shared" si="21"/>
        <v>Obsolete</v>
      </c>
      <c r="H910" s="10"/>
      <c r="I910" s="13"/>
      <c r="J910" s="56"/>
      <c r="K910" s="57"/>
      <c r="M910" s="10"/>
      <c r="N910" s="10"/>
      <c r="O910" s="29"/>
      <c r="P910" s="29"/>
      <c r="Q910" s="29"/>
      <c r="R910" s="29"/>
      <c r="S910" s="29"/>
      <c r="T910" s="72"/>
      <c r="U910" s="97" t="s">
        <v>54</v>
      </c>
      <c r="V910" s="97"/>
      <c r="W910" s="97" t="s">
        <v>54</v>
      </c>
      <c r="X910" s="97"/>
      <c r="Y910" s="97"/>
      <c r="Z910" s="87"/>
      <c r="AA910" s="79" t="s">
        <v>1457</v>
      </c>
      <c r="AB910" s="79" t="s">
        <v>37</v>
      </c>
      <c r="AC910" s="79" t="s">
        <v>37</v>
      </c>
      <c r="AD910" s="79"/>
      <c r="AE910" s="79"/>
      <c r="AF910" s="79"/>
      <c r="AG910" s="79"/>
      <c r="AH910" s="79"/>
      <c r="AI910" s="53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</row>
    <row r="911" spans="1:110" ht="13.8" x14ac:dyDescent="0.25">
      <c r="A911" s="24">
        <v>1702004</v>
      </c>
      <c r="B911" s="26" t="s">
        <v>956</v>
      </c>
      <c r="C911" s="16" t="s">
        <v>1468</v>
      </c>
      <c r="D911" s="26"/>
      <c r="E911" s="10" t="s">
        <v>1457</v>
      </c>
      <c r="F911" s="10" t="s">
        <v>557</v>
      </c>
      <c r="G911" s="55" t="str">
        <f t="shared" si="21"/>
        <v>Obsolete</v>
      </c>
      <c r="H911" s="10"/>
      <c r="I911" s="13"/>
      <c r="J911" s="56"/>
      <c r="K911" s="57"/>
      <c r="M911" s="10"/>
      <c r="N911" s="10"/>
      <c r="O911" s="29"/>
      <c r="P911" s="29"/>
      <c r="Q911" s="29"/>
      <c r="R911" s="29"/>
      <c r="S911" s="29"/>
      <c r="T911" s="72"/>
      <c r="U911" s="97" t="s">
        <v>54</v>
      </c>
      <c r="V911" s="97"/>
      <c r="W911" s="97" t="s">
        <v>54</v>
      </c>
      <c r="X911" s="97"/>
      <c r="Y911" s="97"/>
      <c r="Z911" s="87"/>
      <c r="AA911" s="79" t="s">
        <v>1457</v>
      </c>
      <c r="AB911" s="79" t="s">
        <v>37</v>
      </c>
      <c r="AC911" s="79" t="s">
        <v>37</v>
      </c>
      <c r="AD911" s="79"/>
      <c r="AE911" s="79"/>
      <c r="AF911" s="79"/>
      <c r="AG911" s="79"/>
      <c r="AH911" s="79"/>
      <c r="AI911" s="53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</row>
    <row r="912" spans="1:110" ht="13.8" x14ac:dyDescent="0.25">
      <c r="A912" s="24">
        <v>1702005</v>
      </c>
      <c r="B912" s="26" t="s">
        <v>956</v>
      </c>
      <c r="C912" s="38" t="s">
        <v>1469</v>
      </c>
      <c r="D912" s="26"/>
      <c r="E912" s="10" t="s">
        <v>1457</v>
      </c>
      <c r="F912" s="10" t="s">
        <v>557</v>
      </c>
      <c r="G912" s="55" t="str">
        <f t="shared" si="21"/>
        <v>Obsolete</v>
      </c>
      <c r="H912" s="10"/>
      <c r="I912" s="13"/>
      <c r="J912" s="56"/>
      <c r="K912" s="57"/>
      <c r="M912" s="10"/>
      <c r="N912" s="10"/>
      <c r="O912" s="29"/>
      <c r="P912" s="29"/>
      <c r="Q912" s="29"/>
      <c r="R912" s="29"/>
      <c r="S912" s="29"/>
      <c r="T912" s="72"/>
      <c r="U912" s="97" t="s">
        <v>54</v>
      </c>
      <c r="V912" s="97"/>
      <c r="W912" s="97" t="s">
        <v>54</v>
      </c>
      <c r="X912" s="97"/>
      <c r="Y912" s="97"/>
      <c r="Z912" s="87"/>
      <c r="AA912" s="79" t="s">
        <v>1457</v>
      </c>
      <c r="AB912" s="79" t="s">
        <v>37</v>
      </c>
      <c r="AC912" s="79" t="s">
        <v>37</v>
      </c>
      <c r="AD912" s="79"/>
      <c r="AE912" s="79"/>
      <c r="AF912" s="79"/>
      <c r="AG912" s="79"/>
      <c r="AH912" s="79"/>
      <c r="AI912" s="53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</row>
    <row r="913" spans="1:110" ht="13.8" x14ac:dyDescent="0.25">
      <c r="A913" s="24">
        <v>1702006</v>
      </c>
      <c r="B913" s="26" t="s">
        <v>956</v>
      </c>
      <c r="C913" s="38" t="s">
        <v>1470</v>
      </c>
      <c r="D913" s="26"/>
      <c r="E913" s="10" t="s">
        <v>1457</v>
      </c>
      <c r="F913" s="10" t="s">
        <v>557</v>
      </c>
      <c r="G913" s="55" t="str">
        <f t="shared" si="21"/>
        <v>Obsolete</v>
      </c>
      <c r="H913" s="10"/>
      <c r="I913" s="13"/>
      <c r="J913" s="56"/>
      <c r="K913" s="57"/>
      <c r="M913" s="10"/>
      <c r="N913" s="10"/>
      <c r="O913" s="29"/>
      <c r="P913" s="29"/>
      <c r="Q913" s="29"/>
      <c r="R913" s="29"/>
      <c r="S913" s="29"/>
      <c r="T913" s="72"/>
      <c r="U913" s="97" t="s">
        <v>54</v>
      </c>
      <c r="V913" s="97"/>
      <c r="W913" s="97" t="s">
        <v>54</v>
      </c>
      <c r="X913" s="97"/>
      <c r="Y913" s="97"/>
      <c r="Z913" s="87"/>
      <c r="AA913" s="79" t="s">
        <v>1457</v>
      </c>
      <c r="AB913" s="79" t="s">
        <v>37</v>
      </c>
      <c r="AC913" s="79" t="s">
        <v>37</v>
      </c>
      <c r="AD913" s="79"/>
      <c r="AE913" s="79"/>
      <c r="AF913" s="79"/>
      <c r="AG913" s="79"/>
      <c r="AH913" s="79"/>
      <c r="AI913" s="53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</row>
    <row r="914" spans="1:110" ht="13.8" x14ac:dyDescent="0.25">
      <c r="A914" s="24">
        <v>1702007</v>
      </c>
      <c r="B914" s="26" t="s">
        <v>956</v>
      </c>
      <c r="C914" s="38" t="s">
        <v>1471</v>
      </c>
      <c r="D914" s="26"/>
      <c r="E914" s="10" t="s">
        <v>1457</v>
      </c>
      <c r="F914" s="10" t="s">
        <v>557</v>
      </c>
      <c r="G914" s="55" t="str">
        <f t="shared" si="21"/>
        <v>Obsolete</v>
      </c>
      <c r="H914" s="10"/>
      <c r="I914" s="13"/>
      <c r="J914" s="56"/>
      <c r="K914" s="57"/>
      <c r="M914" s="10"/>
      <c r="N914" s="10"/>
      <c r="O914" s="29"/>
      <c r="P914" s="29"/>
      <c r="Q914" s="29"/>
      <c r="R914" s="29"/>
      <c r="S914" s="29"/>
      <c r="T914" s="72"/>
      <c r="U914" s="97" t="s">
        <v>54</v>
      </c>
      <c r="V914" s="97"/>
      <c r="W914" s="97" t="s">
        <v>54</v>
      </c>
      <c r="X914" s="97"/>
      <c r="Y914" s="97"/>
      <c r="Z914" s="87"/>
      <c r="AA914" s="79" t="s">
        <v>1457</v>
      </c>
      <c r="AB914" s="79" t="s">
        <v>37</v>
      </c>
      <c r="AC914" s="79" t="s">
        <v>37</v>
      </c>
      <c r="AD914" s="79"/>
      <c r="AE914" s="79"/>
      <c r="AF914" s="79"/>
      <c r="AG914" s="79"/>
      <c r="AH914" s="79"/>
      <c r="AI914" s="53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</row>
    <row r="915" spans="1:110" ht="13.8" x14ac:dyDescent="0.25">
      <c r="A915" s="24">
        <v>1702008</v>
      </c>
      <c r="B915" s="26" t="s">
        <v>956</v>
      </c>
      <c r="C915" s="20" t="s">
        <v>1472</v>
      </c>
      <c r="D915" s="26"/>
      <c r="E915" s="10" t="s">
        <v>1457</v>
      </c>
      <c r="F915" s="10" t="s">
        <v>557</v>
      </c>
      <c r="G915" s="55" t="str">
        <f t="shared" si="21"/>
        <v>Obsolete</v>
      </c>
      <c r="H915" s="10"/>
      <c r="I915" s="13"/>
      <c r="J915" s="56"/>
      <c r="K915" s="57"/>
      <c r="M915" s="10"/>
      <c r="N915" s="10"/>
      <c r="O915" s="29"/>
      <c r="P915" s="29"/>
      <c r="Q915" s="29"/>
      <c r="R915" s="29"/>
      <c r="S915" s="29"/>
      <c r="T915" s="72"/>
      <c r="U915" s="97" t="s">
        <v>54</v>
      </c>
      <c r="V915" s="97"/>
      <c r="W915" s="97" t="s">
        <v>54</v>
      </c>
      <c r="X915" s="97"/>
      <c r="Y915" s="97"/>
      <c r="Z915" s="87"/>
      <c r="AA915" s="79" t="s">
        <v>1457</v>
      </c>
      <c r="AB915" s="79" t="s">
        <v>37</v>
      </c>
      <c r="AC915" s="79" t="s">
        <v>37</v>
      </c>
      <c r="AD915" s="79"/>
      <c r="AE915" s="79"/>
      <c r="AF915" s="79"/>
      <c r="AG915" s="79"/>
      <c r="AH915" s="79"/>
      <c r="AI915" s="53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</row>
    <row r="916" spans="1:110" ht="13.8" x14ac:dyDescent="0.25">
      <c r="A916" s="24">
        <v>1702009</v>
      </c>
      <c r="B916" s="26" t="s">
        <v>956</v>
      </c>
      <c r="C916" s="47" t="s">
        <v>1473</v>
      </c>
      <c r="D916" s="26"/>
      <c r="E916" s="10" t="s">
        <v>1457</v>
      </c>
      <c r="F916" s="10" t="s">
        <v>557</v>
      </c>
      <c r="G916" s="55" t="str">
        <f t="shared" si="21"/>
        <v>Obsolete</v>
      </c>
      <c r="H916" s="10"/>
      <c r="I916" s="13"/>
      <c r="J916" s="56"/>
      <c r="K916" s="57"/>
      <c r="M916" s="10"/>
      <c r="N916" s="10"/>
      <c r="O916" s="29"/>
      <c r="P916" s="29"/>
      <c r="Q916" s="29"/>
      <c r="R916" s="29"/>
      <c r="S916" s="29"/>
      <c r="T916" s="72"/>
      <c r="U916" s="97" t="s">
        <v>54</v>
      </c>
      <c r="V916" s="97"/>
      <c r="W916" s="97" t="s">
        <v>54</v>
      </c>
      <c r="X916" s="97"/>
      <c r="Y916" s="97"/>
      <c r="Z916" s="87"/>
      <c r="AA916" s="79" t="s">
        <v>1457</v>
      </c>
      <c r="AB916" s="79" t="s">
        <v>37</v>
      </c>
      <c r="AC916" s="79" t="s">
        <v>37</v>
      </c>
      <c r="AD916" s="79"/>
      <c r="AE916" s="79"/>
      <c r="AF916" s="79"/>
      <c r="AG916" s="79"/>
      <c r="AH916" s="79"/>
      <c r="AI916" s="53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</row>
    <row r="917" spans="1:110" ht="13.8" x14ac:dyDescent="0.25">
      <c r="A917" s="24">
        <v>1702010</v>
      </c>
      <c r="B917" s="26" t="s">
        <v>956</v>
      </c>
      <c r="C917" s="47" t="s">
        <v>1474</v>
      </c>
      <c r="D917" s="26"/>
      <c r="E917" s="10" t="s">
        <v>1457</v>
      </c>
      <c r="F917" s="10" t="s">
        <v>557</v>
      </c>
      <c r="G917" s="55" t="str">
        <f t="shared" si="21"/>
        <v>Obsolete</v>
      </c>
      <c r="H917" s="10"/>
      <c r="I917" s="13"/>
      <c r="J917" s="56"/>
      <c r="K917" s="57"/>
      <c r="M917" s="10"/>
      <c r="N917" s="10"/>
      <c r="O917" s="29"/>
      <c r="P917" s="29"/>
      <c r="Q917" s="29"/>
      <c r="R917" s="29"/>
      <c r="S917" s="29"/>
      <c r="T917" s="72"/>
      <c r="U917" s="97" t="s">
        <v>54</v>
      </c>
      <c r="V917" s="97"/>
      <c r="W917" s="97" t="s">
        <v>54</v>
      </c>
      <c r="X917" s="97"/>
      <c r="Y917" s="97"/>
      <c r="Z917" s="87"/>
      <c r="AA917" s="79" t="s">
        <v>1457</v>
      </c>
      <c r="AB917" s="79" t="s">
        <v>37</v>
      </c>
      <c r="AC917" s="79" t="s">
        <v>37</v>
      </c>
      <c r="AD917" s="79"/>
      <c r="AE917" s="79"/>
      <c r="AF917" s="79"/>
      <c r="AG917" s="79"/>
      <c r="AH917" s="79"/>
      <c r="AI917" s="53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</row>
    <row r="918" spans="1:110" ht="13.8" x14ac:dyDescent="0.25">
      <c r="A918" s="24">
        <v>1702011</v>
      </c>
      <c r="B918" s="26" t="s">
        <v>956</v>
      </c>
      <c r="C918" s="47" t="s">
        <v>1475</v>
      </c>
      <c r="D918" s="26"/>
      <c r="E918" s="10" t="s">
        <v>1457</v>
      </c>
      <c r="F918" s="10" t="s">
        <v>557</v>
      </c>
      <c r="G918" s="55" t="str">
        <f t="shared" si="21"/>
        <v>Obsolete</v>
      </c>
      <c r="H918" s="10"/>
      <c r="I918" s="13"/>
      <c r="J918" s="56"/>
      <c r="K918" s="57"/>
      <c r="M918" s="10"/>
      <c r="N918" s="10"/>
      <c r="O918" s="29"/>
      <c r="P918" s="29"/>
      <c r="Q918" s="29"/>
      <c r="R918" s="29"/>
      <c r="S918" s="29"/>
      <c r="T918" s="72"/>
      <c r="U918" s="97" t="s">
        <v>54</v>
      </c>
      <c r="V918" s="97"/>
      <c r="W918" s="97" t="s">
        <v>54</v>
      </c>
      <c r="X918" s="97"/>
      <c r="Y918" s="97"/>
      <c r="Z918" s="87"/>
      <c r="AA918" s="79" t="s">
        <v>1457</v>
      </c>
      <c r="AB918" s="79" t="s">
        <v>37</v>
      </c>
      <c r="AC918" s="79" t="s">
        <v>37</v>
      </c>
      <c r="AD918" s="79"/>
      <c r="AE918" s="79"/>
      <c r="AF918" s="79"/>
      <c r="AG918" s="79"/>
      <c r="AH918" s="79"/>
      <c r="AI918" s="53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</row>
    <row r="919" spans="1:110" ht="13.8" x14ac:dyDescent="0.25">
      <c r="A919" s="24">
        <v>1702012</v>
      </c>
      <c r="B919" s="26" t="s">
        <v>956</v>
      </c>
      <c r="C919" s="47" t="s">
        <v>1476</v>
      </c>
      <c r="D919" s="26"/>
      <c r="E919" s="10" t="s">
        <v>1457</v>
      </c>
      <c r="F919" s="10" t="s">
        <v>557</v>
      </c>
      <c r="G919" s="55" t="str">
        <f t="shared" si="21"/>
        <v>Obsolete</v>
      </c>
      <c r="H919" s="10"/>
      <c r="I919" s="13"/>
      <c r="J919" s="56"/>
      <c r="K919" s="57"/>
      <c r="M919" s="10"/>
      <c r="N919" s="10"/>
      <c r="O919" s="29"/>
      <c r="P919" s="29"/>
      <c r="Q919" s="29"/>
      <c r="R919" s="29"/>
      <c r="S919" s="29"/>
      <c r="T919" s="72"/>
      <c r="U919" s="97" t="s">
        <v>54</v>
      </c>
      <c r="V919" s="97"/>
      <c r="W919" s="97" t="s">
        <v>54</v>
      </c>
      <c r="X919" s="97"/>
      <c r="Y919" s="97"/>
      <c r="Z919" s="87"/>
      <c r="AA919" s="79" t="s">
        <v>1457</v>
      </c>
      <c r="AB919" s="79" t="s">
        <v>37</v>
      </c>
      <c r="AC919" s="79" t="s">
        <v>37</v>
      </c>
      <c r="AD919" s="79"/>
      <c r="AE919" s="79"/>
      <c r="AF919" s="79"/>
      <c r="AG919" s="79"/>
      <c r="AH919" s="79"/>
      <c r="AI919" s="53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</row>
    <row r="920" spans="1:110" ht="13.8" x14ac:dyDescent="0.25">
      <c r="A920" s="24">
        <v>1702013</v>
      </c>
      <c r="B920" s="26" t="s">
        <v>956</v>
      </c>
      <c r="C920" s="46" t="s">
        <v>1477</v>
      </c>
      <c r="D920" s="26"/>
      <c r="E920" s="10" t="s">
        <v>1457</v>
      </c>
      <c r="F920" s="10" t="s">
        <v>557</v>
      </c>
      <c r="G920" s="55" t="str">
        <f t="shared" si="21"/>
        <v>Obsolete</v>
      </c>
      <c r="H920" s="10"/>
      <c r="I920" s="13"/>
      <c r="J920" s="56"/>
      <c r="K920" s="57"/>
      <c r="M920" s="10"/>
      <c r="N920" s="10"/>
      <c r="O920" s="29"/>
      <c r="P920" s="29"/>
      <c r="Q920" s="29"/>
      <c r="R920" s="29"/>
      <c r="S920" s="29"/>
      <c r="T920" s="72"/>
      <c r="U920" s="97" t="s">
        <v>54</v>
      </c>
      <c r="V920" s="97"/>
      <c r="W920" s="97" t="s">
        <v>54</v>
      </c>
      <c r="X920" s="97"/>
      <c r="Y920" s="97"/>
      <c r="Z920" s="87"/>
      <c r="AA920" s="79" t="s">
        <v>1457</v>
      </c>
      <c r="AB920" s="79" t="s">
        <v>37</v>
      </c>
      <c r="AC920" s="79" t="s">
        <v>37</v>
      </c>
      <c r="AD920" s="79"/>
      <c r="AE920" s="79"/>
      <c r="AF920" s="79"/>
      <c r="AG920" s="79"/>
      <c r="AH920" s="79"/>
      <c r="AI920" s="53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</row>
    <row r="921" spans="1:110" ht="13.8" x14ac:dyDescent="0.25">
      <c r="A921" s="24">
        <v>1702014</v>
      </c>
      <c r="B921" s="26" t="s">
        <v>956</v>
      </c>
      <c r="C921" s="46" t="s">
        <v>1478</v>
      </c>
      <c r="D921" s="26"/>
      <c r="E921" s="10" t="s">
        <v>1457</v>
      </c>
      <c r="F921" s="10" t="s">
        <v>557</v>
      </c>
      <c r="G921" s="55" t="str">
        <f t="shared" si="21"/>
        <v>Obsolete</v>
      </c>
      <c r="H921" s="10"/>
      <c r="I921" s="13"/>
      <c r="J921" s="56"/>
      <c r="K921" s="57"/>
      <c r="M921" s="10"/>
      <c r="N921" s="10"/>
      <c r="O921" s="29"/>
      <c r="P921" s="29"/>
      <c r="Q921" s="29"/>
      <c r="R921" s="29"/>
      <c r="S921" s="29"/>
      <c r="T921" s="72"/>
      <c r="U921" s="97" t="s">
        <v>54</v>
      </c>
      <c r="V921" s="97"/>
      <c r="W921" s="97" t="s">
        <v>54</v>
      </c>
      <c r="X921" s="97"/>
      <c r="Y921" s="97"/>
      <c r="Z921" s="87"/>
      <c r="AA921" s="79" t="s">
        <v>1457</v>
      </c>
      <c r="AB921" s="79" t="s">
        <v>37</v>
      </c>
      <c r="AC921" s="79" t="s">
        <v>37</v>
      </c>
      <c r="AD921" s="79"/>
      <c r="AE921" s="79"/>
      <c r="AF921" s="79"/>
      <c r="AG921" s="79"/>
      <c r="AH921" s="79"/>
      <c r="AI921" s="53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</row>
    <row r="922" spans="1:110" ht="13.8" x14ac:dyDescent="0.25">
      <c r="A922" s="24">
        <v>1702015</v>
      </c>
      <c r="B922" s="26" t="s">
        <v>956</v>
      </c>
      <c r="C922" s="46" t="s">
        <v>1479</v>
      </c>
      <c r="D922" s="26"/>
      <c r="E922" s="10" t="s">
        <v>1457</v>
      </c>
      <c r="F922" s="10" t="s">
        <v>557</v>
      </c>
      <c r="G922" s="55" t="str">
        <f t="shared" si="21"/>
        <v>Obsolete</v>
      </c>
      <c r="H922" s="10"/>
      <c r="I922" s="13"/>
      <c r="J922" s="56"/>
      <c r="K922" s="57"/>
      <c r="M922" s="10"/>
      <c r="N922" s="10"/>
      <c r="O922" s="29"/>
      <c r="P922" s="29"/>
      <c r="Q922" s="29"/>
      <c r="R922" s="29"/>
      <c r="S922" s="29"/>
      <c r="T922" s="72"/>
      <c r="U922" s="97" t="s">
        <v>54</v>
      </c>
      <c r="V922" s="97"/>
      <c r="W922" s="97" t="s">
        <v>54</v>
      </c>
      <c r="X922" s="97"/>
      <c r="Y922" s="97"/>
      <c r="Z922" s="87"/>
      <c r="AA922" s="79" t="s">
        <v>1457</v>
      </c>
      <c r="AB922" s="79" t="s">
        <v>37</v>
      </c>
      <c r="AC922" s="79" t="s">
        <v>37</v>
      </c>
      <c r="AD922" s="79"/>
      <c r="AE922" s="79"/>
      <c r="AF922" s="79"/>
      <c r="AG922" s="79"/>
      <c r="AH922" s="79"/>
      <c r="AI922" s="53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</row>
    <row r="923" spans="1:110" ht="13.8" x14ac:dyDescent="0.25">
      <c r="A923" s="24">
        <v>1702016</v>
      </c>
      <c r="B923" s="26" t="s">
        <v>956</v>
      </c>
      <c r="C923" s="46" t="s">
        <v>1480</v>
      </c>
      <c r="D923" s="26"/>
      <c r="E923" s="10" t="s">
        <v>1457</v>
      </c>
      <c r="F923" s="10" t="s">
        <v>557</v>
      </c>
      <c r="G923" s="55" t="str">
        <f t="shared" si="21"/>
        <v>Obsolete</v>
      </c>
      <c r="H923" s="10"/>
      <c r="I923" s="13"/>
      <c r="J923" s="56"/>
      <c r="K923" s="57"/>
      <c r="M923" s="10"/>
      <c r="N923" s="10"/>
      <c r="O923" s="29"/>
      <c r="P923" s="29"/>
      <c r="Q923" s="29"/>
      <c r="R923" s="29"/>
      <c r="S923" s="29"/>
      <c r="T923" s="72"/>
      <c r="U923" s="97" t="s">
        <v>54</v>
      </c>
      <c r="V923" s="97"/>
      <c r="W923" s="97" t="s">
        <v>54</v>
      </c>
      <c r="X923" s="97"/>
      <c r="Y923" s="97"/>
      <c r="Z923" s="87"/>
      <c r="AA923" s="79" t="s">
        <v>1457</v>
      </c>
      <c r="AB923" s="79" t="s">
        <v>37</v>
      </c>
      <c r="AC923" s="79" t="s">
        <v>37</v>
      </c>
      <c r="AD923" s="79"/>
      <c r="AE923" s="79"/>
      <c r="AF923" s="79"/>
      <c r="AG923" s="79"/>
      <c r="AH923" s="79"/>
      <c r="AI923" s="53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</row>
    <row r="924" spans="1:110" ht="13.8" x14ac:dyDescent="0.25">
      <c r="A924" s="24">
        <v>1702017</v>
      </c>
      <c r="B924" s="26" t="s">
        <v>956</v>
      </c>
      <c r="C924" s="47" t="s">
        <v>1481</v>
      </c>
      <c r="D924" s="26"/>
      <c r="E924" s="10" t="s">
        <v>1457</v>
      </c>
      <c r="F924" s="10" t="s">
        <v>557</v>
      </c>
      <c r="G924" s="55" t="str">
        <f t="shared" si="21"/>
        <v>Obsolete</v>
      </c>
      <c r="H924" s="10"/>
      <c r="I924" s="13"/>
      <c r="J924" s="56"/>
      <c r="K924" s="57"/>
      <c r="M924" s="10"/>
      <c r="N924" s="10"/>
      <c r="O924" s="29"/>
      <c r="P924" s="29"/>
      <c r="Q924" s="29"/>
      <c r="R924" s="29"/>
      <c r="S924" s="29"/>
      <c r="T924" s="72"/>
      <c r="U924" s="97" t="s">
        <v>54</v>
      </c>
      <c r="V924" s="97"/>
      <c r="W924" s="97" t="s">
        <v>54</v>
      </c>
      <c r="X924" s="97"/>
      <c r="Y924" s="97"/>
      <c r="Z924" s="87"/>
      <c r="AA924" s="79" t="s">
        <v>1457</v>
      </c>
      <c r="AB924" s="79" t="s">
        <v>37</v>
      </c>
      <c r="AC924" s="79" t="s">
        <v>37</v>
      </c>
      <c r="AD924" s="79"/>
      <c r="AE924" s="79"/>
      <c r="AF924" s="79"/>
      <c r="AG924" s="79"/>
      <c r="AH924" s="79"/>
      <c r="AI924" s="53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</row>
    <row r="925" spans="1:110" ht="13.8" x14ac:dyDescent="0.25">
      <c r="A925" s="24">
        <v>1702018</v>
      </c>
      <c r="B925" s="26" t="s">
        <v>956</v>
      </c>
      <c r="C925" s="47" t="s">
        <v>1482</v>
      </c>
      <c r="D925" s="26"/>
      <c r="E925" s="10" t="s">
        <v>1457</v>
      </c>
      <c r="F925" s="10" t="s">
        <v>557</v>
      </c>
      <c r="G925" s="55" t="str">
        <f t="shared" si="21"/>
        <v>Obsolete</v>
      </c>
      <c r="H925" s="10"/>
      <c r="I925" s="13"/>
      <c r="J925" s="56"/>
      <c r="K925" s="57"/>
      <c r="M925" s="10"/>
      <c r="N925" s="10"/>
      <c r="O925" s="29"/>
      <c r="P925" s="29"/>
      <c r="Q925" s="29"/>
      <c r="R925" s="29"/>
      <c r="S925" s="29"/>
      <c r="T925" s="72"/>
      <c r="U925" s="97" t="s">
        <v>54</v>
      </c>
      <c r="V925" s="97"/>
      <c r="W925" s="97" t="s">
        <v>54</v>
      </c>
      <c r="X925" s="97"/>
      <c r="Y925" s="97"/>
      <c r="Z925" s="87"/>
      <c r="AA925" s="79" t="s">
        <v>1457</v>
      </c>
      <c r="AB925" s="79" t="s">
        <v>37</v>
      </c>
      <c r="AC925" s="79" t="s">
        <v>37</v>
      </c>
      <c r="AD925" s="79"/>
      <c r="AE925" s="79"/>
      <c r="AF925" s="79"/>
      <c r="AG925" s="79"/>
      <c r="AH925" s="79" t="s">
        <v>29</v>
      </c>
      <c r="AI925" s="53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</row>
    <row r="926" spans="1:110" ht="13.8" x14ac:dyDescent="0.25">
      <c r="A926" s="24">
        <v>1702019</v>
      </c>
      <c r="B926" s="26" t="s">
        <v>956</v>
      </c>
      <c r="C926" s="47" t="s">
        <v>1483</v>
      </c>
      <c r="D926" s="26"/>
      <c r="E926" s="10" t="s">
        <v>1457</v>
      </c>
      <c r="F926" s="10" t="s">
        <v>557</v>
      </c>
      <c r="G926" s="55" t="str">
        <f t="shared" si="21"/>
        <v>Obsolete</v>
      </c>
      <c r="H926" s="10"/>
      <c r="I926" s="13"/>
      <c r="J926" s="56"/>
      <c r="K926" s="57"/>
      <c r="M926" s="10"/>
      <c r="N926" s="10"/>
      <c r="O926" s="29"/>
      <c r="P926" s="29"/>
      <c r="Q926" s="29"/>
      <c r="R926" s="29"/>
      <c r="S926" s="29"/>
      <c r="T926" s="72"/>
      <c r="U926" s="97" t="s">
        <v>54</v>
      </c>
      <c r="V926" s="97"/>
      <c r="W926" s="97" t="s">
        <v>54</v>
      </c>
      <c r="X926" s="97"/>
      <c r="Y926" s="97"/>
      <c r="Z926" s="87"/>
      <c r="AA926" s="79"/>
      <c r="AB926" s="79"/>
      <c r="AC926" s="79" t="s">
        <v>37</v>
      </c>
      <c r="AD926" s="79"/>
      <c r="AE926" s="79"/>
      <c r="AF926" s="79"/>
      <c r="AG926" s="79"/>
      <c r="AH926" s="79" t="s">
        <v>29</v>
      </c>
      <c r="AI926" s="53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</row>
    <row r="927" spans="1:110" ht="13.8" x14ac:dyDescent="0.25">
      <c r="A927" s="24">
        <v>1702020</v>
      </c>
      <c r="B927" s="26" t="s">
        <v>956</v>
      </c>
      <c r="C927" s="47" t="s">
        <v>1484</v>
      </c>
      <c r="D927" s="26"/>
      <c r="E927" s="10" t="s">
        <v>1457</v>
      </c>
      <c r="F927" s="10" t="s">
        <v>557</v>
      </c>
      <c r="G927" s="55" t="str">
        <f t="shared" si="21"/>
        <v>Obsolete</v>
      </c>
      <c r="H927" s="10"/>
      <c r="I927" s="13"/>
      <c r="J927" s="56"/>
      <c r="K927" s="57"/>
      <c r="M927" s="10"/>
      <c r="N927" s="10"/>
      <c r="O927" s="29"/>
      <c r="P927" s="29"/>
      <c r="Q927" s="29"/>
      <c r="R927" s="29"/>
      <c r="S927" s="29"/>
      <c r="T927" s="72"/>
      <c r="U927" s="97" t="s">
        <v>54</v>
      </c>
      <c r="V927" s="97"/>
      <c r="W927" s="97" t="s">
        <v>54</v>
      </c>
      <c r="X927" s="97"/>
      <c r="Y927" s="97"/>
      <c r="Z927" s="87"/>
      <c r="AA927" s="79"/>
      <c r="AB927" s="79"/>
      <c r="AC927" s="79" t="s">
        <v>37</v>
      </c>
      <c r="AD927" s="79"/>
      <c r="AE927" s="79"/>
      <c r="AF927" s="79"/>
      <c r="AG927" s="79"/>
      <c r="AH927" s="79"/>
      <c r="AI927" s="53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</row>
    <row r="928" spans="1:110" ht="13.8" x14ac:dyDescent="0.25">
      <c r="A928" s="24">
        <v>1702021</v>
      </c>
      <c r="B928" s="26" t="s">
        <v>956</v>
      </c>
      <c r="C928" s="47" t="s">
        <v>1485</v>
      </c>
      <c r="D928" s="26"/>
      <c r="E928" s="10" t="s">
        <v>1457</v>
      </c>
      <c r="F928" s="10" t="s">
        <v>557</v>
      </c>
      <c r="G928" s="55" t="str">
        <f t="shared" si="21"/>
        <v>Obsolete</v>
      </c>
      <c r="H928" s="10"/>
      <c r="I928" s="13"/>
      <c r="J928" s="56"/>
      <c r="K928" s="57"/>
      <c r="M928" s="10"/>
      <c r="N928" s="10"/>
      <c r="O928" s="29"/>
      <c r="P928" s="29"/>
      <c r="Q928" s="29"/>
      <c r="R928" s="29"/>
      <c r="S928" s="29"/>
      <c r="T928" s="72"/>
      <c r="U928" s="97" t="s">
        <v>54</v>
      </c>
      <c r="V928" s="97"/>
      <c r="W928" s="97" t="s">
        <v>54</v>
      </c>
      <c r="X928" s="97"/>
      <c r="Y928" s="97"/>
      <c r="Z928" s="87"/>
      <c r="AA928" s="79"/>
      <c r="AB928" s="79"/>
      <c r="AC928" s="79" t="s">
        <v>37</v>
      </c>
      <c r="AD928" s="79"/>
      <c r="AE928" s="79"/>
      <c r="AF928" s="79"/>
      <c r="AG928" s="79"/>
      <c r="AH928" s="79"/>
      <c r="AI928" s="53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</row>
    <row r="929" spans="1:110" ht="13.8" x14ac:dyDescent="0.25">
      <c r="A929" s="24">
        <v>1702022</v>
      </c>
      <c r="B929" s="26" t="s">
        <v>956</v>
      </c>
      <c r="C929" s="47" t="s">
        <v>1486</v>
      </c>
      <c r="D929" s="26"/>
      <c r="E929" s="10" t="s">
        <v>1457</v>
      </c>
      <c r="F929" s="10" t="s">
        <v>557</v>
      </c>
      <c r="G929" s="55" t="str">
        <f t="shared" si="21"/>
        <v>Obsolete</v>
      </c>
      <c r="H929" s="10"/>
      <c r="I929" s="13"/>
      <c r="J929" s="56"/>
      <c r="K929" s="57"/>
      <c r="M929" s="10"/>
      <c r="N929" s="10"/>
      <c r="O929" s="29"/>
      <c r="P929" s="29"/>
      <c r="Q929" s="29"/>
      <c r="R929" s="29"/>
      <c r="S929" s="29"/>
      <c r="T929" s="72"/>
      <c r="U929" s="97" t="s">
        <v>54</v>
      </c>
      <c r="V929" s="97"/>
      <c r="W929" s="97" t="s">
        <v>54</v>
      </c>
      <c r="X929" s="97"/>
      <c r="Y929" s="97"/>
      <c r="Z929" s="87"/>
      <c r="AA929" s="79"/>
      <c r="AB929" s="79"/>
      <c r="AC929" s="79" t="s">
        <v>37</v>
      </c>
      <c r="AD929" s="79"/>
      <c r="AE929" s="79"/>
      <c r="AF929" s="79"/>
      <c r="AG929" s="79"/>
      <c r="AH929" s="79"/>
      <c r="AI929" s="53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</row>
    <row r="930" spans="1:110" ht="13.8" x14ac:dyDescent="0.25">
      <c r="A930" s="24">
        <v>1703001</v>
      </c>
      <c r="B930" s="24" t="s">
        <v>1211</v>
      </c>
      <c r="C930" s="38" t="s">
        <v>1487</v>
      </c>
      <c r="D930" s="26"/>
      <c r="E930" s="10" t="s">
        <v>1457</v>
      </c>
      <c r="F930" s="10" t="s">
        <v>557</v>
      </c>
      <c r="G930" s="55" t="str">
        <f t="shared" si="21"/>
        <v>Obsolete</v>
      </c>
      <c r="H930" s="10"/>
      <c r="I930" s="13"/>
      <c r="J930" s="56"/>
      <c r="K930" s="57"/>
      <c r="M930" s="10"/>
      <c r="N930" s="10"/>
      <c r="O930" s="29"/>
      <c r="P930" s="29"/>
      <c r="Q930" s="29"/>
      <c r="R930" s="29"/>
      <c r="S930" s="29"/>
      <c r="T930" s="72"/>
      <c r="U930" s="97" t="s">
        <v>54</v>
      </c>
      <c r="V930" s="97"/>
      <c r="W930" s="97" t="s">
        <v>54</v>
      </c>
      <c r="X930" s="97"/>
      <c r="Y930" s="97"/>
      <c r="Z930" s="87"/>
      <c r="AA930" s="79" t="s">
        <v>1457</v>
      </c>
      <c r="AB930" s="79" t="s">
        <v>37</v>
      </c>
      <c r="AC930" s="79" t="s">
        <v>37</v>
      </c>
      <c r="AD930" s="79"/>
      <c r="AE930" s="79"/>
      <c r="AF930" s="79"/>
      <c r="AG930" s="79"/>
      <c r="AH930" s="79"/>
      <c r="AI930" s="53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</row>
    <row r="931" spans="1:110" ht="13.8" x14ac:dyDescent="0.25">
      <c r="A931" s="32">
        <v>1703004</v>
      </c>
      <c r="B931" s="32" t="s">
        <v>1211</v>
      </c>
      <c r="C931" s="47" t="s">
        <v>1488</v>
      </c>
      <c r="D931" s="26"/>
      <c r="E931" s="10" t="s">
        <v>1457</v>
      </c>
      <c r="F931" s="10" t="s">
        <v>557</v>
      </c>
      <c r="G931" s="55" t="str">
        <f t="shared" si="21"/>
        <v>Obsolete</v>
      </c>
      <c r="H931" s="10"/>
      <c r="I931" s="13"/>
      <c r="J931" s="56"/>
      <c r="K931" s="57"/>
      <c r="M931" s="10"/>
      <c r="N931" s="10"/>
      <c r="O931" s="29"/>
      <c r="P931" s="29"/>
      <c r="Q931" s="29"/>
      <c r="R931" s="29"/>
      <c r="S931" s="29"/>
      <c r="T931" s="72"/>
      <c r="U931" s="97" t="s">
        <v>54</v>
      </c>
      <c r="V931" s="97"/>
      <c r="W931" s="97" t="s">
        <v>54</v>
      </c>
      <c r="X931" s="97"/>
      <c r="Y931" s="97"/>
      <c r="Z931" s="87"/>
      <c r="AA931" s="79" t="s">
        <v>1457</v>
      </c>
      <c r="AB931" s="79" t="s">
        <v>37</v>
      </c>
      <c r="AC931" s="79" t="s">
        <v>37</v>
      </c>
      <c r="AD931" s="79"/>
      <c r="AE931" s="79"/>
      <c r="AF931" s="79"/>
      <c r="AG931" s="79"/>
      <c r="AH931" s="79"/>
      <c r="AI931" s="53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</row>
    <row r="932" spans="1:110" ht="13.8" x14ac:dyDescent="0.25">
      <c r="A932" s="10" t="s">
        <v>1489</v>
      </c>
      <c r="B932" s="11" t="s">
        <v>30</v>
      </c>
      <c r="C932" s="12" t="s">
        <v>1490</v>
      </c>
      <c r="D932" s="11" t="s">
        <v>43</v>
      </c>
      <c r="E932" s="10" t="s">
        <v>1491</v>
      </c>
      <c r="F932" s="10" t="s">
        <v>34</v>
      </c>
      <c r="G932" s="55">
        <f t="shared" si="21"/>
        <v>0</v>
      </c>
      <c r="H932" s="10">
        <v>1</v>
      </c>
      <c r="I932" s="13"/>
      <c r="J932" s="56"/>
      <c r="K932" s="57"/>
      <c r="M932" s="14"/>
      <c r="N932" s="14"/>
      <c r="O932" s="14"/>
      <c r="P932" s="14"/>
      <c r="Q932" s="14"/>
      <c r="R932" s="14"/>
      <c r="S932" s="14"/>
      <c r="T932" s="70"/>
      <c r="U932" s="76">
        <v>0</v>
      </c>
      <c r="V932" s="76">
        <v>0</v>
      </c>
      <c r="W932" s="76">
        <v>0</v>
      </c>
      <c r="X932" s="76">
        <v>0</v>
      </c>
      <c r="Y932" s="77"/>
      <c r="Z932" s="78"/>
      <c r="AA932" s="79" t="s">
        <v>36</v>
      </c>
      <c r="AB932" s="79" t="s">
        <v>35</v>
      </c>
      <c r="AC932" s="79" t="s">
        <v>37</v>
      </c>
      <c r="AD932" s="79"/>
      <c r="AE932" s="79"/>
      <c r="AF932" s="79"/>
      <c r="AG932" s="83"/>
      <c r="AH932" s="79"/>
      <c r="AI932" s="53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</row>
    <row r="933" spans="1:110" ht="13.8" x14ac:dyDescent="0.25">
      <c r="A933" s="10" t="s">
        <v>1496</v>
      </c>
      <c r="B933" s="11" t="s">
        <v>30</v>
      </c>
      <c r="C933" s="12" t="s">
        <v>1497</v>
      </c>
      <c r="D933" s="11" t="s">
        <v>66</v>
      </c>
      <c r="E933" s="10" t="s">
        <v>1491</v>
      </c>
      <c r="F933" s="10" t="s">
        <v>34</v>
      </c>
      <c r="G933" s="55">
        <f t="shared" si="21"/>
        <v>0</v>
      </c>
      <c r="H933" s="10"/>
      <c r="I933" s="13"/>
      <c r="J933" s="56"/>
      <c r="K933" s="57"/>
      <c r="M933" s="14"/>
      <c r="N933" s="14"/>
      <c r="O933" s="14"/>
      <c r="P933" s="14"/>
      <c r="Q933" s="14"/>
      <c r="R933" s="14"/>
      <c r="S933" s="14"/>
      <c r="T933" s="70"/>
      <c r="U933" s="76">
        <v>0</v>
      </c>
      <c r="V933" s="76"/>
      <c r="W933" s="76"/>
      <c r="X933" s="77"/>
      <c r="Y933" s="78"/>
      <c r="Z933" s="79"/>
      <c r="AA933" s="79" t="s">
        <v>468</v>
      </c>
      <c r="AB933" s="79" t="s">
        <v>35</v>
      </c>
      <c r="AC933" s="79" t="s">
        <v>37</v>
      </c>
      <c r="AD933" s="79"/>
      <c r="AE933" s="79"/>
      <c r="AF933" s="79"/>
      <c r="AG933" s="83"/>
      <c r="AH933" s="79"/>
      <c r="AI933" s="53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</row>
    <row r="934" spans="1:110" ht="13.8" x14ac:dyDescent="0.25">
      <c r="A934" s="10" t="s">
        <v>1498</v>
      </c>
      <c r="B934" s="11" t="s">
        <v>30</v>
      </c>
      <c r="C934" s="12" t="s">
        <v>1499</v>
      </c>
      <c r="D934" s="11" t="s">
        <v>66</v>
      </c>
      <c r="E934" s="10" t="s">
        <v>1491</v>
      </c>
      <c r="F934" s="10" t="s">
        <v>34</v>
      </c>
      <c r="G934" s="55">
        <f t="shared" si="21"/>
        <v>0</v>
      </c>
      <c r="H934" s="10"/>
      <c r="I934" s="13"/>
      <c r="J934" s="56"/>
      <c r="K934" s="57"/>
      <c r="M934" s="14"/>
      <c r="N934" s="14"/>
      <c r="O934" s="14"/>
      <c r="P934" s="14"/>
      <c r="Q934" s="14"/>
      <c r="R934" s="14"/>
      <c r="S934" s="14"/>
      <c r="T934" s="70"/>
      <c r="U934" s="76">
        <v>0</v>
      </c>
      <c r="V934" s="76"/>
      <c r="W934" s="77"/>
      <c r="X934" s="78"/>
      <c r="Y934" s="79"/>
      <c r="Z934" s="79"/>
      <c r="AA934" s="79" t="s">
        <v>468</v>
      </c>
      <c r="AB934" s="79" t="s">
        <v>35</v>
      </c>
      <c r="AC934" s="79" t="s">
        <v>37</v>
      </c>
      <c r="AD934" s="79"/>
      <c r="AE934" s="83"/>
      <c r="AF934" s="79"/>
      <c r="AG934" s="83"/>
      <c r="AH934" s="79"/>
      <c r="AI934" s="53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</row>
    <row r="935" spans="1:110" x14ac:dyDescent="0.25">
      <c r="A935" s="7"/>
      <c r="B935" s="7"/>
      <c r="C935" s="48"/>
      <c r="D935" s="7"/>
      <c r="E935" s="7"/>
      <c r="F935" s="7"/>
      <c r="G935" s="49"/>
      <c r="H935" s="7"/>
      <c r="I935" s="50"/>
      <c r="J935" s="49"/>
      <c r="K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51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</row>
    <row r="936" spans="1:110" x14ac:dyDescent="0.25">
      <c r="A936" s="7"/>
      <c r="B936" s="7"/>
      <c r="C936" s="48"/>
      <c r="D936" s="7"/>
      <c r="E936" s="7"/>
      <c r="F936" s="7"/>
      <c r="G936" s="49"/>
      <c r="H936" s="7"/>
      <c r="I936" s="50"/>
      <c r="J936" s="49"/>
      <c r="K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123"/>
      <c r="Z936" s="51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</row>
    <row r="937" spans="1:110" x14ac:dyDescent="0.25">
      <c r="A937" s="7"/>
      <c r="B937" s="7"/>
      <c r="C937" s="48"/>
      <c r="D937" s="7"/>
      <c r="E937" s="7"/>
      <c r="F937" s="7"/>
      <c r="G937" s="49"/>
      <c r="H937" s="7"/>
      <c r="I937" s="50"/>
      <c r="J937" s="67"/>
      <c r="K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51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</row>
    <row r="938" spans="1:110" x14ac:dyDescent="0.25">
      <c r="A938" s="7"/>
      <c r="B938" s="7"/>
      <c r="C938" s="48"/>
      <c r="D938" s="7"/>
      <c r="E938" s="7"/>
      <c r="F938" s="7"/>
      <c r="G938" s="49"/>
      <c r="H938" s="7"/>
      <c r="I938" s="50"/>
      <c r="J938" s="49"/>
      <c r="K938" s="49"/>
      <c r="M938" s="49"/>
      <c r="N938" s="49"/>
      <c r="T938" s="49"/>
      <c r="U938" s="49"/>
      <c r="V938" s="49"/>
      <c r="W938" s="49"/>
      <c r="X938" s="49"/>
      <c r="Y938" s="49"/>
      <c r="Z938" s="51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</row>
    <row r="939" spans="1:110" x14ac:dyDescent="0.25">
      <c r="A939" s="7"/>
      <c r="B939" s="7"/>
      <c r="C939" s="48"/>
      <c r="D939" s="7"/>
      <c r="E939" s="7"/>
      <c r="F939" s="7"/>
      <c r="G939" s="49"/>
      <c r="H939" s="7"/>
      <c r="I939" s="50"/>
      <c r="J939" s="49"/>
      <c r="K939" s="49"/>
      <c r="M939" s="49"/>
      <c r="N939" s="49"/>
      <c r="Q939" s="64"/>
      <c r="S939" s="65"/>
      <c r="T939" s="49"/>
      <c r="U939" s="49"/>
      <c r="V939" s="49"/>
      <c r="W939" s="49"/>
      <c r="X939" s="49"/>
      <c r="Y939" s="49"/>
      <c r="Z939" s="51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</row>
    <row r="940" spans="1:110" x14ac:dyDescent="0.25">
      <c r="A940" s="7"/>
      <c r="B940" s="7"/>
      <c r="C940" s="48"/>
      <c r="D940" s="7"/>
      <c r="E940" s="7"/>
      <c r="F940" s="7"/>
      <c r="G940" s="49"/>
      <c r="H940" s="7"/>
      <c r="I940" s="50"/>
      <c r="J940" s="49"/>
      <c r="K940" s="49"/>
      <c r="M940" s="49"/>
      <c r="N940" s="49"/>
      <c r="Q940" s="64"/>
      <c r="S940" s="66"/>
      <c r="T940" s="49"/>
      <c r="U940" s="49"/>
      <c r="V940" s="49"/>
      <c r="W940" s="49"/>
      <c r="X940" s="49"/>
      <c r="Y940" s="49"/>
      <c r="Z940" s="51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</row>
    <row r="941" spans="1:110" x14ac:dyDescent="0.25">
      <c r="A941" s="7"/>
      <c r="B941" s="7"/>
      <c r="C941" s="48"/>
      <c r="D941" s="7"/>
      <c r="E941" s="7"/>
      <c r="F941" s="7"/>
      <c r="G941" s="49"/>
      <c r="H941" s="7"/>
      <c r="I941" s="50"/>
      <c r="J941" s="49"/>
      <c r="K941" s="49"/>
      <c r="M941" s="49"/>
      <c r="N941" s="49"/>
      <c r="Q941" s="64"/>
      <c r="S941" s="66"/>
      <c r="T941" s="49"/>
      <c r="U941" s="49"/>
      <c r="V941" s="49"/>
      <c r="W941" s="49"/>
      <c r="X941" s="49"/>
      <c r="Y941" s="49"/>
      <c r="Z941" s="51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</row>
    <row r="942" spans="1:110" x14ac:dyDescent="0.25">
      <c r="A942" s="7"/>
      <c r="B942" s="7"/>
      <c r="C942" s="48"/>
      <c r="D942" s="7"/>
      <c r="E942" s="7"/>
      <c r="F942" s="7"/>
      <c r="G942" s="49"/>
      <c r="H942" s="7"/>
      <c r="I942" s="50"/>
      <c r="J942" s="49"/>
      <c r="K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51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</row>
    <row r="943" spans="1:110" x14ac:dyDescent="0.25">
      <c r="A943" s="7"/>
      <c r="B943" s="7"/>
      <c r="C943" s="48"/>
      <c r="D943" s="7"/>
      <c r="E943" s="7"/>
      <c r="F943" s="7"/>
      <c r="G943" s="49"/>
      <c r="H943" s="7"/>
      <c r="I943" s="50"/>
      <c r="J943" s="49"/>
      <c r="K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51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</row>
    <row r="944" spans="1:110" x14ac:dyDescent="0.25">
      <c r="A944" s="7"/>
      <c r="B944" s="7"/>
      <c r="C944" s="48"/>
      <c r="D944" s="7"/>
      <c r="E944" s="7"/>
      <c r="F944" s="7"/>
      <c r="G944" s="49"/>
      <c r="H944" s="7"/>
      <c r="I944" s="50"/>
      <c r="J944" s="49"/>
      <c r="K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51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</row>
    <row r="945" spans="1:110" x14ac:dyDescent="0.25">
      <c r="A945" s="7"/>
      <c r="B945" s="7"/>
      <c r="C945" s="48"/>
      <c r="D945" s="7"/>
      <c r="E945" s="7"/>
      <c r="F945" s="7"/>
      <c r="G945" s="49"/>
      <c r="H945" s="7"/>
      <c r="I945" s="50"/>
      <c r="J945" s="49"/>
      <c r="K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51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</row>
    <row r="946" spans="1:110" x14ac:dyDescent="0.25">
      <c r="A946" s="7"/>
      <c r="B946" s="7"/>
      <c r="C946" s="48"/>
      <c r="D946" s="7"/>
      <c r="E946" s="7"/>
      <c r="F946" s="7"/>
      <c r="G946" s="49"/>
      <c r="H946" s="7"/>
      <c r="I946" s="50"/>
      <c r="J946" s="49"/>
      <c r="K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51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</row>
    <row r="947" spans="1:110" x14ac:dyDescent="0.25">
      <c r="A947" s="7"/>
      <c r="B947" s="7"/>
      <c r="C947" s="48"/>
      <c r="D947" s="7"/>
      <c r="E947" s="7"/>
      <c r="F947" s="7"/>
      <c r="G947" s="49"/>
      <c r="H947" s="7"/>
      <c r="I947" s="50"/>
      <c r="J947" s="49"/>
      <c r="K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51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</row>
    <row r="948" spans="1:110" x14ac:dyDescent="0.25">
      <c r="A948" s="7"/>
      <c r="B948" s="7"/>
      <c r="C948" s="48"/>
      <c r="D948" s="7"/>
      <c r="E948" s="7"/>
      <c r="F948" s="7"/>
      <c r="G948" s="49"/>
      <c r="H948" s="7"/>
      <c r="I948" s="50"/>
      <c r="J948" s="49"/>
      <c r="K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51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</row>
    <row r="949" spans="1:110" x14ac:dyDescent="0.25">
      <c r="A949" s="7"/>
      <c r="B949" s="7"/>
      <c r="C949" s="48"/>
      <c r="D949" s="7"/>
      <c r="E949" s="7"/>
      <c r="F949" s="7"/>
      <c r="G949" s="49"/>
      <c r="H949" s="7"/>
      <c r="I949" s="50"/>
      <c r="J949" s="49"/>
      <c r="K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51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</row>
    <row r="950" spans="1:110" x14ac:dyDescent="0.25">
      <c r="A950" s="7"/>
      <c r="B950" s="7"/>
      <c r="C950" s="48"/>
      <c r="D950" s="7"/>
      <c r="E950" s="7"/>
      <c r="F950" s="7"/>
      <c r="G950" s="49"/>
      <c r="H950" s="7"/>
      <c r="I950" s="50"/>
      <c r="J950" s="49"/>
      <c r="K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51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</row>
    <row r="951" spans="1:110" x14ac:dyDescent="0.25">
      <c r="A951" s="7"/>
      <c r="B951" s="7"/>
      <c r="C951" s="48"/>
      <c r="D951" s="7"/>
      <c r="E951" s="7"/>
      <c r="F951" s="7"/>
      <c r="G951" s="49"/>
      <c r="H951" s="7"/>
      <c r="I951" s="50"/>
      <c r="J951" s="49"/>
      <c r="K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51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</row>
    <row r="952" spans="1:110" x14ac:dyDescent="0.25">
      <c r="A952" s="7"/>
      <c r="B952" s="7"/>
      <c r="C952" s="48"/>
      <c r="D952" s="7"/>
      <c r="E952" s="7"/>
      <c r="F952" s="7"/>
      <c r="G952" s="49"/>
      <c r="H952" s="7"/>
      <c r="I952" s="50"/>
      <c r="J952" s="49"/>
      <c r="K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51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</row>
    <row r="953" spans="1:110" x14ac:dyDescent="0.25">
      <c r="A953" s="7"/>
      <c r="B953" s="7"/>
      <c r="C953" s="48"/>
      <c r="D953" s="7"/>
      <c r="E953" s="7"/>
      <c r="F953" s="7"/>
      <c r="G953" s="49"/>
      <c r="H953" s="7"/>
      <c r="I953" s="50"/>
      <c r="J953" s="49"/>
      <c r="K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51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</row>
    <row r="954" spans="1:110" x14ac:dyDescent="0.25">
      <c r="A954" s="7"/>
      <c r="B954" s="7"/>
      <c r="C954" s="48"/>
      <c r="D954" s="7"/>
      <c r="E954" s="7"/>
      <c r="F954" s="7"/>
      <c r="G954" s="49"/>
      <c r="H954" s="7"/>
      <c r="I954" s="50"/>
      <c r="J954" s="49"/>
      <c r="K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51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</row>
    <row r="955" spans="1:110" x14ac:dyDescent="0.25">
      <c r="A955" s="7"/>
      <c r="B955" s="7"/>
      <c r="C955" s="48"/>
      <c r="D955" s="7"/>
      <c r="E955" s="7"/>
      <c r="F955" s="7"/>
      <c r="G955" s="49"/>
      <c r="H955" s="7"/>
      <c r="I955" s="50"/>
      <c r="J955" s="49"/>
      <c r="K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51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</row>
    <row r="956" spans="1:110" x14ac:dyDescent="0.25">
      <c r="A956" s="7"/>
      <c r="B956" s="7"/>
      <c r="C956" s="48"/>
      <c r="D956" s="7"/>
      <c r="E956" s="7"/>
      <c r="F956" s="7"/>
      <c r="G956" s="49"/>
      <c r="H956" s="7"/>
      <c r="I956" s="50"/>
      <c r="J956" s="49"/>
      <c r="K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51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</row>
    <row r="957" spans="1:110" x14ac:dyDescent="0.25">
      <c r="A957" s="7"/>
      <c r="B957" s="7"/>
      <c r="C957" s="48"/>
      <c r="D957" s="7"/>
      <c r="E957" s="7"/>
      <c r="F957" s="7"/>
      <c r="G957" s="49"/>
      <c r="H957" s="7"/>
      <c r="I957" s="50"/>
      <c r="J957" s="49"/>
      <c r="K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51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</row>
    <row r="958" spans="1:110" x14ac:dyDescent="0.25">
      <c r="A958" s="7"/>
      <c r="B958" s="7"/>
      <c r="C958" s="48"/>
      <c r="D958" s="7"/>
      <c r="E958" s="7"/>
      <c r="F958" s="7"/>
      <c r="G958" s="49"/>
      <c r="H958" s="7"/>
      <c r="I958" s="50"/>
      <c r="J958" s="49"/>
      <c r="K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51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</row>
    <row r="959" spans="1:110" x14ac:dyDescent="0.25">
      <c r="A959" s="7"/>
      <c r="B959" s="7"/>
      <c r="C959" s="48"/>
      <c r="D959" s="7"/>
      <c r="E959" s="7"/>
      <c r="F959" s="7"/>
      <c r="G959" s="49"/>
      <c r="H959" s="7"/>
      <c r="I959" s="50"/>
      <c r="J959" s="49"/>
      <c r="K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51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</row>
    <row r="960" spans="1:110" x14ac:dyDescent="0.25">
      <c r="A960" s="7"/>
      <c r="B960" s="7"/>
      <c r="C960" s="48"/>
      <c r="D960" s="7"/>
      <c r="E960" s="7"/>
      <c r="F960" s="7"/>
      <c r="G960" s="49"/>
      <c r="H960" s="7"/>
      <c r="I960" s="50"/>
      <c r="J960" s="49"/>
      <c r="K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51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</row>
    <row r="961" spans="1:110" x14ac:dyDescent="0.25">
      <c r="A961" s="7"/>
      <c r="B961" s="7"/>
      <c r="C961" s="48"/>
      <c r="D961" s="7"/>
      <c r="E961" s="7"/>
      <c r="F961" s="7"/>
      <c r="G961" s="49"/>
      <c r="H961" s="7"/>
      <c r="I961" s="50"/>
      <c r="J961" s="49"/>
      <c r="K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51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</row>
    <row r="962" spans="1:110" x14ac:dyDescent="0.25">
      <c r="A962" s="7"/>
      <c r="B962" s="7"/>
      <c r="C962" s="48"/>
      <c r="D962" s="7"/>
      <c r="E962" s="7"/>
      <c r="F962" s="7"/>
      <c r="G962" s="49"/>
      <c r="H962" s="7"/>
      <c r="I962" s="50"/>
      <c r="J962" s="49"/>
      <c r="K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51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</row>
    <row r="963" spans="1:110" x14ac:dyDescent="0.25">
      <c r="A963" s="7"/>
      <c r="B963" s="7"/>
      <c r="C963" s="48"/>
      <c r="D963" s="7"/>
      <c r="E963" s="7"/>
      <c r="F963" s="7"/>
      <c r="G963" s="49"/>
      <c r="H963" s="7"/>
      <c r="I963" s="50"/>
      <c r="J963" s="49"/>
      <c r="K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51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</row>
    <row r="964" spans="1:110" x14ac:dyDescent="0.25">
      <c r="A964" s="7"/>
      <c r="B964" s="7"/>
      <c r="C964" s="48"/>
      <c r="D964" s="7"/>
      <c r="E964" s="7"/>
      <c r="F964" s="7"/>
      <c r="G964" s="49"/>
      <c r="H964" s="7"/>
      <c r="I964" s="50"/>
      <c r="J964" s="49"/>
      <c r="K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51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</row>
    <row r="965" spans="1:110" x14ac:dyDescent="0.25">
      <c r="A965" s="7"/>
      <c r="B965" s="7"/>
      <c r="C965" s="48"/>
      <c r="D965" s="7"/>
      <c r="E965" s="7"/>
      <c r="F965" s="7"/>
      <c r="G965" s="49"/>
      <c r="H965" s="7"/>
      <c r="I965" s="50"/>
      <c r="J965" s="49"/>
      <c r="K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51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</row>
    <row r="966" spans="1:110" x14ac:dyDescent="0.25">
      <c r="A966" s="7"/>
      <c r="B966" s="7"/>
      <c r="C966" s="48"/>
      <c r="D966" s="7"/>
      <c r="E966" s="7"/>
      <c r="F966" s="7"/>
      <c r="G966" s="49"/>
      <c r="H966" s="7"/>
      <c r="I966" s="50"/>
      <c r="J966" s="49"/>
      <c r="K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51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</row>
    <row r="967" spans="1:110" x14ac:dyDescent="0.25">
      <c r="A967" s="7"/>
      <c r="B967" s="7"/>
      <c r="C967" s="48"/>
      <c r="D967" s="7"/>
      <c r="E967" s="7"/>
      <c r="F967" s="7"/>
      <c r="G967" s="49"/>
      <c r="H967" s="7"/>
      <c r="I967" s="50"/>
      <c r="J967" s="49"/>
      <c r="K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51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</row>
    <row r="968" spans="1:110" x14ac:dyDescent="0.25">
      <c r="A968" s="7"/>
      <c r="B968" s="7"/>
      <c r="C968" s="48"/>
      <c r="D968" s="7"/>
      <c r="E968" s="7"/>
      <c r="F968" s="7"/>
      <c r="G968" s="49"/>
      <c r="H968" s="7"/>
      <c r="I968" s="50"/>
      <c r="J968" s="49"/>
      <c r="K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51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</row>
    <row r="969" spans="1:110" x14ac:dyDescent="0.25">
      <c r="A969" s="7"/>
      <c r="B969" s="7"/>
      <c r="C969" s="48"/>
      <c r="D969" s="7"/>
      <c r="E969" s="7"/>
      <c r="F969" s="7"/>
      <c r="G969" s="49"/>
      <c r="H969" s="7"/>
      <c r="I969" s="50"/>
      <c r="J969" s="49"/>
      <c r="K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51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</row>
    <row r="970" spans="1:110" x14ac:dyDescent="0.25">
      <c r="A970" s="7"/>
      <c r="B970" s="7"/>
      <c r="C970" s="48"/>
      <c r="D970" s="7"/>
      <c r="E970" s="7"/>
      <c r="F970" s="7"/>
      <c r="G970" s="49"/>
      <c r="H970" s="7"/>
      <c r="I970" s="50"/>
      <c r="J970" s="49"/>
      <c r="K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51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</row>
    <row r="971" spans="1:110" x14ac:dyDescent="0.25">
      <c r="A971" s="7"/>
      <c r="B971" s="7"/>
      <c r="C971" s="48"/>
      <c r="D971" s="7"/>
      <c r="E971" s="7"/>
      <c r="F971" s="7"/>
      <c r="G971" s="49"/>
      <c r="H971" s="7"/>
      <c r="I971" s="50"/>
      <c r="J971" s="49"/>
      <c r="K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51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</row>
    <row r="972" spans="1:110" x14ac:dyDescent="0.25">
      <c r="A972" s="7"/>
      <c r="B972" s="7"/>
      <c r="C972" s="48"/>
      <c r="D972" s="7"/>
      <c r="E972" s="7"/>
      <c r="F972" s="7"/>
      <c r="G972" s="49"/>
      <c r="H972" s="7"/>
      <c r="I972" s="50"/>
      <c r="J972" s="49"/>
      <c r="K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51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</row>
    <row r="973" spans="1:110" x14ac:dyDescent="0.25">
      <c r="A973" s="7"/>
      <c r="B973" s="7"/>
      <c r="C973" s="48"/>
      <c r="D973" s="7"/>
      <c r="E973" s="7"/>
      <c r="F973" s="7"/>
      <c r="G973" s="49"/>
      <c r="H973" s="7"/>
      <c r="I973" s="50"/>
      <c r="J973" s="49"/>
      <c r="K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51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</row>
    <row r="974" spans="1:110" x14ac:dyDescent="0.25">
      <c r="A974" s="7"/>
      <c r="B974" s="7"/>
      <c r="C974" s="48"/>
      <c r="D974" s="7"/>
      <c r="E974" s="7"/>
      <c r="F974" s="7"/>
      <c r="G974" s="49"/>
      <c r="H974" s="7"/>
      <c r="I974" s="50"/>
      <c r="J974" s="49"/>
      <c r="K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51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</row>
    <row r="975" spans="1:110" x14ac:dyDescent="0.25">
      <c r="A975" s="7"/>
      <c r="B975" s="7"/>
      <c r="C975" s="48"/>
      <c r="D975" s="7"/>
      <c r="E975" s="7"/>
      <c r="F975" s="7"/>
      <c r="G975" s="49"/>
      <c r="H975" s="7"/>
      <c r="I975" s="50"/>
      <c r="J975" s="49"/>
      <c r="K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51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</row>
    <row r="976" spans="1:110" x14ac:dyDescent="0.25">
      <c r="A976" s="7"/>
      <c r="B976" s="7"/>
      <c r="C976" s="48"/>
      <c r="D976" s="7"/>
      <c r="E976" s="7"/>
      <c r="F976" s="7"/>
      <c r="G976" s="49"/>
      <c r="H976" s="7"/>
      <c r="I976" s="50"/>
      <c r="J976" s="49"/>
      <c r="K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51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</row>
    <row r="977" spans="1:110" x14ac:dyDescent="0.25">
      <c r="A977" s="7"/>
      <c r="B977" s="7"/>
      <c r="C977" s="48"/>
      <c r="D977" s="7"/>
      <c r="E977" s="7"/>
      <c r="F977" s="7"/>
      <c r="G977" s="49"/>
      <c r="H977" s="7"/>
      <c r="I977" s="50"/>
      <c r="J977" s="49"/>
      <c r="K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51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</row>
    <row r="978" spans="1:110" x14ac:dyDescent="0.25">
      <c r="A978" s="7"/>
      <c r="B978" s="7"/>
      <c r="C978" s="48"/>
      <c r="D978" s="7"/>
      <c r="E978" s="7"/>
      <c r="F978" s="7"/>
      <c r="G978" s="49"/>
      <c r="H978" s="7"/>
      <c r="I978" s="50"/>
      <c r="J978" s="49"/>
      <c r="K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51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</row>
    <row r="979" spans="1:110" x14ac:dyDescent="0.25">
      <c r="A979" s="7"/>
      <c r="B979" s="7"/>
      <c r="C979" s="48"/>
      <c r="D979" s="7"/>
      <c r="E979" s="7"/>
      <c r="F979" s="7"/>
      <c r="G979" s="49"/>
      <c r="H979" s="7"/>
      <c r="I979" s="50"/>
      <c r="J979" s="49"/>
      <c r="K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51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</row>
    <row r="980" spans="1:110" x14ac:dyDescent="0.25">
      <c r="A980" s="7"/>
      <c r="B980" s="7"/>
      <c r="C980" s="48"/>
      <c r="D980" s="7"/>
      <c r="E980" s="7"/>
      <c r="F980" s="7"/>
      <c r="G980" s="49"/>
      <c r="H980" s="7"/>
      <c r="I980" s="50"/>
      <c r="J980" s="49"/>
      <c r="K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51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</row>
    <row r="981" spans="1:110" x14ac:dyDescent="0.25">
      <c r="A981" s="7"/>
      <c r="B981" s="7"/>
      <c r="C981" s="48"/>
      <c r="D981" s="7"/>
      <c r="E981" s="7"/>
      <c r="F981" s="7"/>
      <c r="G981" s="49"/>
      <c r="H981" s="7"/>
      <c r="I981" s="50"/>
      <c r="J981" s="49"/>
      <c r="K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51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</row>
    <row r="982" spans="1:110" x14ac:dyDescent="0.25">
      <c r="A982" s="7"/>
      <c r="B982" s="7"/>
      <c r="C982" s="48"/>
      <c r="D982" s="7"/>
      <c r="E982" s="7"/>
      <c r="F982" s="7"/>
      <c r="G982" s="49"/>
      <c r="H982" s="7"/>
      <c r="I982" s="50"/>
      <c r="J982" s="49"/>
      <c r="K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51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</row>
    <row r="983" spans="1:110" x14ac:dyDescent="0.25">
      <c r="A983" s="7"/>
      <c r="B983" s="7"/>
      <c r="C983" s="48"/>
      <c r="D983" s="7"/>
      <c r="E983" s="7"/>
      <c r="F983" s="7"/>
      <c r="G983" s="49"/>
      <c r="H983" s="7"/>
      <c r="I983" s="50"/>
      <c r="J983" s="49"/>
      <c r="K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51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</row>
    <row r="984" spans="1:110" x14ac:dyDescent="0.25">
      <c r="A984" s="7"/>
      <c r="B984" s="7"/>
      <c r="C984" s="48"/>
      <c r="D984" s="7"/>
      <c r="E984" s="7"/>
      <c r="F984" s="7"/>
      <c r="G984" s="49"/>
      <c r="H984" s="7"/>
      <c r="I984" s="50"/>
      <c r="J984" s="49"/>
      <c r="K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51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</row>
    <row r="985" spans="1:110" x14ac:dyDescent="0.25">
      <c r="A985" s="7"/>
      <c r="B985" s="7"/>
      <c r="C985" s="48"/>
      <c r="D985" s="7"/>
      <c r="E985" s="7"/>
      <c r="F985" s="7"/>
      <c r="G985" s="49"/>
      <c r="H985" s="7"/>
      <c r="I985" s="50"/>
      <c r="J985" s="49"/>
      <c r="K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51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</row>
    <row r="986" spans="1:110" x14ac:dyDescent="0.25">
      <c r="A986" s="7"/>
      <c r="B986" s="7"/>
      <c r="C986" s="48"/>
      <c r="D986" s="7"/>
      <c r="E986" s="7"/>
      <c r="F986" s="7"/>
      <c r="G986" s="49"/>
      <c r="H986" s="7"/>
      <c r="I986" s="50"/>
      <c r="J986" s="49"/>
      <c r="K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51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</row>
    <row r="987" spans="1:110" x14ac:dyDescent="0.25">
      <c r="A987" s="7"/>
      <c r="B987" s="7"/>
      <c r="C987" s="48"/>
      <c r="D987" s="7"/>
      <c r="E987" s="7"/>
      <c r="F987" s="7"/>
      <c r="G987" s="49"/>
      <c r="H987" s="7"/>
      <c r="I987" s="50"/>
      <c r="J987" s="49"/>
      <c r="K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51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</row>
    <row r="988" spans="1:110" x14ac:dyDescent="0.25">
      <c r="A988" s="7"/>
      <c r="B988" s="7"/>
      <c r="C988" s="48"/>
      <c r="D988" s="7"/>
      <c r="E988" s="7"/>
      <c r="F988" s="7"/>
      <c r="G988" s="49"/>
      <c r="H988" s="7"/>
      <c r="I988" s="50"/>
      <c r="J988" s="49"/>
      <c r="K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51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</row>
    <row r="989" spans="1:110" x14ac:dyDescent="0.25">
      <c r="A989" s="7"/>
      <c r="B989" s="7"/>
      <c r="C989" s="48"/>
      <c r="D989" s="7"/>
      <c r="E989" s="7"/>
      <c r="F989" s="7"/>
      <c r="G989" s="49"/>
      <c r="H989" s="7"/>
      <c r="I989" s="50"/>
      <c r="J989" s="49"/>
      <c r="K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51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</row>
    <row r="990" spans="1:110" x14ac:dyDescent="0.25">
      <c r="A990" s="7"/>
      <c r="B990" s="7"/>
      <c r="C990" s="48"/>
      <c r="D990" s="7"/>
      <c r="E990" s="7"/>
      <c r="F990" s="7"/>
      <c r="G990" s="49"/>
      <c r="H990" s="7"/>
      <c r="I990" s="50"/>
      <c r="J990" s="49"/>
      <c r="K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51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</row>
    <row r="991" spans="1:110" x14ac:dyDescent="0.25">
      <c r="A991" s="7"/>
      <c r="B991" s="7"/>
      <c r="C991" s="48"/>
      <c r="D991" s="7"/>
      <c r="E991" s="7"/>
      <c r="F991" s="7"/>
      <c r="G991" s="49"/>
      <c r="H991" s="7"/>
      <c r="I991" s="50"/>
      <c r="J991" s="49"/>
      <c r="K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51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</row>
    <row r="992" spans="1:110" x14ac:dyDescent="0.25">
      <c r="A992" s="7"/>
      <c r="B992" s="7"/>
      <c r="C992" s="48"/>
      <c r="D992" s="7"/>
      <c r="E992" s="7"/>
      <c r="F992" s="7"/>
      <c r="G992" s="49"/>
      <c r="H992" s="7"/>
      <c r="I992" s="50"/>
      <c r="J992" s="49"/>
      <c r="K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51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</row>
    <row r="993" spans="1:110" x14ac:dyDescent="0.25">
      <c r="A993" s="7"/>
      <c r="B993" s="7"/>
      <c r="C993" s="48"/>
      <c r="D993" s="7"/>
      <c r="E993" s="7"/>
      <c r="F993" s="7"/>
      <c r="G993" s="49"/>
      <c r="H993" s="7"/>
      <c r="I993" s="50"/>
      <c r="J993" s="49"/>
      <c r="K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51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</row>
    <row r="994" spans="1:110" x14ac:dyDescent="0.25">
      <c r="A994" s="7"/>
      <c r="B994" s="7"/>
      <c r="C994" s="48"/>
      <c r="D994" s="7"/>
      <c r="E994" s="7"/>
      <c r="F994" s="7"/>
      <c r="G994" s="49"/>
      <c r="H994" s="7"/>
      <c r="I994" s="50"/>
      <c r="J994" s="49"/>
      <c r="K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51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</row>
    <row r="995" spans="1:110" x14ac:dyDescent="0.25">
      <c r="A995" s="7"/>
      <c r="B995" s="7"/>
      <c r="C995" s="48"/>
      <c r="D995" s="7"/>
      <c r="E995" s="7"/>
      <c r="F995" s="7"/>
      <c r="G995" s="49"/>
      <c r="H995" s="7"/>
      <c r="I995" s="50"/>
      <c r="J995" s="49"/>
      <c r="K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51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</row>
    <row r="996" spans="1:110" x14ac:dyDescent="0.25">
      <c r="A996" s="7"/>
      <c r="B996" s="7"/>
      <c r="C996" s="48"/>
      <c r="D996" s="7"/>
      <c r="E996" s="7"/>
      <c r="F996" s="7"/>
      <c r="G996" s="49"/>
      <c r="H996" s="7"/>
      <c r="I996" s="50"/>
      <c r="J996" s="49"/>
      <c r="K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51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</row>
    <row r="997" spans="1:110" x14ac:dyDescent="0.25">
      <c r="A997" s="7"/>
      <c r="B997" s="7"/>
      <c r="C997" s="48"/>
      <c r="D997" s="7"/>
      <c r="E997" s="7"/>
      <c r="F997" s="7"/>
      <c r="G997" s="49"/>
      <c r="H997" s="7"/>
      <c r="I997" s="50"/>
      <c r="J997" s="49"/>
      <c r="K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51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</row>
    <row r="998" spans="1:110" x14ac:dyDescent="0.25">
      <c r="A998" s="7"/>
      <c r="B998" s="7"/>
      <c r="C998" s="48"/>
      <c r="D998" s="7"/>
      <c r="E998" s="7"/>
      <c r="F998" s="7"/>
      <c r="G998" s="49"/>
      <c r="H998" s="7"/>
      <c r="I998" s="50"/>
      <c r="J998" s="49"/>
      <c r="K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51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</row>
    <row r="999" spans="1:110" x14ac:dyDescent="0.25">
      <c r="A999" s="7"/>
      <c r="B999" s="7"/>
      <c r="C999" s="48"/>
      <c r="D999" s="7"/>
      <c r="E999" s="7"/>
      <c r="F999" s="7"/>
      <c r="G999" s="49"/>
      <c r="H999" s="7"/>
      <c r="I999" s="50"/>
      <c r="J999" s="49"/>
      <c r="K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51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</row>
    <row r="1000" spans="1:110" x14ac:dyDescent="0.25">
      <c r="A1000" s="7"/>
      <c r="B1000" s="7"/>
      <c r="C1000" s="48"/>
      <c r="D1000" s="7"/>
      <c r="E1000" s="7"/>
      <c r="F1000" s="7"/>
      <c r="G1000" s="49"/>
      <c r="H1000" s="7"/>
      <c r="I1000" s="50"/>
      <c r="J1000" s="49"/>
      <c r="K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51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</row>
    <row r="1001" spans="1:110" x14ac:dyDescent="0.25">
      <c r="A1001" s="7"/>
      <c r="B1001" s="7"/>
      <c r="C1001" s="48"/>
      <c r="D1001" s="7"/>
      <c r="E1001" s="7"/>
      <c r="F1001" s="7"/>
      <c r="G1001" s="49"/>
      <c r="H1001" s="7"/>
      <c r="I1001" s="50"/>
      <c r="J1001" s="49"/>
      <c r="K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51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  <c r="CV1001" s="7"/>
      <c r="CW1001" s="7"/>
      <c r="CX1001" s="7"/>
      <c r="CY1001" s="7"/>
      <c r="CZ1001" s="7"/>
      <c r="DA1001" s="7"/>
      <c r="DB1001" s="7"/>
      <c r="DC1001" s="7"/>
      <c r="DD1001" s="7"/>
      <c r="DE1001" s="7"/>
      <c r="DF1001" s="7"/>
    </row>
    <row r="1002" spans="1:110" x14ac:dyDescent="0.25">
      <c r="A1002" s="7"/>
      <c r="B1002" s="7"/>
      <c r="C1002" s="48"/>
      <c r="D1002" s="7"/>
      <c r="E1002" s="7"/>
      <c r="F1002" s="7"/>
      <c r="G1002" s="49"/>
      <c r="H1002" s="7"/>
      <c r="I1002" s="50"/>
      <c r="J1002" s="49"/>
      <c r="K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51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  <c r="CV1002" s="7"/>
      <c r="CW1002" s="7"/>
      <c r="CX1002" s="7"/>
      <c r="CY1002" s="7"/>
      <c r="CZ1002" s="7"/>
      <c r="DA1002" s="7"/>
      <c r="DB1002" s="7"/>
      <c r="DC1002" s="7"/>
      <c r="DD1002" s="7"/>
      <c r="DE1002" s="7"/>
      <c r="DF1002" s="7"/>
    </row>
    <row r="1003" spans="1:110" x14ac:dyDescent="0.25">
      <c r="A1003" s="7"/>
      <c r="B1003" s="7"/>
      <c r="C1003" s="48"/>
      <c r="D1003" s="7"/>
      <c r="E1003" s="7"/>
      <c r="F1003" s="7"/>
      <c r="G1003" s="49"/>
      <c r="H1003" s="7"/>
      <c r="I1003" s="50"/>
      <c r="J1003" s="49"/>
      <c r="K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51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  <c r="CV1003" s="7"/>
      <c r="CW1003" s="7"/>
      <c r="CX1003" s="7"/>
      <c r="CY1003" s="7"/>
      <c r="CZ1003" s="7"/>
      <c r="DA1003" s="7"/>
      <c r="DB1003" s="7"/>
      <c r="DC1003" s="7"/>
      <c r="DD1003" s="7"/>
      <c r="DE1003" s="7"/>
      <c r="DF1003" s="7"/>
    </row>
    <row r="1004" spans="1:110" x14ac:dyDescent="0.25">
      <c r="A1004" s="7"/>
      <c r="B1004" s="7"/>
      <c r="C1004" s="48"/>
      <c r="D1004" s="7"/>
      <c r="E1004" s="7"/>
      <c r="F1004" s="7"/>
      <c r="G1004" s="49"/>
      <c r="H1004" s="7"/>
      <c r="I1004" s="50"/>
      <c r="J1004" s="49"/>
      <c r="K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51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7"/>
      <c r="CP1004" s="7"/>
      <c r="CQ1004" s="7"/>
      <c r="CR1004" s="7"/>
      <c r="CS1004" s="7"/>
      <c r="CT1004" s="7"/>
      <c r="CU1004" s="7"/>
      <c r="CV1004" s="7"/>
      <c r="CW1004" s="7"/>
      <c r="CX1004" s="7"/>
      <c r="CY1004" s="7"/>
      <c r="CZ1004" s="7"/>
      <c r="DA1004" s="7"/>
      <c r="DB1004" s="7"/>
      <c r="DC1004" s="7"/>
      <c r="DD1004" s="7"/>
      <c r="DE1004" s="7"/>
      <c r="DF1004" s="7"/>
    </row>
    <row r="1005" spans="1:110" x14ac:dyDescent="0.25">
      <c r="A1005" s="7"/>
      <c r="B1005" s="7"/>
      <c r="C1005" s="48"/>
      <c r="D1005" s="7"/>
      <c r="E1005" s="7"/>
      <c r="F1005" s="7"/>
      <c r="G1005" s="49"/>
      <c r="H1005" s="7"/>
      <c r="I1005" s="50"/>
      <c r="J1005" s="49"/>
      <c r="K1005" s="49"/>
      <c r="M1005" s="49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51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  <c r="CQ1005" s="7"/>
      <c r="CR1005" s="7"/>
      <c r="CS1005" s="7"/>
      <c r="CT1005" s="7"/>
      <c r="CU1005" s="7"/>
      <c r="CV1005" s="7"/>
      <c r="CW1005" s="7"/>
      <c r="CX1005" s="7"/>
      <c r="CY1005" s="7"/>
      <c r="CZ1005" s="7"/>
      <c r="DA1005" s="7"/>
      <c r="DB1005" s="7"/>
      <c r="DC1005" s="7"/>
      <c r="DD1005" s="7"/>
      <c r="DE1005" s="7"/>
      <c r="DF1005" s="7"/>
    </row>
    <row r="1006" spans="1:110" x14ac:dyDescent="0.25">
      <c r="A1006" s="7"/>
      <c r="B1006" s="7"/>
      <c r="C1006" s="48"/>
      <c r="D1006" s="7"/>
      <c r="E1006" s="7"/>
      <c r="F1006" s="7"/>
      <c r="G1006" s="49"/>
      <c r="H1006" s="7"/>
      <c r="I1006" s="50"/>
      <c r="J1006" s="49"/>
      <c r="K1006" s="49"/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51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7"/>
      <c r="CP1006" s="7"/>
      <c r="CQ1006" s="7"/>
      <c r="CR1006" s="7"/>
      <c r="CS1006" s="7"/>
      <c r="CT1006" s="7"/>
      <c r="CU1006" s="7"/>
      <c r="CV1006" s="7"/>
      <c r="CW1006" s="7"/>
      <c r="CX1006" s="7"/>
      <c r="CY1006" s="7"/>
      <c r="CZ1006" s="7"/>
      <c r="DA1006" s="7"/>
      <c r="DB1006" s="7"/>
      <c r="DC1006" s="7"/>
      <c r="DD1006" s="7"/>
      <c r="DE1006" s="7"/>
      <c r="DF1006" s="7"/>
    </row>
    <row r="1007" spans="1:110" x14ac:dyDescent="0.25">
      <c r="A1007" s="7"/>
      <c r="B1007" s="7"/>
      <c r="C1007" s="48"/>
      <c r="D1007" s="7"/>
      <c r="E1007" s="7"/>
      <c r="F1007" s="7"/>
      <c r="G1007" s="49"/>
      <c r="H1007" s="7"/>
      <c r="I1007" s="50"/>
      <c r="J1007" s="49"/>
      <c r="K1007" s="49"/>
      <c r="M1007" s="49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51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  <c r="CQ1007" s="7"/>
      <c r="CR1007" s="7"/>
      <c r="CS1007" s="7"/>
      <c r="CT1007" s="7"/>
      <c r="CU1007" s="7"/>
      <c r="CV1007" s="7"/>
      <c r="CW1007" s="7"/>
      <c r="CX1007" s="7"/>
      <c r="CY1007" s="7"/>
      <c r="CZ1007" s="7"/>
      <c r="DA1007" s="7"/>
      <c r="DB1007" s="7"/>
      <c r="DC1007" s="7"/>
      <c r="DD1007" s="7"/>
      <c r="DE1007" s="7"/>
      <c r="DF1007" s="7"/>
    </row>
    <row r="1008" spans="1:110" x14ac:dyDescent="0.25">
      <c r="A1008" s="7"/>
      <c r="B1008" s="7"/>
      <c r="C1008" s="48"/>
      <c r="D1008" s="7"/>
      <c r="E1008" s="7"/>
      <c r="F1008" s="7"/>
      <c r="G1008" s="49"/>
      <c r="H1008" s="7"/>
      <c r="I1008" s="50"/>
      <c r="J1008" s="49"/>
      <c r="K1008" s="49"/>
      <c r="M1008" s="49"/>
      <c r="N1008" s="49"/>
      <c r="O1008" s="49"/>
      <c r="P1008" s="49"/>
      <c r="Q1008" s="49"/>
      <c r="R1008" s="49"/>
      <c r="S1008" s="49"/>
      <c r="T1008" s="49"/>
      <c r="U1008" s="49"/>
      <c r="V1008" s="49"/>
      <c r="W1008" s="49"/>
      <c r="X1008" s="49"/>
      <c r="Y1008" s="49"/>
      <c r="Z1008" s="51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7"/>
      <c r="CP1008" s="7"/>
      <c r="CQ1008" s="7"/>
      <c r="CR1008" s="7"/>
      <c r="CS1008" s="7"/>
      <c r="CT1008" s="7"/>
      <c r="CU1008" s="7"/>
      <c r="CV1008" s="7"/>
      <c r="CW1008" s="7"/>
      <c r="CX1008" s="7"/>
      <c r="CY1008" s="7"/>
      <c r="CZ1008" s="7"/>
      <c r="DA1008" s="7"/>
      <c r="DB1008" s="7"/>
      <c r="DC1008" s="7"/>
      <c r="DD1008" s="7"/>
      <c r="DE1008" s="7"/>
      <c r="DF1008" s="7"/>
    </row>
    <row r="1009" spans="1:110" x14ac:dyDescent="0.25">
      <c r="A1009" s="7"/>
      <c r="B1009" s="7"/>
      <c r="C1009" s="48"/>
      <c r="D1009" s="7"/>
      <c r="E1009" s="7"/>
      <c r="F1009" s="7"/>
      <c r="G1009" s="49"/>
      <c r="H1009" s="7"/>
      <c r="I1009" s="50"/>
      <c r="J1009" s="49"/>
      <c r="K1009" s="49"/>
      <c r="M1009" s="49"/>
      <c r="N1009" s="49"/>
      <c r="O1009" s="49"/>
      <c r="P1009" s="49"/>
      <c r="Q1009" s="49"/>
      <c r="R1009" s="49"/>
      <c r="S1009" s="49"/>
      <c r="T1009" s="49"/>
      <c r="U1009" s="49"/>
      <c r="V1009" s="49"/>
      <c r="W1009" s="49"/>
      <c r="X1009" s="49"/>
      <c r="Y1009" s="49"/>
      <c r="Z1009" s="51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  <c r="CQ1009" s="7"/>
      <c r="CR1009" s="7"/>
      <c r="CS1009" s="7"/>
      <c r="CT1009" s="7"/>
      <c r="CU1009" s="7"/>
      <c r="CV1009" s="7"/>
      <c r="CW1009" s="7"/>
      <c r="CX1009" s="7"/>
      <c r="CY1009" s="7"/>
      <c r="CZ1009" s="7"/>
      <c r="DA1009" s="7"/>
      <c r="DB1009" s="7"/>
      <c r="DC1009" s="7"/>
      <c r="DD1009" s="7"/>
      <c r="DE1009" s="7"/>
      <c r="DF1009" s="7"/>
    </row>
    <row r="1010" spans="1:110" x14ac:dyDescent="0.25">
      <c r="A1010" s="7"/>
      <c r="B1010" s="7"/>
      <c r="C1010" s="48"/>
      <c r="D1010" s="7"/>
      <c r="E1010" s="7"/>
      <c r="F1010" s="7"/>
      <c r="G1010" s="49"/>
      <c r="H1010" s="7"/>
      <c r="I1010" s="50"/>
      <c r="J1010" s="49"/>
      <c r="K1010" s="49"/>
      <c r="M1010" s="49"/>
      <c r="N1010" s="49"/>
      <c r="O1010" s="49"/>
      <c r="P1010" s="49"/>
      <c r="Q1010" s="49"/>
      <c r="R1010" s="49"/>
      <c r="S1010" s="49"/>
      <c r="T1010" s="49"/>
      <c r="U1010" s="49"/>
      <c r="V1010" s="49"/>
      <c r="W1010" s="49"/>
      <c r="X1010" s="49"/>
      <c r="Y1010" s="49"/>
      <c r="Z1010" s="51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  <c r="CK1010" s="7"/>
      <c r="CL1010" s="7"/>
      <c r="CM1010" s="7"/>
      <c r="CN1010" s="7"/>
      <c r="CO1010" s="7"/>
      <c r="CP1010" s="7"/>
      <c r="CQ1010" s="7"/>
      <c r="CR1010" s="7"/>
      <c r="CS1010" s="7"/>
      <c r="CT1010" s="7"/>
      <c r="CU1010" s="7"/>
      <c r="CV1010" s="7"/>
      <c r="CW1010" s="7"/>
      <c r="CX1010" s="7"/>
      <c r="CY1010" s="7"/>
      <c r="CZ1010" s="7"/>
      <c r="DA1010" s="7"/>
      <c r="DB1010" s="7"/>
      <c r="DC1010" s="7"/>
      <c r="DD1010" s="7"/>
      <c r="DE1010" s="7"/>
      <c r="DF1010" s="7"/>
    </row>
    <row r="1011" spans="1:110" x14ac:dyDescent="0.25">
      <c r="A1011" s="7"/>
      <c r="B1011" s="7"/>
      <c r="C1011" s="48"/>
      <c r="D1011" s="7"/>
      <c r="E1011" s="7"/>
      <c r="F1011" s="7"/>
      <c r="G1011" s="49"/>
      <c r="H1011" s="7"/>
      <c r="I1011" s="50"/>
      <c r="J1011" s="49"/>
      <c r="K1011" s="49"/>
      <c r="M1011" s="49"/>
      <c r="N1011" s="49"/>
      <c r="O1011" s="49"/>
      <c r="P1011" s="49"/>
      <c r="Q1011" s="49"/>
      <c r="R1011" s="49"/>
      <c r="S1011" s="49"/>
      <c r="T1011" s="49"/>
      <c r="U1011" s="49"/>
      <c r="V1011" s="49"/>
      <c r="W1011" s="49"/>
      <c r="X1011" s="49"/>
      <c r="Y1011" s="49"/>
      <c r="Z1011" s="51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7"/>
      <c r="BP1011" s="7"/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7"/>
      <c r="CG1011" s="7"/>
      <c r="CH1011" s="7"/>
      <c r="CI1011" s="7"/>
      <c r="CJ1011" s="7"/>
      <c r="CK1011" s="7"/>
      <c r="CL1011" s="7"/>
      <c r="CM1011" s="7"/>
      <c r="CN1011" s="7"/>
      <c r="CO1011" s="7"/>
      <c r="CP1011" s="7"/>
      <c r="CQ1011" s="7"/>
      <c r="CR1011" s="7"/>
      <c r="CS1011" s="7"/>
      <c r="CT1011" s="7"/>
      <c r="CU1011" s="7"/>
      <c r="CV1011" s="7"/>
      <c r="CW1011" s="7"/>
      <c r="CX1011" s="7"/>
      <c r="CY1011" s="7"/>
      <c r="CZ1011" s="7"/>
      <c r="DA1011" s="7"/>
      <c r="DB1011" s="7"/>
      <c r="DC1011" s="7"/>
      <c r="DD1011" s="7"/>
      <c r="DE1011" s="7"/>
      <c r="DF1011" s="7"/>
    </row>
    <row r="1012" spans="1:110" x14ac:dyDescent="0.25">
      <c r="A1012" s="7"/>
      <c r="B1012" s="7"/>
      <c r="C1012" s="48"/>
      <c r="D1012" s="7"/>
      <c r="E1012" s="7"/>
      <c r="F1012" s="7"/>
      <c r="G1012" s="49"/>
      <c r="H1012" s="7"/>
      <c r="I1012" s="50"/>
      <c r="J1012" s="49"/>
      <c r="K1012" s="49"/>
      <c r="M1012" s="49"/>
      <c r="N1012" s="49"/>
      <c r="O1012" s="49"/>
      <c r="P1012" s="49"/>
      <c r="Q1012" s="49"/>
      <c r="R1012" s="49"/>
      <c r="S1012" s="49"/>
      <c r="T1012" s="49"/>
      <c r="U1012" s="49"/>
      <c r="V1012" s="49"/>
      <c r="W1012" s="49"/>
      <c r="X1012" s="49"/>
      <c r="Y1012" s="49"/>
      <c r="Z1012" s="51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7"/>
      <c r="BP1012" s="7"/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7"/>
      <c r="CG1012" s="7"/>
      <c r="CH1012" s="7"/>
      <c r="CI1012" s="7"/>
      <c r="CJ1012" s="7"/>
      <c r="CK1012" s="7"/>
      <c r="CL1012" s="7"/>
      <c r="CM1012" s="7"/>
      <c r="CN1012" s="7"/>
      <c r="CO1012" s="7"/>
      <c r="CP1012" s="7"/>
      <c r="CQ1012" s="7"/>
      <c r="CR1012" s="7"/>
      <c r="CS1012" s="7"/>
      <c r="CT1012" s="7"/>
      <c r="CU1012" s="7"/>
      <c r="CV1012" s="7"/>
      <c r="CW1012" s="7"/>
      <c r="CX1012" s="7"/>
      <c r="CY1012" s="7"/>
      <c r="CZ1012" s="7"/>
      <c r="DA1012" s="7"/>
      <c r="DB1012" s="7"/>
      <c r="DC1012" s="7"/>
      <c r="DD1012" s="7"/>
      <c r="DE1012" s="7"/>
      <c r="DF1012" s="7"/>
    </row>
    <row r="1013" spans="1:110" x14ac:dyDescent="0.25">
      <c r="A1013" s="7"/>
      <c r="B1013" s="7"/>
      <c r="C1013" s="48"/>
      <c r="D1013" s="7"/>
      <c r="E1013" s="7"/>
      <c r="F1013" s="7"/>
      <c r="G1013" s="49"/>
      <c r="H1013" s="7"/>
      <c r="I1013" s="50"/>
      <c r="J1013" s="49"/>
      <c r="K1013" s="49"/>
      <c r="M1013" s="49"/>
      <c r="N1013" s="49"/>
      <c r="O1013" s="49"/>
      <c r="P1013" s="49"/>
      <c r="Q1013" s="49"/>
      <c r="R1013" s="49"/>
      <c r="S1013" s="49"/>
      <c r="T1013" s="49"/>
      <c r="U1013" s="49"/>
      <c r="V1013" s="49"/>
      <c r="W1013" s="49"/>
      <c r="X1013" s="49"/>
      <c r="Y1013" s="49"/>
      <c r="Z1013" s="51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7"/>
      <c r="BN1013" s="7"/>
      <c r="BO1013" s="7"/>
      <c r="BP1013" s="7"/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  <c r="CK1013" s="7"/>
      <c r="CL1013" s="7"/>
      <c r="CM1013" s="7"/>
      <c r="CN1013" s="7"/>
      <c r="CO1013" s="7"/>
      <c r="CP1013" s="7"/>
      <c r="CQ1013" s="7"/>
      <c r="CR1013" s="7"/>
      <c r="CS1013" s="7"/>
      <c r="CT1013" s="7"/>
      <c r="CU1013" s="7"/>
      <c r="CV1013" s="7"/>
      <c r="CW1013" s="7"/>
      <c r="CX1013" s="7"/>
      <c r="CY1013" s="7"/>
      <c r="CZ1013" s="7"/>
      <c r="DA1013" s="7"/>
      <c r="DB1013" s="7"/>
      <c r="DC1013" s="7"/>
      <c r="DD1013" s="7"/>
      <c r="DE1013" s="7"/>
      <c r="DF1013" s="7"/>
    </row>
    <row r="1014" spans="1:110" x14ac:dyDescent="0.25">
      <c r="A1014" s="7"/>
      <c r="B1014" s="7"/>
      <c r="C1014" s="48"/>
      <c r="D1014" s="7"/>
      <c r="E1014" s="7"/>
      <c r="F1014" s="7"/>
      <c r="G1014" s="49"/>
      <c r="H1014" s="7"/>
      <c r="I1014" s="50"/>
      <c r="J1014" s="49"/>
      <c r="K1014" s="49"/>
      <c r="M1014" s="49"/>
      <c r="N1014" s="49"/>
      <c r="O1014" s="49"/>
      <c r="P1014" s="49"/>
      <c r="Q1014" s="49"/>
      <c r="R1014" s="49"/>
      <c r="S1014" s="49"/>
      <c r="T1014" s="49"/>
      <c r="U1014" s="49"/>
      <c r="V1014" s="49"/>
      <c r="W1014" s="49"/>
      <c r="X1014" s="49"/>
      <c r="Y1014" s="49"/>
      <c r="Z1014" s="51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7"/>
      <c r="BP1014" s="7"/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7"/>
      <c r="CG1014" s="7"/>
      <c r="CH1014" s="7"/>
      <c r="CI1014" s="7"/>
      <c r="CJ1014" s="7"/>
      <c r="CK1014" s="7"/>
      <c r="CL1014" s="7"/>
      <c r="CM1014" s="7"/>
      <c r="CN1014" s="7"/>
      <c r="CO1014" s="7"/>
      <c r="CP1014" s="7"/>
      <c r="CQ1014" s="7"/>
      <c r="CR1014" s="7"/>
      <c r="CS1014" s="7"/>
      <c r="CT1014" s="7"/>
      <c r="CU1014" s="7"/>
      <c r="CV1014" s="7"/>
      <c r="CW1014" s="7"/>
      <c r="CX1014" s="7"/>
      <c r="CY1014" s="7"/>
      <c r="CZ1014" s="7"/>
      <c r="DA1014" s="7"/>
      <c r="DB1014" s="7"/>
      <c r="DC1014" s="7"/>
      <c r="DD1014" s="7"/>
      <c r="DE1014" s="7"/>
      <c r="DF1014" s="7"/>
    </row>
    <row r="1015" spans="1:110" x14ac:dyDescent="0.25">
      <c r="A1015" s="7"/>
      <c r="B1015" s="7"/>
      <c r="C1015" s="48"/>
      <c r="D1015" s="7"/>
      <c r="E1015" s="7"/>
      <c r="F1015" s="7"/>
      <c r="G1015" s="49"/>
      <c r="H1015" s="7"/>
      <c r="I1015" s="50"/>
      <c r="J1015" s="49"/>
      <c r="K1015" s="49"/>
      <c r="M1015" s="49"/>
      <c r="N1015" s="49"/>
      <c r="O1015" s="49"/>
      <c r="P1015" s="49"/>
      <c r="Q1015" s="49"/>
      <c r="R1015" s="49"/>
      <c r="S1015" s="49"/>
      <c r="T1015" s="49"/>
      <c r="U1015" s="49"/>
      <c r="V1015" s="49"/>
      <c r="W1015" s="49"/>
      <c r="X1015" s="49"/>
      <c r="Y1015" s="49"/>
      <c r="Z1015" s="51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7"/>
      <c r="BP1015" s="7"/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  <c r="CK1015" s="7"/>
      <c r="CL1015" s="7"/>
      <c r="CM1015" s="7"/>
      <c r="CN1015" s="7"/>
      <c r="CO1015" s="7"/>
      <c r="CP1015" s="7"/>
      <c r="CQ1015" s="7"/>
      <c r="CR1015" s="7"/>
      <c r="CS1015" s="7"/>
      <c r="CT1015" s="7"/>
      <c r="CU1015" s="7"/>
      <c r="CV1015" s="7"/>
      <c r="CW1015" s="7"/>
      <c r="CX1015" s="7"/>
      <c r="CY1015" s="7"/>
      <c r="CZ1015" s="7"/>
      <c r="DA1015" s="7"/>
      <c r="DB1015" s="7"/>
      <c r="DC1015" s="7"/>
      <c r="DD1015" s="7"/>
      <c r="DE1015" s="7"/>
      <c r="DF1015" s="7"/>
    </row>
    <row r="1016" spans="1:110" x14ac:dyDescent="0.25">
      <c r="A1016" s="7"/>
      <c r="B1016" s="7"/>
      <c r="C1016" s="48"/>
      <c r="D1016" s="7"/>
      <c r="E1016" s="7"/>
      <c r="F1016" s="7"/>
      <c r="G1016" s="49"/>
      <c r="H1016" s="7"/>
      <c r="I1016" s="50"/>
      <c r="J1016" s="49"/>
      <c r="K1016" s="49"/>
      <c r="M1016" s="49"/>
      <c r="N1016" s="49"/>
      <c r="O1016" s="49"/>
      <c r="P1016" s="49"/>
      <c r="Q1016" s="49"/>
      <c r="R1016" s="49"/>
      <c r="S1016" s="49"/>
      <c r="T1016" s="49"/>
      <c r="U1016" s="49"/>
      <c r="V1016" s="49"/>
      <c r="W1016" s="49"/>
      <c r="X1016" s="49"/>
      <c r="Y1016" s="49"/>
      <c r="Z1016" s="51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7"/>
      <c r="BP1016" s="7"/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  <c r="CK1016" s="7"/>
      <c r="CL1016" s="7"/>
      <c r="CM1016" s="7"/>
      <c r="CN1016" s="7"/>
      <c r="CO1016" s="7"/>
      <c r="CP1016" s="7"/>
      <c r="CQ1016" s="7"/>
      <c r="CR1016" s="7"/>
      <c r="CS1016" s="7"/>
      <c r="CT1016" s="7"/>
      <c r="CU1016" s="7"/>
      <c r="CV1016" s="7"/>
      <c r="CW1016" s="7"/>
      <c r="CX1016" s="7"/>
      <c r="CY1016" s="7"/>
      <c r="CZ1016" s="7"/>
      <c r="DA1016" s="7"/>
      <c r="DB1016" s="7"/>
      <c r="DC1016" s="7"/>
      <c r="DD1016" s="7"/>
      <c r="DE1016" s="7"/>
      <c r="DF1016" s="7"/>
    </row>
    <row r="1017" spans="1:110" x14ac:dyDescent="0.25">
      <c r="A1017" s="7"/>
      <c r="B1017" s="7"/>
      <c r="C1017" s="48"/>
      <c r="D1017" s="7"/>
      <c r="E1017" s="7"/>
      <c r="F1017" s="7"/>
      <c r="G1017" s="49"/>
      <c r="H1017" s="7"/>
      <c r="I1017" s="50"/>
      <c r="J1017" s="49"/>
      <c r="K1017" s="49"/>
      <c r="M1017" s="49"/>
      <c r="N1017" s="49"/>
      <c r="O1017" s="49"/>
      <c r="P1017" s="49"/>
      <c r="Q1017" s="49"/>
      <c r="R1017" s="49"/>
      <c r="S1017" s="49"/>
      <c r="T1017" s="49"/>
      <c r="U1017" s="49"/>
      <c r="V1017" s="49"/>
      <c r="W1017" s="49"/>
      <c r="X1017" s="49"/>
      <c r="Y1017" s="49"/>
      <c r="Z1017" s="51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7"/>
      <c r="BP1017" s="7"/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/>
      <c r="CJ1017" s="7"/>
      <c r="CK1017" s="7"/>
      <c r="CL1017" s="7"/>
      <c r="CM1017" s="7"/>
      <c r="CN1017" s="7"/>
      <c r="CO1017" s="7"/>
      <c r="CP1017" s="7"/>
      <c r="CQ1017" s="7"/>
      <c r="CR1017" s="7"/>
      <c r="CS1017" s="7"/>
      <c r="CT1017" s="7"/>
      <c r="CU1017" s="7"/>
      <c r="CV1017" s="7"/>
      <c r="CW1017" s="7"/>
      <c r="CX1017" s="7"/>
      <c r="CY1017" s="7"/>
      <c r="CZ1017" s="7"/>
      <c r="DA1017" s="7"/>
      <c r="DB1017" s="7"/>
      <c r="DC1017" s="7"/>
      <c r="DD1017" s="7"/>
      <c r="DE1017" s="7"/>
      <c r="DF1017" s="7"/>
    </row>
    <row r="1018" spans="1:110" x14ac:dyDescent="0.25">
      <c r="A1018" s="7"/>
      <c r="B1018" s="7"/>
      <c r="C1018" s="48"/>
      <c r="D1018" s="7"/>
      <c r="E1018" s="7"/>
      <c r="F1018" s="7"/>
      <c r="G1018" s="49"/>
      <c r="H1018" s="7"/>
      <c r="I1018" s="50"/>
      <c r="J1018" s="49"/>
      <c r="K1018" s="49"/>
      <c r="M1018" s="49"/>
      <c r="N1018" s="49"/>
      <c r="O1018" s="49"/>
      <c r="P1018" s="49"/>
      <c r="Q1018" s="49"/>
      <c r="R1018" s="49"/>
      <c r="S1018" s="49"/>
      <c r="T1018" s="49"/>
      <c r="U1018" s="49"/>
      <c r="V1018" s="49"/>
      <c r="W1018" s="49"/>
      <c r="X1018" s="49"/>
      <c r="Y1018" s="49"/>
      <c r="Z1018" s="51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7"/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  <c r="CK1018" s="7"/>
      <c r="CL1018" s="7"/>
      <c r="CM1018" s="7"/>
      <c r="CN1018" s="7"/>
      <c r="CO1018" s="7"/>
      <c r="CP1018" s="7"/>
      <c r="CQ1018" s="7"/>
      <c r="CR1018" s="7"/>
      <c r="CS1018" s="7"/>
      <c r="CT1018" s="7"/>
      <c r="CU1018" s="7"/>
      <c r="CV1018" s="7"/>
      <c r="CW1018" s="7"/>
      <c r="CX1018" s="7"/>
      <c r="CY1018" s="7"/>
      <c r="CZ1018" s="7"/>
      <c r="DA1018" s="7"/>
      <c r="DB1018" s="7"/>
      <c r="DC1018" s="7"/>
      <c r="DD1018" s="7"/>
      <c r="DE1018" s="7"/>
      <c r="DF1018" s="7"/>
    </row>
    <row r="1019" spans="1:110" x14ac:dyDescent="0.25">
      <c r="A1019" s="7"/>
      <c r="B1019" s="7"/>
      <c r="C1019" s="48"/>
      <c r="D1019" s="7"/>
      <c r="E1019" s="7"/>
      <c r="F1019" s="7"/>
      <c r="G1019" s="49"/>
      <c r="H1019" s="7"/>
      <c r="I1019" s="50"/>
      <c r="J1019" s="49"/>
      <c r="K1019" s="49"/>
      <c r="M1019" s="49"/>
      <c r="N1019" s="49"/>
      <c r="O1019" s="49"/>
      <c r="P1019" s="49"/>
      <c r="Q1019" s="49"/>
      <c r="R1019" s="49"/>
      <c r="S1019" s="49"/>
      <c r="T1019" s="49"/>
      <c r="U1019" s="49"/>
      <c r="V1019" s="49"/>
      <c r="W1019" s="49"/>
      <c r="X1019" s="49"/>
      <c r="Y1019" s="49"/>
      <c r="Z1019" s="51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7"/>
      <c r="BP1019" s="7"/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7"/>
      <c r="CG1019" s="7"/>
      <c r="CH1019" s="7"/>
      <c r="CI1019" s="7"/>
      <c r="CJ1019" s="7"/>
      <c r="CK1019" s="7"/>
      <c r="CL1019" s="7"/>
      <c r="CM1019" s="7"/>
      <c r="CN1019" s="7"/>
      <c r="CO1019" s="7"/>
      <c r="CP1019" s="7"/>
      <c r="CQ1019" s="7"/>
      <c r="CR1019" s="7"/>
      <c r="CS1019" s="7"/>
      <c r="CT1019" s="7"/>
      <c r="CU1019" s="7"/>
      <c r="CV1019" s="7"/>
      <c r="CW1019" s="7"/>
      <c r="CX1019" s="7"/>
      <c r="CY1019" s="7"/>
      <c r="CZ1019" s="7"/>
      <c r="DA1019" s="7"/>
      <c r="DB1019" s="7"/>
      <c r="DC1019" s="7"/>
      <c r="DD1019" s="7"/>
      <c r="DE1019" s="7"/>
      <c r="DF1019" s="7"/>
    </row>
    <row r="1020" spans="1:110" x14ac:dyDescent="0.25">
      <c r="A1020" s="7"/>
      <c r="B1020" s="7"/>
      <c r="C1020" s="48"/>
      <c r="D1020" s="7"/>
      <c r="E1020" s="7"/>
      <c r="F1020" s="7"/>
      <c r="G1020" s="49"/>
      <c r="H1020" s="7"/>
      <c r="I1020" s="50"/>
      <c r="J1020" s="49"/>
      <c r="K1020" s="49"/>
      <c r="M1020" s="49"/>
      <c r="N1020" s="49"/>
      <c r="O1020" s="49"/>
      <c r="P1020" s="49"/>
      <c r="Q1020" s="49"/>
      <c r="R1020" s="49"/>
      <c r="S1020" s="49"/>
      <c r="T1020" s="49"/>
      <c r="U1020" s="49"/>
      <c r="V1020" s="49"/>
      <c r="W1020" s="49"/>
      <c r="X1020" s="49"/>
      <c r="Y1020" s="49"/>
      <c r="Z1020" s="51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7"/>
      <c r="BN1020" s="7"/>
      <c r="BO1020" s="7"/>
      <c r="BP1020" s="7"/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/>
      <c r="CJ1020" s="7"/>
      <c r="CK1020" s="7"/>
      <c r="CL1020" s="7"/>
      <c r="CM1020" s="7"/>
      <c r="CN1020" s="7"/>
      <c r="CO1020" s="7"/>
      <c r="CP1020" s="7"/>
      <c r="CQ1020" s="7"/>
      <c r="CR1020" s="7"/>
      <c r="CS1020" s="7"/>
      <c r="CT1020" s="7"/>
      <c r="CU1020" s="7"/>
      <c r="CV1020" s="7"/>
      <c r="CW1020" s="7"/>
      <c r="CX1020" s="7"/>
      <c r="CY1020" s="7"/>
      <c r="CZ1020" s="7"/>
      <c r="DA1020" s="7"/>
      <c r="DB1020" s="7"/>
      <c r="DC1020" s="7"/>
      <c r="DD1020" s="7"/>
      <c r="DE1020" s="7"/>
      <c r="DF1020" s="7"/>
    </row>
    <row r="1021" spans="1:110" x14ac:dyDescent="0.25">
      <c r="A1021" s="7"/>
      <c r="B1021" s="7"/>
      <c r="C1021" s="48"/>
      <c r="D1021" s="7"/>
      <c r="E1021" s="7"/>
      <c r="F1021" s="7"/>
      <c r="G1021" s="49"/>
      <c r="H1021" s="7"/>
      <c r="I1021" s="50"/>
      <c r="J1021" s="49"/>
      <c r="K1021" s="49"/>
      <c r="M1021" s="49"/>
      <c r="N1021" s="49"/>
      <c r="O1021" s="49"/>
      <c r="P1021" s="49"/>
      <c r="Q1021" s="49"/>
      <c r="R1021" s="49"/>
      <c r="S1021" s="49"/>
      <c r="T1021" s="49"/>
      <c r="U1021" s="49"/>
      <c r="V1021" s="49"/>
      <c r="W1021" s="49"/>
      <c r="X1021" s="49"/>
      <c r="Y1021" s="49"/>
      <c r="Z1021" s="51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7"/>
      <c r="BP1021" s="7"/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  <c r="CK1021" s="7"/>
      <c r="CL1021" s="7"/>
      <c r="CM1021" s="7"/>
      <c r="CN1021" s="7"/>
      <c r="CO1021" s="7"/>
      <c r="CP1021" s="7"/>
      <c r="CQ1021" s="7"/>
      <c r="CR1021" s="7"/>
      <c r="CS1021" s="7"/>
      <c r="CT1021" s="7"/>
      <c r="CU1021" s="7"/>
      <c r="CV1021" s="7"/>
      <c r="CW1021" s="7"/>
      <c r="CX1021" s="7"/>
      <c r="CY1021" s="7"/>
      <c r="CZ1021" s="7"/>
      <c r="DA1021" s="7"/>
      <c r="DB1021" s="7"/>
      <c r="DC1021" s="7"/>
      <c r="DD1021" s="7"/>
      <c r="DE1021" s="7"/>
      <c r="DF1021" s="7"/>
    </row>
    <row r="1022" spans="1:110" x14ac:dyDescent="0.25">
      <c r="A1022" s="7"/>
      <c r="B1022" s="7"/>
      <c r="C1022" s="48"/>
      <c r="D1022" s="7"/>
      <c r="E1022" s="7"/>
      <c r="F1022" s="7"/>
      <c r="G1022" s="49"/>
      <c r="H1022" s="7"/>
      <c r="I1022" s="50"/>
      <c r="J1022" s="49"/>
      <c r="K1022" s="49"/>
      <c r="M1022" s="49"/>
      <c r="N1022" s="49"/>
      <c r="O1022" s="49"/>
      <c r="P1022" s="49"/>
      <c r="Q1022" s="49"/>
      <c r="R1022" s="49"/>
      <c r="S1022" s="49"/>
      <c r="T1022" s="49"/>
      <c r="U1022" s="49"/>
      <c r="V1022" s="49"/>
      <c r="W1022" s="49"/>
      <c r="X1022" s="49"/>
      <c r="Y1022" s="49"/>
      <c r="Z1022" s="51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  <c r="BN1022" s="7"/>
      <c r="BO1022" s="7"/>
      <c r="BP1022" s="7"/>
      <c r="BQ1022" s="7"/>
      <c r="BR1022" s="7"/>
      <c r="BS1022" s="7"/>
      <c r="BT1022" s="7"/>
      <c r="BU1022" s="7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7"/>
      <c r="CG1022" s="7"/>
      <c r="CH1022" s="7"/>
      <c r="CI1022" s="7"/>
      <c r="CJ1022" s="7"/>
      <c r="CK1022" s="7"/>
      <c r="CL1022" s="7"/>
      <c r="CM1022" s="7"/>
      <c r="CN1022" s="7"/>
      <c r="CO1022" s="7"/>
      <c r="CP1022" s="7"/>
      <c r="CQ1022" s="7"/>
      <c r="CR1022" s="7"/>
      <c r="CS1022" s="7"/>
      <c r="CT1022" s="7"/>
      <c r="CU1022" s="7"/>
      <c r="CV1022" s="7"/>
      <c r="CW1022" s="7"/>
      <c r="CX1022" s="7"/>
      <c r="CY1022" s="7"/>
      <c r="CZ1022" s="7"/>
      <c r="DA1022" s="7"/>
      <c r="DB1022" s="7"/>
      <c r="DC1022" s="7"/>
      <c r="DD1022" s="7"/>
      <c r="DE1022" s="7"/>
      <c r="DF1022" s="7"/>
    </row>
    <row r="1023" spans="1:110" x14ac:dyDescent="0.25">
      <c r="A1023" s="7"/>
      <c r="B1023" s="7"/>
      <c r="C1023" s="48"/>
      <c r="D1023" s="7"/>
      <c r="E1023" s="7"/>
      <c r="F1023" s="7"/>
      <c r="G1023" s="49"/>
      <c r="H1023" s="7"/>
      <c r="I1023" s="50"/>
      <c r="J1023" s="49"/>
      <c r="K1023" s="49"/>
      <c r="M1023" s="49"/>
      <c r="N1023" s="49"/>
      <c r="O1023" s="49"/>
      <c r="P1023" s="49"/>
      <c r="Q1023" s="49"/>
      <c r="R1023" s="49"/>
      <c r="S1023" s="49"/>
      <c r="T1023" s="49"/>
      <c r="U1023" s="49"/>
      <c r="V1023" s="49"/>
      <c r="W1023" s="49"/>
      <c r="X1023" s="49"/>
      <c r="Y1023" s="49"/>
      <c r="Z1023" s="51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7"/>
      <c r="BP1023" s="7"/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  <c r="CK1023" s="7"/>
      <c r="CL1023" s="7"/>
      <c r="CM1023" s="7"/>
      <c r="CN1023" s="7"/>
      <c r="CO1023" s="7"/>
      <c r="CP1023" s="7"/>
      <c r="CQ1023" s="7"/>
      <c r="CR1023" s="7"/>
      <c r="CS1023" s="7"/>
      <c r="CT1023" s="7"/>
      <c r="CU1023" s="7"/>
      <c r="CV1023" s="7"/>
      <c r="CW1023" s="7"/>
      <c r="CX1023" s="7"/>
      <c r="CY1023" s="7"/>
      <c r="CZ1023" s="7"/>
      <c r="DA1023" s="7"/>
      <c r="DB1023" s="7"/>
      <c r="DC1023" s="7"/>
      <c r="DD1023" s="7"/>
      <c r="DE1023" s="7"/>
      <c r="DF1023" s="7"/>
    </row>
    <row r="1024" spans="1:110" x14ac:dyDescent="0.25">
      <c r="A1024" s="7"/>
      <c r="B1024" s="7"/>
      <c r="C1024" s="48"/>
      <c r="D1024" s="7"/>
      <c r="E1024" s="7"/>
      <c r="F1024" s="7"/>
      <c r="G1024" s="49"/>
      <c r="H1024" s="7"/>
      <c r="I1024" s="50"/>
      <c r="J1024" s="49"/>
      <c r="K1024" s="49"/>
      <c r="M1024" s="49"/>
      <c r="N1024" s="49"/>
      <c r="O1024" s="49"/>
      <c r="P1024" s="49"/>
      <c r="Q1024" s="49"/>
      <c r="R1024" s="49"/>
      <c r="S1024" s="49"/>
      <c r="T1024" s="49"/>
      <c r="U1024" s="49"/>
      <c r="V1024" s="49"/>
      <c r="W1024" s="49"/>
      <c r="X1024" s="49"/>
      <c r="Y1024" s="49"/>
      <c r="Z1024" s="51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7"/>
      <c r="BP1024" s="7"/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/>
      <c r="CJ1024" s="7"/>
      <c r="CK1024" s="7"/>
      <c r="CL1024" s="7"/>
      <c r="CM1024" s="7"/>
      <c r="CN1024" s="7"/>
      <c r="CO1024" s="7"/>
      <c r="CP1024" s="7"/>
      <c r="CQ1024" s="7"/>
      <c r="CR1024" s="7"/>
      <c r="CS1024" s="7"/>
      <c r="CT1024" s="7"/>
      <c r="CU1024" s="7"/>
      <c r="CV1024" s="7"/>
      <c r="CW1024" s="7"/>
      <c r="CX1024" s="7"/>
      <c r="CY1024" s="7"/>
      <c r="CZ1024" s="7"/>
      <c r="DA1024" s="7"/>
      <c r="DB1024" s="7"/>
      <c r="DC1024" s="7"/>
      <c r="DD1024" s="7"/>
      <c r="DE1024" s="7"/>
      <c r="DF1024" s="7"/>
    </row>
    <row r="1025" spans="1:110" x14ac:dyDescent="0.25">
      <c r="A1025" s="7"/>
      <c r="B1025" s="7"/>
      <c r="C1025" s="48"/>
      <c r="D1025" s="7"/>
      <c r="E1025" s="7"/>
      <c r="F1025" s="7"/>
      <c r="G1025" s="49"/>
      <c r="H1025" s="7"/>
      <c r="I1025" s="50"/>
      <c r="J1025" s="49"/>
      <c r="K1025" s="49"/>
      <c r="M1025" s="49"/>
      <c r="N1025" s="49"/>
      <c r="O1025" s="49"/>
      <c r="P1025" s="49"/>
      <c r="Q1025" s="49"/>
      <c r="R1025" s="49"/>
      <c r="S1025" s="49"/>
      <c r="T1025" s="49"/>
      <c r="U1025" s="49"/>
      <c r="V1025" s="49"/>
      <c r="W1025" s="49"/>
      <c r="X1025" s="49"/>
      <c r="Y1025" s="49"/>
      <c r="Z1025" s="51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  <c r="CK1025" s="7"/>
      <c r="CL1025" s="7"/>
      <c r="CM1025" s="7"/>
      <c r="CN1025" s="7"/>
      <c r="CO1025" s="7"/>
      <c r="CP1025" s="7"/>
      <c r="CQ1025" s="7"/>
      <c r="CR1025" s="7"/>
      <c r="CS1025" s="7"/>
      <c r="CT1025" s="7"/>
      <c r="CU1025" s="7"/>
      <c r="CV1025" s="7"/>
      <c r="CW1025" s="7"/>
      <c r="CX1025" s="7"/>
      <c r="CY1025" s="7"/>
      <c r="CZ1025" s="7"/>
      <c r="DA1025" s="7"/>
      <c r="DB1025" s="7"/>
      <c r="DC1025" s="7"/>
      <c r="DD1025" s="7"/>
      <c r="DE1025" s="7"/>
      <c r="DF1025" s="7"/>
    </row>
    <row r="1026" spans="1:110" x14ac:dyDescent="0.25">
      <c r="A1026" s="7"/>
      <c r="B1026" s="7"/>
      <c r="C1026" s="48"/>
      <c r="D1026" s="7"/>
      <c r="E1026" s="7"/>
      <c r="F1026" s="7"/>
      <c r="G1026" s="49"/>
      <c r="H1026" s="7"/>
      <c r="I1026" s="50"/>
      <c r="J1026" s="49"/>
      <c r="K1026" s="49"/>
      <c r="M1026" s="49"/>
      <c r="N1026" s="49"/>
      <c r="O1026" s="49"/>
      <c r="P1026" s="49"/>
      <c r="Q1026" s="49"/>
      <c r="R1026" s="49"/>
      <c r="S1026" s="49"/>
      <c r="T1026" s="49"/>
      <c r="U1026" s="49"/>
      <c r="V1026" s="49"/>
      <c r="W1026" s="49"/>
      <c r="X1026" s="49"/>
      <c r="Y1026" s="49"/>
      <c r="Z1026" s="51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7"/>
      <c r="BP1026" s="7"/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  <c r="CK1026" s="7"/>
      <c r="CL1026" s="7"/>
      <c r="CM1026" s="7"/>
      <c r="CN1026" s="7"/>
      <c r="CO1026" s="7"/>
      <c r="CP1026" s="7"/>
      <c r="CQ1026" s="7"/>
      <c r="CR1026" s="7"/>
      <c r="CS1026" s="7"/>
      <c r="CT1026" s="7"/>
      <c r="CU1026" s="7"/>
      <c r="CV1026" s="7"/>
      <c r="CW1026" s="7"/>
      <c r="CX1026" s="7"/>
      <c r="CY1026" s="7"/>
      <c r="CZ1026" s="7"/>
      <c r="DA1026" s="7"/>
      <c r="DB1026" s="7"/>
      <c r="DC1026" s="7"/>
      <c r="DD1026" s="7"/>
      <c r="DE1026" s="7"/>
      <c r="DF1026" s="7"/>
    </row>
    <row r="1027" spans="1:110" x14ac:dyDescent="0.25">
      <c r="A1027" s="7"/>
      <c r="B1027" s="7"/>
      <c r="C1027" s="48"/>
      <c r="D1027" s="7"/>
      <c r="E1027" s="7"/>
      <c r="F1027" s="7"/>
      <c r="G1027" s="49"/>
      <c r="H1027" s="7"/>
      <c r="I1027" s="50"/>
      <c r="J1027" s="49"/>
      <c r="K1027" s="49"/>
      <c r="M1027" s="49"/>
      <c r="N1027" s="49"/>
      <c r="O1027" s="49"/>
      <c r="P1027" s="49"/>
      <c r="Q1027" s="49"/>
      <c r="R1027" s="49"/>
      <c r="S1027" s="49"/>
      <c r="T1027" s="49"/>
      <c r="U1027" s="49"/>
      <c r="V1027" s="49"/>
      <c r="W1027" s="49"/>
      <c r="X1027" s="49"/>
      <c r="Y1027" s="49"/>
      <c r="Z1027" s="51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7"/>
      <c r="BP1027" s="7"/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/>
      <c r="CJ1027" s="7"/>
      <c r="CK1027" s="7"/>
      <c r="CL1027" s="7"/>
      <c r="CM1027" s="7"/>
      <c r="CN1027" s="7"/>
      <c r="CO1027" s="7"/>
      <c r="CP1027" s="7"/>
      <c r="CQ1027" s="7"/>
      <c r="CR1027" s="7"/>
      <c r="CS1027" s="7"/>
      <c r="CT1027" s="7"/>
      <c r="CU1027" s="7"/>
      <c r="CV1027" s="7"/>
      <c r="CW1027" s="7"/>
      <c r="CX1027" s="7"/>
      <c r="CY1027" s="7"/>
      <c r="CZ1027" s="7"/>
      <c r="DA1027" s="7"/>
      <c r="DB1027" s="7"/>
      <c r="DC1027" s="7"/>
      <c r="DD1027" s="7"/>
      <c r="DE1027" s="7"/>
      <c r="DF1027" s="7"/>
    </row>
    <row r="1028" spans="1:110" x14ac:dyDescent="0.25">
      <c r="A1028" s="7"/>
      <c r="B1028" s="7"/>
      <c r="C1028" s="48"/>
      <c r="D1028" s="7"/>
      <c r="E1028" s="7"/>
      <c r="F1028" s="7"/>
      <c r="G1028" s="49"/>
      <c r="H1028" s="7"/>
      <c r="I1028" s="50"/>
      <c r="J1028" s="49"/>
      <c r="K1028" s="49"/>
      <c r="M1028" s="49"/>
      <c r="N1028" s="49"/>
      <c r="O1028" s="49"/>
      <c r="P1028" s="49"/>
      <c r="Q1028" s="49"/>
      <c r="R1028" s="49"/>
      <c r="S1028" s="49"/>
      <c r="T1028" s="49"/>
      <c r="U1028" s="49"/>
      <c r="V1028" s="49"/>
      <c r="W1028" s="49"/>
      <c r="X1028" s="49"/>
      <c r="Y1028" s="49"/>
      <c r="Z1028" s="51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  <c r="BN1028" s="7"/>
      <c r="BO1028" s="7"/>
      <c r="BP1028" s="7"/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7"/>
      <c r="CG1028" s="7"/>
      <c r="CH1028" s="7"/>
      <c r="CI1028" s="7"/>
      <c r="CJ1028" s="7"/>
      <c r="CK1028" s="7"/>
      <c r="CL1028" s="7"/>
      <c r="CM1028" s="7"/>
      <c r="CN1028" s="7"/>
      <c r="CO1028" s="7"/>
      <c r="CP1028" s="7"/>
      <c r="CQ1028" s="7"/>
      <c r="CR1028" s="7"/>
      <c r="CS1028" s="7"/>
      <c r="CT1028" s="7"/>
      <c r="CU1028" s="7"/>
      <c r="CV1028" s="7"/>
      <c r="CW1028" s="7"/>
      <c r="CX1028" s="7"/>
      <c r="CY1028" s="7"/>
      <c r="CZ1028" s="7"/>
      <c r="DA1028" s="7"/>
      <c r="DB1028" s="7"/>
      <c r="DC1028" s="7"/>
      <c r="DD1028" s="7"/>
      <c r="DE1028" s="7"/>
      <c r="DF1028" s="7"/>
    </row>
    <row r="1029" spans="1:110" x14ac:dyDescent="0.25">
      <c r="A1029" s="7"/>
      <c r="B1029" s="7"/>
      <c r="C1029" s="48"/>
      <c r="D1029" s="7"/>
      <c r="E1029" s="7"/>
      <c r="F1029" s="7"/>
      <c r="G1029" s="49"/>
      <c r="H1029" s="7"/>
      <c r="I1029" s="50"/>
      <c r="J1029" s="49"/>
      <c r="K1029" s="49"/>
      <c r="M1029" s="49"/>
      <c r="N1029" s="49"/>
      <c r="O1029" s="49"/>
      <c r="P1029" s="49"/>
      <c r="Q1029" s="49"/>
      <c r="R1029" s="49"/>
      <c r="S1029" s="49"/>
      <c r="T1029" s="49"/>
      <c r="U1029" s="49"/>
      <c r="V1029" s="49"/>
      <c r="W1029" s="49"/>
      <c r="X1029" s="49"/>
      <c r="Y1029" s="49"/>
      <c r="Z1029" s="51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7"/>
      <c r="BP1029" s="7"/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  <c r="CK1029" s="7"/>
      <c r="CL1029" s="7"/>
      <c r="CM1029" s="7"/>
      <c r="CN1029" s="7"/>
      <c r="CO1029" s="7"/>
      <c r="CP1029" s="7"/>
      <c r="CQ1029" s="7"/>
      <c r="CR1029" s="7"/>
      <c r="CS1029" s="7"/>
      <c r="CT1029" s="7"/>
      <c r="CU1029" s="7"/>
      <c r="CV1029" s="7"/>
      <c r="CW1029" s="7"/>
      <c r="CX1029" s="7"/>
      <c r="CY1029" s="7"/>
      <c r="CZ1029" s="7"/>
      <c r="DA1029" s="7"/>
      <c r="DB1029" s="7"/>
      <c r="DC1029" s="7"/>
      <c r="DD1029" s="7"/>
      <c r="DE1029" s="7"/>
      <c r="DF1029" s="7"/>
    </row>
    <row r="1030" spans="1:110" x14ac:dyDescent="0.25">
      <c r="A1030" s="7"/>
      <c r="B1030" s="7"/>
      <c r="C1030" s="48"/>
      <c r="D1030" s="7"/>
      <c r="E1030" s="7"/>
      <c r="F1030" s="7"/>
      <c r="G1030" s="49"/>
      <c r="H1030" s="7"/>
      <c r="I1030" s="50"/>
      <c r="J1030" s="49"/>
      <c r="K1030" s="49"/>
      <c r="M1030" s="49"/>
      <c r="N1030" s="49"/>
      <c r="O1030" s="49"/>
      <c r="P1030" s="49"/>
      <c r="Q1030" s="49"/>
      <c r="R1030" s="49"/>
      <c r="S1030" s="49"/>
      <c r="T1030" s="49"/>
      <c r="U1030" s="49"/>
      <c r="V1030" s="49"/>
      <c r="W1030" s="49"/>
      <c r="X1030" s="49"/>
      <c r="Y1030" s="49"/>
      <c r="Z1030" s="51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  <c r="BN1030" s="7"/>
      <c r="BO1030" s="7"/>
      <c r="BP1030" s="7"/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7"/>
      <c r="CG1030" s="7"/>
      <c r="CH1030" s="7"/>
      <c r="CI1030" s="7"/>
      <c r="CJ1030" s="7"/>
      <c r="CK1030" s="7"/>
      <c r="CL1030" s="7"/>
      <c r="CM1030" s="7"/>
      <c r="CN1030" s="7"/>
      <c r="CO1030" s="7"/>
      <c r="CP1030" s="7"/>
      <c r="CQ1030" s="7"/>
      <c r="CR1030" s="7"/>
      <c r="CS1030" s="7"/>
      <c r="CT1030" s="7"/>
      <c r="CU1030" s="7"/>
      <c r="CV1030" s="7"/>
      <c r="CW1030" s="7"/>
      <c r="CX1030" s="7"/>
      <c r="CY1030" s="7"/>
      <c r="CZ1030" s="7"/>
      <c r="DA1030" s="7"/>
      <c r="DB1030" s="7"/>
      <c r="DC1030" s="7"/>
      <c r="DD1030" s="7"/>
      <c r="DE1030" s="7"/>
      <c r="DF1030" s="7"/>
    </row>
    <row r="1031" spans="1:110" x14ac:dyDescent="0.25">
      <c r="A1031" s="7"/>
      <c r="B1031" s="7"/>
      <c r="C1031" s="48"/>
      <c r="D1031" s="7"/>
      <c r="E1031" s="7"/>
      <c r="F1031" s="7"/>
      <c r="G1031" s="49"/>
      <c r="H1031" s="7"/>
      <c r="I1031" s="50"/>
      <c r="J1031" s="49"/>
      <c r="K1031" s="49"/>
      <c r="M1031" s="49"/>
      <c r="N1031" s="49"/>
      <c r="O1031" s="49"/>
      <c r="P1031" s="49"/>
      <c r="Q1031" s="49"/>
      <c r="R1031" s="49"/>
      <c r="S1031" s="49"/>
      <c r="T1031" s="49"/>
      <c r="U1031" s="49"/>
      <c r="V1031" s="49"/>
      <c r="W1031" s="49"/>
      <c r="X1031" s="49"/>
      <c r="Y1031" s="49"/>
      <c r="Z1031" s="51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  <c r="BN1031" s="7"/>
      <c r="BO1031" s="7"/>
      <c r="BP1031" s="7"/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  <c r="CG1031" s="7"/>
      <c r="CH1031" s="7"/>
      <c r="CI1031" s="7"/>
      <c r="CJ1031" s="7"/>
      <c r="CK1031" s="7"/>
      <c r="CL1031" s="7"/>
      <c r="CM1031" s="7"/>
      <c r="CN1031" s="7"/>
      <c r="CO1031" s="7"/>
      <c r="CP1031" s="7"/>
      <c r="CQ1031" s="7"/>
      <c r="CR1031" s="7"/>
      <c r="CS1031" s="7"/>
      <c r="CT1031" s="7"/>
      <c r="CU1031" s="7"/>
      <c r="CV1031" s="7"/>
      <c r="CW1031" s="7"/>
      <c r="CX1031" s="7"/>
      <c r="CY1031" s="7"/>
      <c r="CZ1031" s="7"/>
      <c r="DA1031" s="7"/>
      <c r="DB1031" s="7"/>
      <c r="DC1031" s="7"/>
      <c r="DD1031" s="7"/>
      <c r="DE1031" s="7"/>
      <c r="DF1031" s="7"/>
    </row>
    <row r="1032" spans="1:110" x14ac:dyDescent="0.25">
      <c r="A1032" s="7"/>
      <c r="B1032" s="7"/>
      <c r="C1032" s="48"/>
      <c r="D1032" s="7"/>
      <c r="E1032" s="7"/>
      <c r="F1032" s="7"/>
      <c r="G1032" s="49"/>
      <c r="H1032" s="7"/>
      <c r="I1032" s="50"/>
      <c r="J1032" s="49"/>
      <c r="K1032" s="49"/>
      <c r="M1032" s="49"/>
      <c r="N1032" s="49"/>
      <c r="O1032" s="49"/>
      <c r="P1032" s="49"/>
      <c r="Q1032" s="49"/>
      <c r="R1032" s="49"/>
      <c r="S1032" s="49"/>
      <c r="T1032" s="49"/>
      <c r="U1032" s="49"/>
      <c r="V1032" s="49"/>
      <c r="W1032" s="49"/>
      <c r="X1032" s="49"/>
      <c r="Y1032" s="49"/>
      <c r="Z1032" s="51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  <c r="BL1032" s="7"/>
      <c r="BM1032" s="7"/>
      <c r="BN1032" s="7"/>
      <c r="BO1032" s="7"/>
      <c r="BP1032" s="7"/>
      <c r="BQ1032" s="7"/>
      <c r="BR1032" s="7"/>
      <c r="BS1032" s="7"/>
      <c r="BT1032" s="7"/>
      <c r="BU1032" s="7"/>
      <c r="BV1032" s="7"/>
      <c r="BW1032" s="7"/>
      <c r="BX1032" s="7"/>
      <c r="BY1032" s="7"/>
      <c r="BZ1032" s="7"/>
      <c r="CA1032" s="7"/>
      <c r="CB1032" s="7"/>
      <c r="CC1032" s="7"/>
      <c r="CD1032" s="7"/>
      <c r="CE1032" s="7"/>
      <c r="CF1032" s="7"/>
      <c r="CG1032" s="7"/>
      <c r="CH1032" s="7"/>
      <c r="CI1032" s="7"/>
      <c r="CJ1032" s="7"/>
      <c r="CK1032" s="7"/>
      <c r="CL1032" s="7"/>
      <c r="CM1032" s="7"/>
      <c r="CN1032" s="7"/>
      <c r="CO1032" s="7"/>
      <c r="CP1032" s="7"/>
      <c r="CQ1032" s="7"/>
      <c r="CR1032" s="7"/>
      <c r="CS1032" s="7"/>
      <c r="CT1032" s="7"/>
      <c r="CU1032" s="7"/>
      <c r="CV1032" s="7"/>
      <c r="CW1032" s="7"/>
      <c r="CX1032" s="7"/>
      <c r="CY1032" s="7"/>
      <c r="CZ1032" s="7"/>
      <c r="DA1032" s="7"/>
      <c r="DB1032" s="7"/>
      <c r="DC1032" s="7"/>
      <c r="DD1032" s="7"/>
      <c r="DE1032" s="7"/>
      <c r="DF1032" s="7"/>
    </row>
    <row r="1033" spans="1:110" x14ac:dyDescent="0.25">
      <c r="A1033" s="7"/>
      <c r="B1033" s="7"/>
      <c r="C1033" s="48"/>
      <c r="D1033" s="7"/>
      <c r="E1033" s="7"/>
      <c r="F1033" s="7"/>
      <c r="G1033" s="49"/>
      <c r="H1033" s="7"/>
      <c r="I1033" s="50"/>
      <c r="J1033" s="49"/>
      <c r="K1033" s="49"/>
      <c r="M1033" s="49"/>
      <c r="N1033" s="49"/>
      <c r="O1033" s="49"/>
      <c r="P1033" s="49"/>
      <c r="Q1033" s="49"/>
      <c r="R1033" s="49"/>
      <c r="S1033" s="49"/>
      <c r="T1033" s="49"/>
      <c r="U1033" s="49"/>
      <c r="V1033" s="49"/>
      <c r="W1033" s="49"/>
      <c r="X1033" s="49"/>
      <c r="Y1033" s="49"/>
      <c r="Z1033" s="51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  <c r="BM1033" s="7"/>
      <c r="BN1033" s="7"/>
      <c r="BO1033" s="7"/>
      <c r="BP1033" s="7"/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/>
      <c r="CJ1033" s="7"/>
      <c r="CK1033" s="7"/>
      <c r="CL1033" s="7"/>
      <c r="CM1033" s="7"/>
      <c r="CN1033" s="7"/>
      <c r="CO1033" s="7"/>
      <c r="CP1033" s="7"/>
      <c r="CQ1033" s="7"/>
      <c r="CR1033" s="7"/>
      <c r="CS1033" s="7"/>
      <c r="CT1033" s="7"/>
      <c r="CU1033" s="7"/>
      <c r="CV1033" s="7"/>
      <c r="CW1033" s="7"/>
      <c r="CX1033" s="7"/>
      <c r="CY1033" s="7"/>
      <c r="CZ1033" s="7"/>
      <c r="DA1033" s="7"/>
      <c r="DB1033" s="7"/>
      <c r="DC1033" s="7"/>
      <c r="DD1033" s="7"/>
      <c r="DE1033" s="7"/>
      <c r="DF1033" s="7"/>
    </row>
    <row r="1034" spans="1:110" x14ac:dyDescent="0.25">
      <c r="A1034" s="7"/>
      <c r="B1034" s="7"/>
      <c r="C1034" s="48"/>
      <c r="D1034" s="7"/>
      <c r="E1034" s="7"/>
      <c r="F1034" s="7"/>
      <c r="G1034" s="49"/>
      <c r="H1034" s="7"/>
      <c r="I1034" s="50"/>
      <c r="J1034" s="49"/>
      <c r="K1034" s="49"/>
      <c r="M1034" s="49"/>
      <c r="N1034" s="49"/>
      <c r="O1034" s="49"/>
      <c r="P1034" s="49"/>
      <c r="Q1034" s="49"/>
      <c r="R1034" s="49"/>
      <c r="S1034" s="49"/>
      <c r="T1034" s="49"/>
      <c r="U1034" s="49"/>
      <c r="V1034" s="49"/>
      <c r="W1034" s="49"/>
      <c r="X1034" s="49"/>
      <c r="Y1034" s="49"/>
      <c r="Z1034" s="51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  <c r="BM1034" s="7"/>
      <c r="BN1034" s="7"/>
      <c r="BO1034" s="7"/>
      <c r="BP1034" s="7"/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7"/>
      <c r="CG1034" s="7"/>
      <c r="CH1034" s="7"/>
      <c r="CI1034" s="7"/>
      <c r="CJ1034" s="7"/>
      <c r="CK1034" s="7"/>
      <c r="CL1034" s="7"/>
      <c r="CM1034" s="7"/>
      <c r="CN1034" s="7"/>
      <c r="CO1034" s="7"/>
      <c r="CP1034" s="7"/>
      <c r="CQ1034" s="7"/>
      <c r="CR1034" s="7"/>
      <c r="CS1034" s="7"/>
      <c r="CT1034" s="7"/>
      <c r="CU1034" s="7"/>
      <c r="CV1034" s="7"/>
      <c r="CW1034" s="7"/>
      <c r="CX1034" s="7"/>
      <c r="CY1034" s="7"/>
      <c r="CZ1034" s="7"/>
      <c r="DA1034" s="7"/>
      <c r="DB1034" s="7"/>
      <c r="DC1034" s="7"/>
      <c r="DD1034" s="7"/>
      <c r="DE1034" s="7"/>
      <c r="DF1034" s="7"/>
    </row>
    <row r="1035" spans="1:110" x14ac:dyDescent="0.25">
      <c r="A1035" s="7"/>
      <c r="B1035" s="7"/>
      <c r="C1035" s="48"/>
      <c r="D1035" s="7"/>
      <c r="E1035" s="7"/>
      <c r="F1035" s="7"/>
      <c r="G1035" s="49"/>
      <c r="H1035" s="7"/>
      <c r="I1035" s="50"/>
      <c r="J1035" s="49"/>
      <c r="K1035" s="49"/>
      <c r="M1035" s="49"/>
      <c r="N1035" s="49"/>
      <c r="O1035" s="49"/>
      <c r="P1035" s="49"/>
      <c r="Q1035" s="49"/>
      <c r="R1035" s="49"/>
      <c r="S1035" s="49"/>
      <c r="T1035" s="49"/>
      <c r="U1035" s="49"/>
      <c r="V1035" s="49"/>
      <c r="W1035" s="49"/>
      <c r="X1035" s="49"/>
      <c r="Y1035" s="49"/>
      <c r="Z1035" s="51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  <c r="BN1035" s="7"/>
      <c r="BO1035" s="7"/>
      <c r="BP1035" s="7"/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/>
      <c r="CJ1035" s="7"/>
      <c r="CK1035" s="7"/>
      <c r="CL1035" s="7"/>
      <c r="CM1035" s="7"/>
      <c r="CN1035" s="7"/>
      <c r="CO1035" s="7"/>
      <c r="CP1035" s="7"/>
      <c r="CQ1035" s="7"/>
      <c r="CR1035" s="7"/>
      <c r="CS1035" s="7"/>
      <c r="CT1035" s="7"/>
      <c r="CU1035" s="7"/>
      <c r="CV1035" s="7"/>
      <c r="CW1035" s="7"/>
      <c r="CX1035" s="7"/>
      <c r="CY1035" s="7"/>
      <c r="CZ1035" s="7"/>
      <c r="DA1035" s="7"/>
      <c r="DB1035" s="7"/>
      <c r="DC1035" s="7"/>
      <c r="DD1035" s="7"/>
      <c r="DE1035" s="7"/>
      <c r="DF1035" s="7"/>
    </row>
    <row r="1036" spans="1:110" x14ac:dyDescent="0.25">
      <c r="A1036" s="7"/>
      <c r="B1036" s="7"/>
      <c r="C1036" s="48"/>
      <c r="D1036" s="7"/>
      <c r="E1036" s="7"/>
      <c r="F1036" s="7"/>
      <c r="G1036" s="49"/>
      <c r="H1036" s="7"/>
      <c r="I1036" s="50"/>
      <c r="J1036" s="49"/>
      <c r="K1036" s="49"/>
      <c r="M1036" s="49"/>
      <c r="N1036" s="49"/>
      <c r="O1036" s="49"/>
      <c r="P1036" s="49"/>
      <c r="Q1036" s="49"/>
      <c r="R1036" s="49"/>
      <c r="S1036" s="49"/>
      <c r="T1036" s="49"/>
      <c r="U1036" s="49"/>
      <c r="V1036" s="49"/>
      <c r="W1036" s="49"/>
      <c r="X1036" s="49"/>
      <c r="Y1036" s="49"/>
      <c r="Z1036" s="51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  <c r="BM1036" s="7"/>
      <c r="BN1036" s="7"/>
      <c r="BO1036" s="7"/>
      <c r="BP1036" s="7"/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  <c r="CA1036" s="7"/>
      <c r="CB1036" s="7"/>
      <c r="CC1036" s="7"/>
      <c r="CD1036" s="7"/>
      <c r="CE1036" s="7"/>
      <c r="CF1036" s="7"/>
      <c r="CG1036" s="7"/>
      <c r="CH1036" s="7"/>
      <c r="CI1036" s="7"/>
      <c r="CJ1036" s="7"/>
      <c r="CK1036" s="7"/>
      <c r="CL1036" s="7"/>
      <c r="CM1036" s="7"/>
      <c r="CN1036" s="7"/>
      <c r="CO1036" s="7"/>
      <c r="CP1036" s="7"/>
      <c r="CQ1036" s="7"/>
      <c r="CR1036" s="7"/>
      <c r="CS1036" s="7"/>
      <c r="CT1036" s="7"/>
      <c r="CU1036" s="7"/>
      <c r="CV1036" s="7"/>
      <c r="CW1036" s="7"/>
      <c r="CX1036" s="7"/>
      <c r="CY1036" s="7"/>
      <c r="CZ1036" s="7"/>
      <c r="DA1036" s="7"/>
      <c r="DB1036" s="7"/>
      <c r="DC1036" s="7"/>
      <c r="DD1036" s="7"/>
      <c r="DE1036" s="7"/>
      <c r="DF1036" s="7"/>
    </row>
    <row r="1037" spans="1:110" x14ac:dyDescent="0.25">
      <c r="A1037" s="7"/>
      <c r="B1037" s="7"/>
      <c r="C1037" s="48"/>
      <c r="D1037" s="7"/>
      <c r="E1037" s="7"/>
      <c r="F1037" s="7"/>
      <c r="G1037" s="49"/>
      <c r="H1037" s="7"/>
      <c r="I1037" s="50"/>
      <c r="J1037" s="49"/>
      <c r="K1037" s="49"/>
      <c r="M1037" s="49"/>
      <c r="N1037" s="49"/>
      <c r="O1037" s="49"/>
      <c r="P1037" s="49"/>
      <c r="Q1037" s="49"/>
      <c r="R1037" s="49"/>
      <c r="S1037" s="49"/>
      <c r="T1037" s="49"/>
      <c r="U1037" s="49"/>
      <c r="V1037" s="49"/>
      <c r="W1037" s="49"/>
      <c r="X1037" s="49"/>
      <c r="Y1037" s="49"/>
      <c r="Z1037" s="51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  <c r="BM1037" s="7"/>
      <c r="BN1037" s="7"/>
      <c r="BO1037" s="7"/>
      <c r="BP1037" s="7"/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  <c r="CA1037" s="7"/>
      <c r="CB1037" s="7"/>
      <c r="CC1037" s="7"/>
      <c r="CD1037" s="7"/>
      <c r="CE1037" s="7"/>
      <c r="CF1037" s="7"/>
      <c r="CG1037" s="7"/>
      <c r="CH1037" s="7"/>
      <c r="CI1037" s="7"/>
      <c r="CJ1037" s="7"/>
      <c r="CK1037" s="7"/>
      <c r="CL1037" s="7"/>
      <c r="CM1037" s="7"/>
      <c r="CN1037" s="7"/>
      <c r="CO1037" s="7"/>
      <c r="CP1037" s="7"/>
      <c r="CQ1037" s="7"/>
      <c r="CR1037" s="7"/>
      <c r="CS1037" s="7"/>
      <c r="CT1037" s="7"/>
      <c r="CU1037" s="7"/>
      <c r="CV1037" s="7"/>
      <c r="CW1037" s="7"/>
      <c r="CX1037" s="7"/>
      <c r="CY1037" s="7"/>
      <c r="CZ1037" s="7"/>
      <c r="DA1037" s="7"/>
      <c r="DB1037" s="7"/>
      <c r="DC1037" s="7"/>
      <c r="DD1037" s="7"/>
      <c r="DE1037" s="7"/>
      <c r="DF1037" s="7"/>
    </row>
    <row r="1038" spans="1:110" x14ac:dyDescent="0.25">
      <c r="A1038" s="7"/>
      <c r="B1038" s="7"/>
      <c r="C1038" s="48"/>
      <c r="D1038" s="7"/>
      <c r="E1038" s="7"/>
      <c r="F1038" s="7"/>
      <c r="G1038" s="49"/>
      <c r="H1038" s="7"/>
      <c r="I1038" s="50"/>
      <c r="J1038" s="49"/>
      <c r="K1038" s="49"/>
      <c r="M1038" s="49"/>
      <c r="N1038" s="49"/>
      <c r="O1038" s="49"/>
      <c r="P1038" s="49"/>
      <c r="Q1038" s="49"/>
      <c r="R1038" s="49"/>
      <c r="S1038" s="49"/>
      <c r="T1038" s="49"/>
      <c r="U1038" s="49"/>
      <c r="V1038" s="49"/>
      <c r="W1038" s="49"/>
      <c r="X1038" s="49"/>
      <c r="Y1038" s="49"/>
      <c r="Z1038" s="51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  <c r="BM1038" s="7"/>
      <c r="BN1038" s="7"/>
      <c r="BO1038" s="7"/>
      <c r="BP1038" s="7"/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7"/>
      <c r="CG1038" s="7"/>
      <c r="CH1038" s="7"/>
      <c r="CI1038" s="7"/>
      <c r="CJ1038" s="7"/>
      <c r="CK1038" s="7"/>
      <c r="CL1038" s="7"/>
      <c r="CM1038" s="7"/>
      <c r="CN1038" s="7"/>
      <c r="CO1038" s="7"/>
      <c r="CP1038" s="7"/>
      <c r="CQ1038" s="7"/>
      <c r="CR1038" s="7"/>
      <c r="CS1038" s="7"/>
      <c r="CT1038" s="7"/>
      <c r="CU1038" s="7"/>
      <c r="CV1038" s="7"/>
      <c r="CW1038" s="7"/>
      <c r="CX1038" s="7"/>
      <c r="CY1038" s="7"/>
      <c r="CZ1038" s="7"/>
      <c r="DA1038" s="7"/>
      <c r="DB1038" s="7"/>
      <c r="DC1038" s="7"/>
      <c r="DD1038" s="7"/>
      <c r="DE1038" s="7"/>
      <c r="DF1038" s="7"/>
    </row>
    <row r="1039" spans="1:110" x14ac:dyDescent="0.25">
      <c r="A1039" s="7"/>
      <c r="B1039" s="7"/>
      <c r="C1039" s="48"/>
      <c r="D1039" s="7"/>
      <c r="E1039" s="7"/>
      <c r="F1039" s="7"/>
      <c r="G1039" s="49"/>
      <c r="H1039" s="7"/>
      <c r="I1039" s="50"/>
      <c r="J1039" s="49"/>
      <c r="K1039" s="49"/>
      <c r="M1039" s="49"/>
      <c r="N1039" s="49"/>
      <c r="O1039" s="49"/>
      <c r="P1039" s="49"/>
      <c r="Q1039" s="49"/>
      <c r="R1039" s="49"/>
      <c r="S1039" s="49"/>
      <c r="T1039" s="49"/>
      <c r="U1039" s="49"/>
      <c r="V1039" s="49"/>
      <c r="W1039" s="49"/>
      <c r="X1039" s="49"/>
      <c r="Y1039" s="49"/>
      <c r="Z1039" s="51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  <c r="BM1039" s="7"/>
      <c r="BN1039" s="7"/>
      <c r="BO1039" s="7"/>
      <c r="BP1039" s="7"/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7"/>
      <c r="CG1039" s="7"/>
      <c r="CH1039" s="7"/>
      <c r="CI1039" s="7"/>
      <c r="CJ1039" s="7"/>
      <c r="CK1039" s="7"/>
      <c r="CL1039" s="7"/>
      <c r="CM1039" s="7"/>
      <c r="CN1039" s="7"/>
      <c r="CO1039" s="7"/>
      <c r="CP1039" s="7"/>
      <c r="CQ1039" s="7"/>
      <c r="CR1039" s="7"/>
      <c r="CS1039" s="7"/>
      <c r="CT1039" s="7"/>
      <c r="CU1039" s="7"/>
      <c r="CV1039" s="7"/>
      <c r="CW1039" s="7"/>
      <c r="CX1039" s="7"/>
      <c r="CY1039" s="7"/>
      <c r="CZ1039" s="7"/>
      <c r="DA1039" s="7"/>
      <c r="DB1039" s="7"/>
      <c r="DC1039" s="7"/>
      <c r="DD1039" s="7"/>
      <c r="DE1039" s="7"/>
      <c r="DF1039" s="7"/>
    </row>
    <row r="1040" spans="1:110" x14ac:dyDescent="0.25">
      <c r="A1040" s="7"/>
      <c r="B1040" s="7"/>
      <c r="C1040" s="48"/>
      <c r="D1040" s="7"/>
      <c r="E1040" s="7"/>
      <c r="F1040" s="7"/>
      <c r="G1040" s="49"/>
      <c r="H1040" s="7"/>
      <c r="I1040" s="50"/>
      <c r="J1040" s="49"/>
      <c r="K1040" s="49"/>
      <c r="M1040" s="49"/>
      <c r="N1040" s="49"/>
      <c r="O1040" s="49"/>
      <c r="P1040" s="49"/>
      <c r="Q1040" s="49"/>
      <c r="R1040" s="49"/>
      <c r="S1040" s="49"/>
      <c r="T1040" s="49"/>
      <c r="U1040" s="49"/>
      <c r="V1040" s="49"/>
      <c r="W1040" s="49"/>
      <c r="X1040" s="49"/>
      <c r="Y1040" s="49"/>
      <c r="Z1040" s="51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  <c r="BM1040" s="7"/>
      <c r="BN1040" s="7"/>
      <c r="BO1040" s="7"/>
      <c r="BP1040" s="7"/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7"/>
      <c r="CG1040" s="7"/>
      <c r="CH1040" s="7"/>
      <c r="CI1040" s="7"/>
      <c r="CJ1040" s="7"/>
      <c r="CK1040" s="7"/>
      <c r="CL1040" s="7"/>
      <c r="CM1040" s="7"/>
      <c r="CN1040" s="7"/>
      <c r="CO1040" s="7"/>
      <c r="CP1040" s="7"/>
      <c r="CQ1040" s="7"/>
      <c r="CR1040" s="7"/>
      <c r="CS1040" s="7"/>
      <c r="CT1040" s="7"/>
      <c r="CU1040" s="7"/>
      <c r="CV1040" s="7"/>
      <c r="CW1040" s="7"/>
      <c r="CX1040" s="7"/>
      <c r="CY1040" s="7"/>
      <c r="CZ1040" s="7"/>
      <c r="DA1040" s="7"/>
      <c r="DB1040" s="7"/>
      <c r="DC1040" s="7"/>
      <c r="DD1040" s="7"/>
      <c r="DE1040" s="7"/>
      <c r="DF1040" s="7"/>
    </row>
    <row r="1041" spans="1:110" x14ac:dyDescent="0.25">
      <c r="A1041" s="7"/>
      <c r="B1041" s="7"/>
      <c r="C1041" s="48"/>
      <c r="D1041" s="7"/>
      <c r="E1041" s="7"/>
      <c r="F1041" s="7"/>
      <c r="G1041" s="49"/>
      <c r="H1041" s="7"/>
      <c r="I1041" s="50"/>
      <c r="J1041" s="49"/>
      <c r="K1041" s="49"/>
      <c r="M1041" s="49"/>
      <c r="N1041" s="49"/>
      <c r="O1041" s="49"/>
      <c r="P1041" s="49"/>
      <c r="Q1041" s="49"/>
      <c r="R1041" s="49"/>
      <c r="S1041" s="49"/>
      <c r="T1041" s="49"/>
      <c r="U1041" s="49"/>
      <c r="V1041" s="49"/>
      <c r="W1041" s="49"/>
      <c r="X1041" s="49"/>
      <c r="Y1041" s="49"/>
      <c r="Z1041" s="51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  <c r="BM1041" s="7"/>
      <c r="BN1041" s="7"/>
      <c r="BO1041" s="7"/>
      <c r="BP1041" s="7"/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7"/>
      <c r="CG1041" s="7"/>
      <c r="CH1041" s="7"/>
      <c r="CI1041" s="7"/>
      <c r="CJ1041" s="7"/>
      <c r="CK1041" s="7"/>
      <c r="CL1041" s="7"/>
      <c r="CM1041" s="7"/>
      <c r="CN1041" s="7"/>
      <c r="CO1041" s="7"/>
      <c r="CP1041" s="7"/>
      <c r="CQ1041" s="7"/>
      <c r="CR1041" s="7"/>
      <c r="CS1041" s="7"/>
      <c r="CT1041" s="7"/>
      <c r="CU1041" s="7"/>
      <c r="CV1041" s="7"/>
      <c r="CW1041" s="7"/>
      <c r="CX1041" s="7"/>
      <c r="CY1041" s="7"/>
      <c r="CZ1041" s="7"/>
      <c r="DA1041" s="7"/>
      <c r="DB1041" s="7"/>
      <c r="DC1041" s="7"/>
      <c r="DD1041" s="7"/>
      <c r="DE1041" s="7"/>
      <c r="DF1041" s="7"/>
    </row>
    <row r="1042" spans="1:110" x14ac:dyDescent="0.25">
      <c r="A1042" s="7"/>
      <c r="B1042" s="7"/>
      <c r="C1042" s="48"/>
      <c r="D1042" s="7"/>
      <c r="E1042" s="7"/>
      <c r="F1042" s="7"/>
      <c r="G1042" s="49"/>
      <c r="H1042" s="7"/>
      <c r="I1042" s="50"/>
      <c r="J1042" s="49"/>
      <c r="K1042" s="49"/>
      <c r="M1042" s="49"/>
      <c r="N1042" s="49"/>
      <c r="O1042" s="49"/>
      <c r="P1042" s="49"/>
      <c r="Q1042" s="49"/>
      <c r="R1042" s="49"/>
      <c r="S1042" s="49"/>
      <c r="T1042" s="49"/>
      <c r="U1042" s="49"/>
      <c r="V1042" s="49"/>
      <c r="W1042" s="49"/>
      <c r="X1042" s="49"/>
      <c r="Y1042" s="49"/>
      <c r="Z1042" s="51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  <c r="BL1042" s="7"/>
      <c r="BM1042" s="7"/>
      <c r="BN1042" s="7"/>
      <c r="BO1042" s="7"/>
      <c r="BP1042" s="7"/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7"/>
      <c r="CG1042" s="7"/>
      <c r="CH1042" s="7"/>
      <c r="CI1042" s="7"/>
      <c r="CJ1042" s="7"/>
      <c r="CK1042" s="7"/>
      <c r="CL1042" s="7"/>
      <c r="CM1042" s="7"/>
      <c r="CN1042" s="7"/>
      <c r="CO1042" s="7"/>
      <c r="CP1042" s="7"/>
      <c r="CQ1042" s="7"/>
      <c r="CR1042" s="7"/>
      <c r="CS1042" s="7"/>
      <c r="CT1042" s="7"/>
      <c r="CU1042" s="7"/>
      <c r="CV1042" s="7"/>
      <c r="CW1042" s="7"/>
      <c r="CX1042" s="7"/>
      <c r="CY1042" s="7"/>
      <c r="CZ1042" s="7"/>
      <c r="DA1042" s="7"/>
      <c r="DB1042" s="7"/>
      <c r="DC1042" s="7"/>
      <c r="DD1042" s="7"/>
      <c r="DE1042" s="7"/>
      <c r="DF1042" s="7"/>
    </row>
    <row r="1043" spans="1:110" x14ac:dyDescent="0.25">
      <c r="A1043" s="7"/>
      <c r="B1043" s="7"/>
      <c r="C1043" s="48"/>
      <c r="D1043" s="7"/>
      <c r="E1043" s="7"/>
      <c r="F1043" s="7"/>
      <c r="G1043" s="49"/>
      <c r="H1043" s="7"/>
      <c r="I1043" s="50"/>
      <c r="J1043" s="49"/>
      <c r="K1043" s="49"/>
      <c r="M1043" s="49"/>
      <c r="N1043" s="49"/>
      <c r="O1043" s="49"/>
      <c r="P1043" s="49"/>
      <c r="Q1043" s="49"/>
      <c r="R1043" s="49"/>
      <c r="S1043" s="49"/>
      <c r="T1043" s="49"/>
      <c r="U1043" s="49"/>
      <c r="V1043" s="49"/>
      <c r="W1043" s="49"/>
      <c r="X1043" s="49"/>
      <c r="Y1043" s="49"/>
      <c r="Z1043" s="51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  <c r="BM1043" s="7"/>
      <c r="BN1043" s="7"/>
      <c r="BO1043" s="7"/>
      <c r="BP1043" s="7"/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7"/>
      <c r="CG1043" s="7"/>
      <c r="CH1043" s="7"/>
      <c r="CI1043" s="7"/>
      <c r="CJ1043" s="7"/>
      <c r="CK1043" s="7"/>
      <c r="CL1043" s="7"/>
      <c r="CM1043" s="7"/>
      <c r="CN1043" s="7"/>
      <c r="CO1043" s="7"/>
      <c r="CP1043" s="7"/>
      <c r="CQ1043" s="7"/>
      <c r="CR1043" s="7"/>
      <c r="CS1043" s="7"/>
      <c r="CT1043" s="7"/>
      <c r="CU1043" s="7"/>
      <c r="CV1043" s="7"/>
      <c r="CW1043" s="7"/>
      <c r="CX1043" s="7"/>
      <c r="CY1043" s="7"/>
      <c r="CZ1043" s="7"/>
      <c r="DA1043" s="7"/>
      <c r="DB1043" s="7"/>
      <c r="DC1043" s="7"/>
      <c r="DD1043" s="7"/>
      <c r="DE1043" s="7"/>
      <c r="DF1043" s="7"/>
    </row>
    <row r="1044" spans="1:110" x14ac:dyDescent="0.25">
      <c r="A1044" s="7"/>
      <c r="B1044" s="7"/>
      <c r="C1044" s="48"/>
      <c r="D1044" s="7"/>
      <c r="E1044" s="7"/>
      <c r="F1044" s="7"/>
      <c r="G1044" s="49"/>
      <c r="H1044" s="7"/>
      <c r="I1044" s="50"/>
      <c r="J1044" s="49"/>
      <c r="K1044" s="49"/>
      <c r="M1044" s="49"/>
      <c r="N1044" s="49"/>
      <c r="O1044" s="49"/>
      <c r="P1044" s="49"/>
      <c r="Q1044" s="49"/>
      <c r="R1044" s="49"/>
      <c r="S1044" s="49"/>
      <c r="T1044" s="49"/>
      <c r="U1044" s="49"/>
      <c r="V1044" s="49"/>
      <c r="W1044" s="49"/>
      <c r="X1044" s="49"/>
      <c r="Y1044" s="49"/>
      <c r="Z1044" s="51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  <c r="BK1044" s="7"/>
      <c r="BL1044" s="7"/>
      <c r="BM1044" s="7"/>
      <c r="BN1044" s="7"/>
      <c r="BO1044" s="7"/>
      <c r="BP1044" s="7"/>
      <c r="BQ1044" s="7"/>
      <c r="BR1044" s="7"/>
      <c r="BS1044" s="7"/>
      <c r="BT1044" s="7"/>
      <c r="BU1044" s="7"/>
      <c r="BV1044" s="7"/>
      <c r="BW1044" s="7"/>
      <c r="BX1044" s="7"/>
      <c r="BY1044" s="7"/>
      <c r="BZ1044" s="7"/>
      <c r="CA1044" s="7"/>
      <c r="CB1044" s="7"/>
      <c r="CC1044" s="7"/>
      <c r="CD1044" s="7"/>
      <c r="CE1044" s="7"/>
      <c r="CF1044" s="7"/>
      <c r="CG1044" s="7"/>
      <c r="CH1044" s="7"/>
      <c r="CI1044" s="7"/>
      <c r="CJ1044" s="7"/>
      <c r="CK1044" s="7"/>
      <c r="CL1044" s="7"/>
      <c r="CM1044" s="7"/>
      <c r="CN1044" s="7"/>
      <c r="CO1044" s="7"/>
      <c r="CP1044" s="7"/>
      <c r="CQ1044" s="7"/>
      <c r="CR1044" s="7"/>
      <c r="CS1044" s="7"/>
      <c r="CT1044" s="7"/>
      <c r="CU1044" s="7"/>
      <c r="CV1044" s="7"/>
      <c r="CW1044" s="7"/>
      <c r="CX1044" s="7"/>
      <c r="CY1044" s="7"/>
      <c r="CZ1044" s="7"/>
      <c r="DA1044" s="7"/>
      <c r="DB1044" s="7"/>
      <c r="DC1044" s="7"/>
      <c r="DD1044" s="7"/>
      <c r="DE1044" s="7"/>
      <c r="DF1044" s="7"/>
    </row>
    <row r="1045" spans="1:110" x14ac:dyDescent="0.25">
      <c r="A1045" s="7"/>
      <c r="B1045" s="7"/>
      <c r="C1045" s="48"/>
      <c r="D1045" s="7"/>
      <c r="E1045" s="7"/>
      <c r="F1045" s="7"/>
      <c r="G1045" s="49"/>
      <c r="H1045" s="7"/>
      <c r="I1045" s="50"/>
      <c r="J1045" s="49"/>
      <c r="K1045" s="49"/>
      <c r="M1045" s="49"/>
      <c r="N1045" s="49"/>
      <c r="O1045" s="49"/>
      <c r="P1045" s="49"/>
      <c r="Q1045" s="49"/>
      <c r="R1045" s="49"/>
      <c r="S1045" s="49"/>
      <c r="T1045" s="49"/>
      <c r="U1045" s="49"/>
      <c r="V1045" s="49"/>
      <c r="W1045" s="49"/>
      <c r="X1045" s="49"/>
      <c r="Y1045" s="49"/>
      <c r="Z1045" s="51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  <c r="BM1045" s="7"/>
      <c r="BN1045" s="7"/>
      <c r="BO1045" s="7"/>
      <c r="BP1045" s="7"/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7"/>
      <c r="CG1045" s="7"/>
      <c r="CH1045" s="7"/>
      <c r="CI1045" s="7"/>
      <c r="CJ1045" s="7"/>
      <c r="CK1045" s="7"/>
      <c r="CL1045" s="7"/>
      <c r="CM1045" s="7"/>
      <c r="CN1045" s="7"/>
      <c r="CO1045" s="7"/>
      <c r="CP1045" s="7"/>
      <c r="CQ1045" s="7"/>
      <c r="CR1045" s="7"/>
      <c r="CS1045" s="7"/>
      <c r="CT1045" s="7"/>
      <c r="CU1045" s="7"/>
      <c r="CV1045" s="7"/>
      <c r="CW1045" s="7"/>
      <c r="CX1045" s="7"/>
      <c r="CY1045" s="7"/>
      <c r="CZ1045" s="7"/>
      <c r="DA1045" s="7"/>
      <c r="DB1045" s="7"/>
      <c r="DC1045" s="7"/>
      <c r="DD1045" s="7"/>
      <c r="DE1045" s="7"/>
      <c r="DF1045" s="7"/>
    </row>
    <row r="1046" spans="1:110" x14ac:dyDescent="0.25">
      <c r="A1046" s="7"/>
      <c r="B1046" s="7"/>
      <c r="C1046" s="48"/>
      <c r="D1046" s="7"/>
      <c r="E1046" s="7"/>
      <c r="F1046" s="7"/>
      <c r="G1046" s="49"/>
      <c r="H1046" s="7"/>
      <c r="I1046" s="50"/>
      <c r="J1046" s="49"/>
      <c r="K1046" s="49"/>
      <c r="M1046" s="49"/>
      <c r="N1046" s="49"/>
      <c r="O1046" s="49"/>
      <c r="P1046" s="49"/>
      <c r="Q1046" s="49"/>
      <c r="R1046" s="49"/>
      <c r="S1046" s="49"/>
      <c r="T1046" s="49"/>
      <c r="U1046" s="49"/>
      <c r="V1046" s="49"/>
      <c r="W1046" s="49"/>
      <c r="X1046" s="49"/>
      <c r="Y1046" s="49"/>
      <c r="Z1046" s="51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  <c r="BK1046" s="7"/>
      <c r="BL1046" s="7"/>
      <c r="BM1046" s="7"/>
      <c r="BN1046" s="7"/>
      <c r="BO1046" s="7"/>
      <c r="BP1046" s="7"/>
      <c r="BQ1046" s="7"/>
      <c r="BR1046" s="7"/>
      <c r="BS1046" s="7"/>
      <c r="BT1046" s="7"/>
      <c r="BU1046" s="7"/>
      <c r="BV1046" s="7"/>
      <c r="BW1046" s="7"/>
      <c r="BX1046" s="7"/>
      <c r="BY1046" s="7"/>
      <c r="BZ1046" s="7"/>
      <c r="CA1046" s="7"/>
      <c r="CB1046" s="7"/>
      <c r="CC1046" s="7"/>
      <c r="CD1046" s="7"/>
      <c r="CE1046" s="7"/>
      <c r="CF1046" s="7"/>
      <c r="CG1046" s="7"/>
      <c r="CH1046" s="7"/>
      <c r="CI1046" s="7"/>
      <c r="CJ1046" s="7"/>
      <c r="CK1046" s="7"/>
      <c r="CL1046" s="7"/>
      <c r="CM1046" s="7"/>
      <c r="CN1046" s="7"/>
      <c r="CO1046" s="7"/>
      <c r="CP1046" s="7"/>
      <c r="CQ1046" s="7"/>
      <c r="CR1046" s="7"/>
      <c r="CS1046" s="7"/>
      <c r="CT1046" s="7"/>
      <c r="CU1046" s="7"/>
      <c r="CV1046" s="7"/>
      <c r="CW1046" s="7"/>
      <c r="CX1046" s="7"/>
      <c r="CY1046" s="7"/>
      <c r="CZ1046" s="7"/>
      <c r="DA1046" s="7"/>
      <c r="DB1046" s="7"/>
      <c r="DC1046" s="7"/>
      <c r="DD1046" s="7"/>
      <c r="DE1046" s="7"/>
      <c r="DF1046" s="7"/>
    </row>
    <row r="1047" spans="1:110" x14ac:dyDescent="0.25">
      <c r="A1047" s="7"/>
      <c r="B1047" s="7"/>
      <c r="C1047" s="48"/>
      <c r="D1047" s="7"/>
      <c r="E1047" s="7"/>
      <c r="F1047" s="7"/>
      <c r="G1047" s="49"/>
      <c r="H1047" s="7"/>
      <c r="I1047" s="50"/>
      <c r="J1047" s="49"/>
      <c r="K1047" s="49"/>
      <c r="M1047" s="49"/>
      <c r="N1047" s="49"/>
      <c r="O1047" s="49"/>
      <c r="P1047" s="49"/>
      <c r="Q1047" s="49"/>
      <c r="R1047" s="49"/>
      <c r="S1047" s="49"/>
      <c r="T1047" s="49"/>
      <c r="U1047" s="49"/>
      <c r="V1047" s="49"/>
      <c r="W1047" s="49"/>
      <c r="X1047" s="49"/>
      <c r="Y1047" s="49"/>
      <c r="Z1047" s="51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  <c r="BN1047" s="7"/>
      <c r="BO1047" s="7"/>
      <c r="BP1047" s="7"/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7"/>
      <c r="CG1047" s="7"/>
      <c r="CH1047" s="7"/>
      <c r="CI1047" s="7"/>
      <c r="CJ1047" s="7"/>
      <c r="CK1047" s="7"/>
      <c r="CL1047" s="7"/>
      <c r="CM1047" s="7"/>
      <c r="CN1047" s="7"/>
      <c r="CO1047" s="7"/>
      <c r="CP1047" s="7"/>
      <c r="CQ1047" s="7"/>
      <c r="CR1047" s="7"/>
      <c r="CS1047" s="7"/>
      <c r="CT1047" s="7"/>
      <c r="CU1047" s="7"/>
      <c r="CV1047" s="7"/>
      <c r="CW1047" s="7"/>
      <c r="CX1047" s="7"/>
      <c r="CY1047" s="7"/>
      <c r="CZ1047" s="7"/>
      <c r="DA1047" s="7"/>
      <c r="DB1047" s="7"/>
      <c r="DC1047" s="7"/>
      <c r="DD1047" s="7"/>
      <c r="DE1047" s="7"/>
      <c r="DF1047" s="7"/>
    </row>
    <row r="1048" spans="1:110" x14ac:dyDescent="0.25">
      <c r="A1048" s="7"/>
      <c r="B1048" s="7"/>
      <c r="C1048" s="48"/>
      <c r="D1048" s="7"/>
      <c r="E1048" s="7"/>
      <c r="F1048" s="7"/>
      <c r="G1048" s="49"/>
      <c r="H1048" s="7"/>
      <c r="I1048" s="50"/>
      <c r="J1048" s="49"/>
      <c r="K1048" s="49"/>
      <c r="M1048" s="49"/>
      <c r="N1048" s="49"/>
      <c r="O1048" s="49"/>
      <c r="P1048" s="49"/>
      <c r="Q1048" s="49"/>
      <c r="R1048" s="49"/>
      <c r="S1048" s="49"/>
      <c r="T1048" s="49"/>
      <c r="U1048" s="49"/>
      <c r="V1048" s="49"/>
      <c r="W1048" s="49"/>
      <c r="X1048" s="49"/>
      <c r="Y1048" s="49"/>
      <c r="Z1048" s="51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  <c r="BL1048" s="7"/>
      <c r="BM1048" s="7"/>
      <c r="BN1048" s="7"/>
      <c r="BO1048" s="7"/>
      <c r="BP1048" s="7"/>
      <c r="BQ1048" s="7"/>
      <c r="BR1048" s="7"/>
      <c r="BS1048" s="7"/>
      <c r="BT1048" s="7"/>
      <c r="BU1048" s="7"/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7"/>
      <c r="CG1048" s="7"/>
      <c r="CH1048" s="7"/>
      <c r="CI1048" s="7"/>
      <c r="CJ1048" s="7"/>
      <c r="CK1048" s="7"/>
      <c r="CL1048" s="7"/>
      <c r="CM1048" s="7"/>
      <c r="CN1048" s="7"/>
      <c r="CO1048" s="7"/>
      <c r="CP1048" s="7"/>
      <c r="CQ1048" s="7"/>
      <c r="CR1048" s="7"/>
      <c r="CS1048" s="7"/>
      <c r="CT1048" s="7"/>
      <c r="CU1048" s="7"/>
      <c r="CV1048" s="7"/>
      <c r="CW1048" s="7"/>
      <c r="CX1048" s="7"/>
      <c r="CY1048" s="7"/>
      <c r="CZ1048" s="7"/>
      <c r="DA1048" s="7"/>
      <c r="DB1048" s="7"/>
      <c r="DC1048" s="7"/>
      <c r="DD1048" s="7"/>
      <c r="DE1048" s="7"/>
      <c r="DF1048" s="7"/>
    </row>
    <row r="1049" spans="1:110" x14ac:dyDescent="0.25">
      <c r="A1049" s="7"/>
      <c r="B1049" s="7"/>
      <c r="C1049" s="48"/>
      <c r="D1049" s="7"/>
      <c r="E1049" s="7"/>
      <c r="F1049" s="7"/>
      <c r="G1049" s="49"/>
      <c r="H1049" s="7"/>
      <c r="I1049" s="50"/>
      <c r="J1049" s="49"/>
      <c r="K1049" s="49"/>
      <c r="M1049" s="49"/>
      <c r="N1049" s="49"/>
      <c r="O1049" s="49"/>
      <c r="P1049" s="49"/>
      <c r="Q1049" s="49"/>
      <c r="R1049" s="49"/>
      <c r="S1049" s="49"/>
      <c r="T1049" s="49"/>
      <c r="U1049" s="49"/>
      <c r="V1049" s="49"/>
      <c r="W1049" s="49"/>
      <c r="X1049" s="49"/>
      <c r="Y1049" s="49"/>
      <c r="Z1049" s="51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/>
      <c r="BM1049" s="7"/>
      <c r="BN1049" s="7"/>
      <c r="BO1049" s="7"/>
      <c r="BP1049" s="7"/>
      <c r="BQ1049" s="7"/>
      <c r="BR1049" s="7"/>
      <c r="BS1049" s="7"/>
      <c r="BT1049" s="7"/>
      <c r="BU1049" s="7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7"/>
      <c r="CG1049" s="7"/>
      <c r="CH1049" s="7"/>
      <c r="CI1049" s="7"/>
      <c r="CJ1049" s="7"/>
      <c r="CK1049" s="7"/>
      <c r="CL1049" s="7"/>
      <c r="CM1049" s="7"/>
      <c r="CN1049" s="7"/>
      <c r="CO1049" s="7"/>
      <c r="CP1049" s="7"/>
      <c r="CQ1049" s="7"/>
      <c r="CR1049" s="7"/>
      <c r="CS1049" s="7"/>
      <c r="CT1049" s="7"/>
      <c r="CU1049" s="7"/>
      <c r="CV1049" s="7"/>
      <c r="CW1049" s="7"/>
      <c r="CX1049" s="7"/>
      <c r="CY1049" s="7"/>
      <c r="CZ1049" s="7"/>
      <c r="DA1049" s="7"/>
      <c r="DB1049" s="7"/>
      <c r="DC1049" s="7"/>
      <c r="DD1049" s="7"/>
      <c r="DE1049" s="7"/>
      <c r="DF1049" s="7"/>
    </row>
    <row r="1050" spans="1:110" x14ac:dyDescent="0.25">
      <c r="A1050" s="7"/>
      <c r="B1050" s="7"/>
      <c r="C1050" s="48"/>
      <c r="D1050" s="7"/>
      <c r="E1050" s="7"/>
      <c r="F1050" s="7"/>
      <c r="G1050" s="49"/>
      <c r="H1050" s="7"/>
      <c r="I1050" s="50"/>
      <c r="J1050" s="49"/>
      <c r="K1050" s="49"/>
      <c r="M1050" s="49"/>
      <c r="N1050" s="49"/>
      <c r="O1050" s="49"/>
      <c r="P1050" s="49"/>
      <c r="Q1050" s="49"/>
      <c r="R1050" s="49"/>
      <c r="S1050" s="49"/>
      <c r="T1050" s="49"/>
      <c r="U1050" s="49"/>
      <c r="V1050" s="49"/>
      <c r="W1050" s="49"/>
      <c r="X1050" s="49"/>
      <c r="Y1050" s="49"/>
      <c r="Z1050" s="51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  <c r="BK1050" s="7"/>
      <c r="BL1050" s="7"/>
      <c r="BM1050" s="7"/>
      <c r="BN1050" s="7"/>
      <c r="BO1050" s="7"/>
      <c r="BP1050" s="7"/>
      <c r="BQ1050" s="7"/>
      <c r="BR1050" s="7"/>
      <c r="BS1050" s="7"/>
      <c r="BT1050" s="7"/>
      <c r="BU1050" s="7"/>
      <c r="BV1050" s="7"/>
      <c r="BW1050" s="7"/>
      <c r="BX1050" s="7"/>
      <c r="BY1050" s="7"/>
      <c r="BZ1050" s="7"/>
      <c r="CA1050" s="7"/>
      <c r="CB1050" s="7"/>
      <c r="CC1050" s="7"/>
      <c r="CD1050" s="7"/>
      <c r="CE1050" s="7"/>
      <c r="CF1050" s="7"/>
      <c r="CG1050" s="7"/>
      <c r="CH1050" s="7"/>
      <c r="CI1050" s="7"/>
      <c r="CJ1050" s="7"/>
      <c r="CK1050" s="7"/>
      <c r="CL1050" s="7"/>
      <c r="CM1050" s="7"/>
      <c r="CN1050" s="7"/>
      <c r="CO1050" s="7"/>
      <c r="CP1050" s="7"/>
      <c r="CQ1050" s="7"/>
      <c r="CR1050" s="7"/>
      <c r="CS1050" s="7"/>
      <c r="CT1050" s="7"/>
      <c r="CU1050" s="7"/>
      <c r="CV1050" s="7"/>
      <c r="CW1050" s="7"/>
      <c r="CX1050" s="7"/>
      <c r="CY1050" s="7"/>
      <c r="CZ1050" s="7"/>
      <c r="DA1050" s="7"/>
      <c r="DB1050" s="7"/>
      <c r="DC1050" s="7"/>
      <c r="DD1050" s="7"/>
      <c r="DE1050" s="7"/>
      <c r="DF1050" s="7"/>
    </row>
    <row r="1051" spans="1:110" x14ac:dyDescent="0.25">
      <c r="A1051" s="7"/>
      <c r="B1051" s="7"/>
      <c r="C1051" s="48"/>
      <c r="D1051" s="7"/>
      <c r="E1051" s="7"/>
      <c r="F1051" s="7"/>
      <c r="G1051" s="49"/>
      <c r="H1051" s="7"/>
      <c r="I1051" s="50"/>
      <c r="J1051" s="49"/>
      <c r="K1051" s="49"/>
      <c r="M1051" s="49"/>
      <c r="N1051" s="49"/>
      <c r="O1051" s="49"/>
      <c r="P1051" s="49"/>
      <c r="Q1051" s="49"/>
      <c r="R1051" s="49"/>
      <c r="S1051" s="49"/>
      <c r="T1051" s="49"/>
      <c r="U1051" s="49"/>
      <c r="V1051" s="49"/>
      <c r="W1051" s="49"/>
      <c r="X1051" s="49"/>
      <c r="Y1051" s="49"/>
      <c r="Z1051" s="51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K1051" s="7"/>
      <c r="BL1051" s="7"/>
      <c r="BM1051" s="7"/>
      <c r="BN1051" s="7"/>
      <c r="BO1051" s="7"/>
      <c r="BP1051" s="7"/>
      <c r="BQ1051" s="7"/>
      <c r="BR1051" s="7"/>
      <c r="BS1051" s="7"/>
      <c r="BT1051" s="7"/>
      <c r="BU1051" s="7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7"/>
      <c r="CG1051" s="7"/>
      <c r="CH1051" s="7"/>
      <c r="CI1051" s="7"/>
      <c r="CJ1051" s="7"/>
      <c r="CK1051" s="7"/>
      <c r="CL1051" s="7"/>
      <c r="CM1051" s="7"/>
      <c r="CN1051" s="7"/>
      <c r="CO1051" s="7"/>
      <c r="CP1051" s="7"/>
      <c r="CQ1051" s="7"/>
      <c r="CR1051" s="7"/>
      <c r="CS1051" s="7"/>
      <c r="CT1051" s="7"/>
      <c r="CU1051" s="7"/>
      <c r="CV1051" s="7"/>
      <c r="CW1051" s="7"/>
      <c r="CX1051" s="7"/>
      <c r="CY1051" s="7"/>
      <c r="CZ1051" s="7"/>
      <c r="DA1051" s="7"/>
      <c r="DB1051" s="7"/>
      <c r="DC1051" s="7"/>
      <c r="DD1051" s="7"/>
      <c r="DE1051" s="7"/>
      <c r="DF1051" s="7"/>
    </row>
    <row r="1052" spans="1:110" x14ac:dyDescent="0.25">
      <c r="A1052" s="7"/>
      <c r="B1052" s="7"/>
      <c r="C1052" s="48"/>
      <c r="D1052" s="7"/>
      <c r="E1052" s="7"/>
      <c r="F1052" s="7"/>
      <c r="G1052" s="49"/>
      <c r="H1052" s="7"/>
      <c r="I1052" s="50"/>
      <c r="J1052" s="49"/>
      <c r="K1052" s="49"/>
      <c r="M1052" s="49"/>
      <c r="N1052" s="49"/>
      <c r="O1052" s="49"/>
      <c r="P1052" s="49"/>
      <c r="Q1052" s="49"/>
      <c r="R1052" s="49"/>
      <c r="S1052" s="49"/>
      <c r="T1052" s="49"/>
      <c r="U1052" s="49"/>
      <c r="V1052" s="49"/>
      <c r="W1052" s="49"/>
      <c r="X1052" s="49"/>
      <c r="Y1052" s="49"/>
      <c r="Z1052" s="51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  <c r="BM1052" s="7"/>
      <c r="BN1052" s="7"/>
      <c r="BO1052" s="7"/>
      <c r="BP1052" s="7"/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  <c r="CG1052" s="7"/>
      <c r="CH1052" s="7"/>
      <c r="CI1052" s="7"/>
      <c r="CJ1052" s="7"/>
      <c r="CK1052" s="7"/>
      <c r="CL1052" s="7"/>
      <c r="CM1052" s="7"/>
      <c r="CN1052" s="7"/>
      <c r="CO1052" s="7"/>
      <c r="CP1052" s="7"/>
      <c r="CQ1052" s="7"/>
      <c r="CR1052" s="7"/>
      <c r="CS1052" s="7"/>
      <c r="CT1052" s="7"/>
      <c r="CU1052" s="7"/>
      <c r="CV1052" s="7"/>
      <c r="CW1052" s="7"/>
      <c r="CX1052" s="7"/>
      <c r="CY1052" s="7"/>
      <c r="CZ1052" s="7"/>
      <c r="DA1052" s="7"/>
      <c r="DB1052" s="7"/>
      <c r="DC1052" s="7"/>
      <c r="DD1052" s="7"/>
      <c r="DE1052" s="7"/>
      <c r="DF1052" s="7"/>
    </row>
    <row r="1053" spans="1:110" x14ac:dyDescent="0.25">
      <c r="A1053" s="7"/>
      <c r="B1053" s="7"/>
      <c r="C1053" s="48"/>
      <c r="D1053" s="7"/>
      <c r="E1053" s="7"/>
      <c r="F1053" s="7"/>
      <c r="G1053" s="49"/>
      <c r="H1053" s="7"/>
      <c r="I1053" s="50"/>
      <c r="J1053" s="49"/>
      <c r="K1053" s="49"/>
      <c r="M1053" s="49"/>
      <c r="N1053" s="49"/>
      <c r="O1053" s="49"/>
      <c r="P1053" s="49"/>
      <c r="Q1053" s="49"/>
      <c r="R1053" s="49"/>
      <c r="S1053" s="49"/>
      <c r="T1053" s="49"/>
      <c r="U1053" s="49"/>
      <c r="V1053" s="49"/>
      <c r="W1053" s="49"/>
      <c r="X1053" s="49"/>
      <c r="Y1053" s="49"/>
      <c r="Z1053" s="51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/>
      <c r="BM1053" s="7"/>
      <c r="BN1053" s="7"/>
      <c r="BO1053" s="7"/>
      <c r="BP1053" s="7"/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7"/>
      <c r="CN1053" s="7"/>
      <c r="CO1053" s="7"/>
      <c r="CP1053" s="7"/>
      <c r="CQ1053" s="7"/>
      <c r="CR1053" s="7"/>
      <c r="CS1053" s="7"/>
      <c r="CT1053" s="7"/>
      <c r="CU1053" s="7"/>
      <c r="CV1053" s="7"/>
      <c r="CW1053" s="7"/>
      <c r="CX1053" s="7"/>
      <c r="CY1053" s="7"/>
      <c r="CZ1053" s="7"/>
      <c r="DA1053" s="7"/>
      <c r="DB1053" s="7"/>
      <c r="DC1053" s="7"/>
      <c r="DD1053" s="7"/>
      <c r="DE1053" s="7"/>
      <c r="DF1053" s="7"/>
    </row>
    <row r="1054" spans="1:110" x14ac:dyDescent="0.25">
      <c r="A1054" s="7"/>
      <c r="B1054" s="7"/>
      <c r="C1054" s="48"/>
      <c r="D1054" s="7"/>
      <c r="E1054" s="7"/>
      <c r="F1054" s="7"/>
      <c r="G1054" s="49"/>
      <c r="H1054" s="7"/>
      <c r="I1054" s="50"/>
      <c r="J1054" s="49"/>
      <c r="K1054" s="49"/>
      <c r="M1054" s="49"/>
      <c r="N1054" s="49"/>
      <c r="O1054" s="49"/>
      <c r="P1054" s="49"/>
      <c r="Q1054" s="49"/>
      <c r="R1054" s="49"/>
      <c r="S1054" s="49"/>
      <c r="T1054" s="49"/>
      <c r="U1054" s="49"/>
      <c r="V1054" s="49"/>
      <c r="W1054" s="49"/>
      <c r="X1054" s="49"/>
      <c r="Y1054" s="49"/>
      <c r="Z1054" s="51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  <c r="CG1054" s="7"/>
      <c r="CH1054" s="7"/>
      <c r="CI1054" s="7"/>
      <c r="CJ1054" s="7"/>
      <c r="CK1054" s="7"/>
      <c r="CL1054" s="7"/>
      <c r="CM1054" s="7"/>
      <c r="CN1054" s="7"/>
      <c r="CO1054" s="7"/>
      <c r="CP1054" s="7"/>
      <c r="CQ1054" s="7"/>
      <c r="CR1054" s="7"/>
      <c r="CS1054" s="7"/>
      <c r="CT1054" s="7"/>
      <c r="CU1054" s="7"/>
      <c r="CV1054" s="7"/>
      <c r="CW1054" s="7"/>
      <c r="CX1054" s="7"/>
      <c r="CY1054" s="7"/>
      <c r="CZ1054" s="7"/>
      <c r="DA1054" s="7"/>
      <c r="DB1054" s="7"/>
      <c r="DC1054" s="7"/>
      <c r="DD1054" s="7"/>
      <c r="DE1054" s="7"/>
      <c r="DF1054" s="7"/>
    </row>
    <row r="1055" spans="1:110" x14ac:dyDescent="0.25">
      <c r="A1055" s="7"/>
      <c r="B1055" s="7"/>
      <c r="C1055" s="48"/>
      <c r="D1055" s="7"/>
      <c r="E1055" s="7"/>
      <c r="F1055" s="7"/>
      <c r="G1055" s="49"/>
      <c r="H1055" s="7"/>
      <c r="I1055" s="50"/>
      <c r="J1055" s="49"/>
      <c r="K1055" s="49"/>
      <c r="M1055" s="49"/>
      <c r="N1055" s="49"/>
      <c r="O1055" s="49"/>
      <c r="P1055" s="49"/>
      <c r="Q1055" s="49"/>
      <c r="R1055" s="49"/>
      <c r="S1055" s="49"/>
      <c r="T1055" s="49"/>
      <c r="U1055" s="49"/>
      <c r="V1055" s="49"/>
      <c r="W1055" s="49"/>
      <c r="X1055" s="49"/>
      <c r="Y1055" s="49"/>
      <c r="Z1055" s="51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  <c r="BL1055" s="7"/>
      <c r="BM1055" s="7"/>
      <c r="BN1055" s="7"/>
      <c r="BO1055" s="7"/>
      <c r="BP1055" s="7"/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7"/>
      <c r="CN1055" s="7"/>
      <c r="CO1055" s="7"/>
      <c r="CP1055" s="7"/>
      <c r="CQ1055" s="7"/>
      <c r="CR1055" s="7"/>
      <c r="CS1055" s="7"/>
      <c r="CT1055" s="7"/>
      <c r="CU1055" s="7"/>
      <c r="CV1055" s="7"/>
      <c r="CW1055" s="7"/>
      <c r="CX1055" s="7"/>
      <c r="CY1055" s="7"/>
      <c r="CZ1055" s="7"/>
      <c r="DA1055" s="7"/>
      <c r="DB1055" s="7"/>
      <c r="DC1055" s="7"/>
      <c r="DD1055" s="7"/>
      <c r="DE1055" s="7"/>
      <c r="DF1055" s="7"/>
    </row>
    <row r="1056" spans="1:110" x14ac:dyDescent="0.25">
      <c r="A1056" s="7"/>
      <c r="B1056" s="7"/>
      <c r="C1056" s="48"/>
      <c r="D1056" s="7"/>
      <c r="E1056" s="7"/>
      <c r="F1056" s="7"/>
      <c r="G1056" s="49"/>
      <c r="H1056" s="7"/>
      <c r="I1056" s="50"/>
      <c r="J1056" s="49"/>
      <c r="K1056" s="49"/>
      <c r="M1056" s="49"/>
      <c r="N1056" s="49"/>
      <c r="O1056" s="49"/>
      <c r="P1056" s="49"/>
      <c r="Q1056" s="49"/>
      <c r="R1056" s="49"/>
      <c r="S1056" s="49"/>
      <c r="T1056" s="49"/>
      <c r="U1056" s="49"/>
      <c r="V1056" s="49"/>
      <c r="W1056" s="49"/>
      <c r="X1056" s="49"/>
      <c r="Y1056" s="49"/>
      <c r="Z1056" s="51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  <c r="CK1056" s="7"/>
      <c r="CL1056" s="7"/>
      <c r="CM1056" s="7"/>
      <c r="CN1056" s="7"/>
      <c r="CO1056" s="7"/>
      <c r="CP1056" s="7"/>
      <c r="CQ1056" s="7"/>
      <c r="CR1056" s="7"/>
      <c r="CS1056" s="7"/>
      <c r="CT1056" s="7"/>
      <c r="CU1056" s="7"/>
      <c r="CV1056" s="7"/>
      <c r="CW1056" s="7"/>
      <c r="CX1056" s="7"/>
      <c r="CY1056" s="7"/>
      <c r="CZ1056" s="7"/>
      <c r="DA1056" s="7"/>
      <c r="DB1056" s="7"/>
      <c r="DC1056" s="7"/>
      <c r="DD1056" s="7"/>
      <c r="DE1056" s="7"/>
      <c r="DF1056" s="7"/>
    </row>
    <row r="1057" spans="1:110" x14ac:dyDescent="0.25">
      <c r="A1057" s="7"/>
      <c r="B1057" s="7"/>
      <c r="C1057" s="48"/>
      <c r="D1057" s="7"/>
      <c r="E1057" s="7"/>
      <c r="F1057" s="7"/>
      <c r="G1057" s="49"/>
      <c r="H1057" s="7"/>
      <c r="I1057" s="50"/>
      <c r="J1057" s="49"/>
      <c r="K1057" s="49"/>
      <c r="M1057" s="49"/>
      <c r="N1057" s="49"/>
      <c r="O1057" s="49"/>
      <c r="P1057" s="49"/>
      <c r="Q1057" s="49"/>
      <c r="R1057" s="49"/>
      <c r="S1057" s="49"/>
      <c r="T1057" s="49"/>
      <c r="U1057" s="49"/>
      <c r="V1057" s="49"/>
      <c r="W1057" s="49"/>
      <c r="X1057" s="49"/>
      <c r="Y1057" s="49"/>
      <c r="Z1057" s="51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  <c r="BN1057" s="7"/>
      <c r="BO1057" s="7"/>
      <c r="BP1057" s="7"/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  <c r="CK1057" s="7"/>
      <c r="CL1057" s="7"/>
      <c r="CM1057" s="7"/>
      <c r="CN1057" s="7"/>
      <c r="CO1057" s="7"/>
      <c r="CP1057" s="7"/>
      <c r="CQ1057" s="7"/>
      <c r="CR1057" s="7"/>
      <c r="CS1057" s="7"/>
      <c r="CT1057" s="7"/>
      <c r="CU1057" s="7"/>
      <c r="CV1057" s="7"/>
      <c r="CW1057" s="7"/>
      <c r="CX1057" s="7"/>
      <c r="CY1057" s="7"/>
      <c r="CZ1057" s="7"/>
      <c r="DA1057" s="7"/>
      <c r="DB1057" s="7"/>
      <c r="DC1057" s="7"/>
      <c r="DD1057" s="7"/>
      <c r="DE1057" s="7"/>
      <c r="DF1057" s="7"/>
    </row>
    <row r="1058" spans="1:110" x14ac:dyDescent="0.25">
      <c r="A1058" s="7"/>
      <c r="B1058" s="7"/>
      <c r="C1058" s="48"/>
      <c r="D1058" s="7"/>
      <c r="E1058" s="7"/>
      <c r="F1058" s="7"/>
      <c r="G1058" s="49"/>
      <c r="H1058" s="7"/>
      <c r="I1058" s="50"/>
      <c r="J1058" s="49"/>
      <c r="K1058" s="49"/>
      <c r="M1058" s="49"/>
      <c r="N1058" s="49"/>
      <c r="O1058" s="49"/>
      <c r="P1058" s="49"/>
      <c r="Q1058" s="49"/>
      <c r="R1058" s="49"/>
      <c r="S1058" s="49"/>
      <c r="T1058" s="49"/>
      <c r="U1058" s="49"/>
      <c r="V1058" s="49"/>
      <c r="W1058" s="49"/>
      <c r="X1058" s="49"/>
      <c r="Y1058" s="49"/>
      <c r="Z1058" s="51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  <c r="BK1058" s="7"/>
      <c r="BL1058" s="7"/>
      <c r="BM1058" s="7"/>
      <c r="BN1058" s="7"/>
      <c r="BO1058" s="7"/>
      <c r="BP1058" s="7"/>
      <c r="BQ1058" s="7"/>
      <c r="BR1058" s="7"/>
      <c r="BS1058" s="7"/>
      <c r="BT1058" s="7"/>
      <c r="BU1058" s="7"/>
      <c r="BV1058" s="7"/>
      <c r="BW1058" s="7"/>
      <c r="BX1058" s="7"/>
      <c r="BY1058" s="7"/>
      <c r="BZ1058" s="7"/>
      <c r="CA1058" s="7"/>
      <c r="CB1058" s="7"/>
      <c r="CC1058" s="7"/>
      <c r="CD1058" s="7"/>
      <c r="CE1058" s="7"/>
      <c r="CF1058" s="7"/>
      <c r="CG1058" s="7"/>
      <c r="CH1058" s="7"/>
      <c r="CI1058" s="7"/>
      <c r="CJ1058" s="7"/>
      <c r="CK1058" s="7"/>
      <c r="CL1058" s="7"/>
      <c r="CM1058" s="7"/>
      <c r="CN1058" s="7"/>
      <c r="CO1058" s="7"/>
      <c r="CP1058" s="7"/>
      <c r="CQ1058" s="7"/>
      <c r="CR1058" s="7"/>
      <c r="CS1058" s="7"/>
      <c r="CT1058" s="7"/>
      <c r="CU1058" s="7"/>
      <c r="CV1058" s="7"/>
      <c r="CW1058" s="7"/>
      <c r="CX1058" s="7"/>
      <c r="CY1058" s="7"/>
      <c r="CZ1058" s="7"/>
      <c r="DA1058" s="7"/>
      <c r="DB1058" s="7"/>
      <c r="DC1058" s="7"/>
      <c r="DD1058" s="7"/>
      <c r="DE1058" s="7"/>
      <c r="DF1058" s="7"/>
    </row>
    <row r="1059" spans="1:110" x14ac:dyDescent="0.25">
      <c r="A1059" s="7"/>
      <c r="B1059" s="7"/>
      <c r="C1059" s="48"/>
      <c r="D1059" s="7"/>
      <c r="E1059" s="7"/>
      <c r="F1059" s="7"/>
      <c r="G1059" s="49"/>
      <c r="H1059" s="7"/>
      <c r="I1059" s="50"/>
      <c r="J1059" s="49"/>
      <c r="K1059" s="49"/>
      <c r="M1059" s="49"/>
      <c r="N1059" s="49"/>
      <c r="O1059" s="49"/>
      <c r="P1059" s="49"/>
      <c r="Q1059" s="49"/>
      <c r="R1059" s="49"/>
      <c r="S1059" s="49"/>
      <c r="T1059" s="49"/>
      <c r="U1059" s="49"/>
      <c r="V1059" s="49"/>
      <c r="W1059" s="49"/>
      <c r="X1059" s="49"/>
      <c r="Y1059" s="49"/>
      <c r="Z1059" s="51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  <c r="BL1059" s="7"/>
      <c r="BM1059" s="7"/>
      <c r="BN1059" s="7"/>
      <c r="BO1059" s="7"/>
      <c r="BP1059" s="7"/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7"/>
      <c r="CN1059" s="7"/>
      <c r="CO1059" s="7"/>
      <c r="CP1059" s="7"/>
      <c r="CQ1059" s="7"/>
      <c r="CR1059" s="7"/>
      <c r="CS1059" s="7"/>
      <c r="CT1059" s="7"/>
      <c r="CU1059" s="7"/>
      <c r="CV1059" s="7"/>
      <c r="CW1059" s="7"/>
      <c r="CX1059" s="7"/>
      <c r="CY1059" s="7"/>
      <c r="CZ1059" s="7"/>
      <c r="DA1059" s="7"/>
      <c r="DB1059" s="7"/>
      <c r="DC1059" s="7"/>
      <c r="DD1059" s="7"/>
      <c r="DE1059" s="7"/>
      <c r="DF1059" s="7"/>
    </row>
    <row r="1060" spans="1:110" x14ac:dyDescent="0.25">
      <c r="A1060" s="7"/>
      <c r="B1060" s="7"/>
      <c r="C1060" s="48"/>
      <c r="D1060" s="7"/>
      <c r="E1060" s="7"/>
      <c r="F1060" s="7"/>
      <c r="G1060" s="49"/>
      <c r="H1060" s="7"/>
      <c r="I1060" s="50"/>
      <c r="J1060" s="49"/>
      <c r="K1060" s="49"/>
      <c r="M1060" s="49"/>
      <c r="N1060" s="49"/>
      <c r="O1060" s="49"/>
      <c r="P1060" s="49"/>
      <c r="Q1060" s="49"/>
      <c r="R1060" s="49"/>
      <c r="S1060" s="49"/>
      <c r="T1060" s="49"/>
      <c r="U1060" s="49"/>
      <c r="V1060" s="49"/>
      <c r="W1060" s="49"/>
      <c r="X1060" s="49"/>
      <c r="Y1060" s="49"/>
      <c r="Z1060" s="51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  <c r="BK1060" s="7"/>
      <c r="BL1060" s="7"/>
      <c r="BM1060" s="7"/>
      <c r="BN1060" s="7"/>
      <c r="BO1060" s="7"/>
      <c r="BP1060" s="7"/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7"/>
      <c r="CG1060" s="7"/>
      <c r="CH1060" s="7"/>
      <c r="CI1060" s="7"/>
      <c r="CJ1060" s="7"/>
      <c r="CK1060" s="7"/>
      <c r="CL1060" s="7"/>
      <c r="CM1060" s="7"/>
      <c r="CN1060" s="7"/>
      <c r="CO1060" s="7"/>
      <c r="CP1060" s="7"/>
      <c r="CQ1060" s="7"/>
      <c r="CR1060" s="7"/>
      <c r="CS1060" s="7"/>
      <c r="CT1060" s="7"/>
      <c r="CU1060" s="7"/>
      <c r="CV1060" s="7"/>
      <c r="CW1060" s="7"/>
      <c r="CX1060" s="7"/>
      <c r="CY1060" s="7"/>
      <c r="CZ1060" s="7"/>
      <c r="DA1060" s="7"/>
      <c r="DB1060" s="7"/>
      <c r="DC1060" s="7"/>
      <c r="DD1060" s="7"/>
      <c r="DE1060" s="7"/>
      <c r="DF1060" s="7"/>
    </row>
    <row r="1061" spans="1:110" x14ac:dyDescent="0.25">
      <c r="A1061" s="7"/>
      <c r="B1061" s="7"/>
      <c r="C1061" s="48"/>
      <c r="D1061" s="7"/>
      <c r="E1061" s="7"/>
      <c r="F1061" s="7"/>
      <c r="G1061" s="49"/>
      <c r="H1061" s="7"/>
      <c r="I1061" s="50"/>
      <c r="J1061" s="49"/>
      <c r="K1061" s="49"/>
      <c r="M1061" s="49"/>
      <c r="N1061" s="49"/>
      <c r="O1061" s="49"/>
      <c r="P1061" s="49"/>
      <c r="Q1061" s="49"/>
      <c r="R1061" s="49"/>
      <c r="S1061" s="49"/>
      <c r="T1061" s="49"/>
      <c r="U1061" s="49"/>
      <c r="V1061" s="49"/>
      <c r="W1061" s="49"/>
      <c r="X1061" s="49"/>
      <c r="Y1061" s="49"/>
      <c r="Z1061" s="51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/>
      <c r="CJ1061" s="7"/>
      <c r="CK1061" s="7"/>
      <c r="CL1061" s="7"/>
      <c r="CM1061" s="7"/>
      <c r="CN1061" s="7"/>
      <c r="CO1061" s="7"/>
      <c r="CP1061" s="7"/>
      <c r="CQ1061" s="7"/>
      <c r="CR1061" s="7"/>
      <c r="CS1061" s="7"/>
      <c r="CT1061" s="7"/>
      <c r="CU1061" s="7"/>
      <c r="CV1061" s="7"/>
      <c r="CW1061" s="7"/>
      <c r="CX1061" s="7"/>
      <c r="CY1061" s="7"/>
      <c r="CZ1061" s="7"/>
      <c r="DA1061" s="7"/>
      <c r="DB1061" s="7"/>
      <c r="DC1061" s="7"/>
      <c r="DD1061" s="7"/>
      <c r="DE1061" s="7"/>
      <c r="DF1061" s="7"/>
    </row>
    <row r="1062" spans="1:110" x14ac:dyDescent="0.25">
      <c r="A1062" s="7"/>
      <c r="B1062" s="7"/>
      <c r="C1062" s="48"/>
      <c r="D1062" s="7"/>
      <c r="E1062" s="7"/>
      <c r="F1062" s="7"/>
      <c r="G1062" s="49"/>
      <c r="H1062" s="7"/>
      <c r="I1062" s="50"/>
      <c r="J1062" s="49"/>
      <c r="K1062" s="49"/>
      <c r="M1062" s="49"/>
      <c r="N1062" s="49"/>
      <c r="O1062" s="49"/>
      <c r="P1062" s="49"/>
      <c r="Q1062" s="49"/>
      <c r="R1062" s="49"/>
      <c r="S1062" s="49"/>
      <c r="T1062" s="49"/>
      <c r="U1062" s="49"/>
      <c r="V1062" s="49"/>
      <c r="W1062" s="49"/>
      <c r="X1062" s="49"/>
      <c r="Y1062" s="49"/>
      <c r="Z1062" s="51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  <c r="CG1062" s="7"/>
      <c r="CH1062" s="7"/>
      <c r="CI1062" s="7"/>
      <c r="CJ1062" s="7"/>
      <c r="CK1062" s="7"/>
      <c r="CL1062" s="7"/>
      <c r="CM1062" s="7"/>
      <c r="CN1062" s="7"/>
      <c r="CO1062" s="7"/>
      <c r="CP1062" s="7"/>
      <c r="CQ1062" s="7"/>
      <c r="CR1062" s="7"/>
      <c r="CS1062" s="7"/>
      <c r="CT1062" s="7"/>
      <c r="CU1062" s="7"/>
      <c r="CV1062" s="7"/>
      <c r="CW1062" s="7"/>
      <c r="CX1062" s="7"/>
      <c r="CY1062" s="7"/>
      <c r="CZ1062" s="7"/>
      <c r="DA1062" s="7"/>
      <c r="DB1062" s="7"/>
      <c r="DC1062" s="7"/>
      <c r="DD1062" s="7"/>
      <c r="DE1062" s="7"/>
      <c r="DF1062" s="7"/>
    </row>
    <row r="1063" spans="1:110" x14ac:dyDescent="0.25">
      <c r="A1063" s="7"/>
      <c r="B1063" s="7"/>
      <c r="C1063" s="48"/>
      <c r="D1063" s="7"/>
      <c r="E1063" s="7"/>
      <c r="F1063" s="7"/>
      <c r="G1063" s="49"/>
      <c r="H1063" s="7"/>
      <c r="I1063" s="50"/>
      <c r="J1063" s="49"/>
      <c r="K1063" s="49"/>
      <c r="M1063" s="49"/>
      <c r="N1063" s="49"/>
      <c r="O1063" s="49"/>
      <c r="P1063" s="49"/>
      <c r="Q1063" s="49"/>
      <c r="R1063" s="49"/>
      <c r="S1063" s="49"/>
      <c r="T1063" s="49"/>
      <c r="U1063" s="49"/>
      <c r="V1063" s="49"/>
      <c r="W1063" s="49"/>
      <c r="X1063" s="49"/>
      <c r="Y1063" s="49"/>
      <c r="Z1063" s="51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  <c r="CG1063" s="7"/>
      <c r="CH1063" s="7"/>
      <c r="CI1063" s="7"/>
      <c r="CJ1063" s="7"/>
      <c r="CK1063" s="7"/>
      <c r="CL1063" s="7"/>
      <c r="CM1063" s="7"/>
      <c r="CN1063" s="7"/>
      <c r="CO1063" s="7"/>
      <c r="CP1063" s="7"/>
      <c r="CQ1063" s="7"/>
      <c r="CR1063" s="7"/>
      <c r="CS1063" s="7"/>
      <c r="CT1063" s="7"/>
      <c r="CU1063" s="7"/>
      <c r="CV1063" s="7"/>
      <c r="CW1063" s="7"/>
      <c r="CX1063" s="7"/>
      <c r="CY1063" s="7"/>
      <c r="CZ1063" s="7"/>
      <c r="DA1063" s="7"/>
      <c r="DB1063" s="7"/>
      <c r="DC1063" s="7"/>
      <c r="DD1063" s="7"/>
      <c r="DE1063" s="7"/>
      <c r="DF1063" s="7"/>
    </row>
    <row r="1064" spans="1:110" x14ac:dyDescent="0.25">
      <c r="A1064" s="7"/>
      <c r="B1064" s="7"/>
      <c r="C1064" s="48"/>
      <c r="D1064" s="7"/>
      <c r="E1064" s="7"/>
      <c r="F1064" s="7"/>
      <c r="G1064" s="49"/>
      <c r="H1064" s="7"/>
      <c r="I1064" s="50"/>
      <c r="J1064" s="49"/>
      <c r="K1064" s="49"/>
      <c r="M1064" s="49"/>
      <c r="N1064" s="49"/>
      <c r="O1064" s="49"/>
      <c r="P1064" s="49"/>
      <c r="Q1064" s="49"/>
      <c r="R1064" s="49"/>
      <c r="S1064" s="49"/>
      <c r="T1064" s="49"/>
      <c r="U1064" s="49"/>
      <c r="V1064" s="49"/>
      <c r="W1064" s="49"/>
      <c r="X1064" s="49"/>
      <c r="Y1064" s="49"/>
      <c r="Z1064" s="51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  <c r="BM1064" s="7"/>
      <c r="BN1064" s="7"/>
      <c r="BO1064" s="7"/>
      <c r="BP1064" s="7"/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  <c r="CG1064" s="7"/>
      <c r="CH1064" s="7"/>
      <c r="CI1064" s="7"/>
      <c r="CJ1064" s="7"/>
      <c r="CK1064" s="7"/>
      <c r="CL1064" s="7"/>
      <c r="CM1064" s="7"/>
      <c r="CN1064" s="7"/>
      <c r="CO1064" s="7"/>
      <c r="CP1064" s="7"/>
      <c r="CQ1064" s="7"/>
      <c r="CR1064" s="7"/>
      <c r="CS1064" s="7"/>
      <c r="CT1064" s="7"/>
      <c r="CU1064" s="7"/>
      <c r="CV1064" s="7"/>
      <c r="CW1064" s="7"/>
      <c r="CX1064" s="7"/>
      <c r="CY1064" s="7"/>
      <c r="CZ1064" s="7"/>
      <c r="DA1064" s="7"/>
      <c r="DB1064" s="7"/>
      <c r="DC1064" s="7"/>
      <c r="DD1064" s="7"/>
      <c r="DE1064" s="7"/>
      <c r="DF1064" s="7"/>
    </row>
    <row r="1065" spans="1:110" x14ac:dyDescent="0.25">
      <c r="A1065" s="7"/>
      <c r="B1065" s="7"/>
      <c r="C1065" s="48"/>
      <c r="D1065" s="7"/>
      <c r="E1065" s="7"/>
      <c r="F1065" s="7"/>
      <c r="G1065" s="49"/>
      <c r="H1065" s="7"/>
      <c r="I1065" s="50"/>
      <c r="J1065" s="49"/>
      <c r="K1065" s="49"/>
      <c r="M1065" s="49"/>
      <c r="N1065" s="49"/>
      <c r="O1065" s="49"/>
      <c r="P1065" s="49"/>
      <c r="Q1065" s="49"/>
      <c r="R1065" s="49"/>
      <c r="S1065" s="49"/>
      <c r="T1065" s="49"/>
      <c r="U1065" s="49"/>
      <c r="V1065" s="49"/>
      <c r="W1065" s="49"/>
      <c r="X1065" s="49"/>
      <c r="Y1065" s="49"/>
      <c r="Z1065" s="51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  <c r="BN1065" s="7"/>
      <c r="BO1065" s="7"/>
      <c r="BP1065" s="7"/>
      <c r="BQ1065" s="7"/>
      <c r="BR1065" s="7"/>
      <c r="BS1065" s="7"/>
      <c r="BT1065" s="7"/>
      <c r="BU1065" s="7"/>
      <c r="BV1065" s="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7"/>
      <c r="CG1065" s="7"/>
      <c r="CH1065" s="7"/>
      <c r="CI1065" s="7"/>
      <c r="CJ1065" s="7"/>
      <c r="CK1065" s="7"/>
      <c r="CL1065" s="7"/>
      <c r="CM1065" s="7"/>
      <c r="CN1065" s="7"/>
      <c r="CO1065" s="7"/>
      <c r="CP1065" s="7"/>
      <c r="CQ1065" s="7"/>
      <c r="CR1065" s="7"/>
      <c r="CS1065" s="7"/>
      <c r="CT1065" s="7"/>
      <c r="CU1065" s="7"/>
      <c r="CV1065" s="7"/>
      <c r="CW1065" s="7"/>
      <c r="CX1065" s="7"/>
      <c r="CY1065" s="7"/>
      <c r="CZ1065" s="7"/>
      <c r="DA1065" s="7"/>
      <c r="DB1065" s="7"/>
      <c r="DC1065" s="7"/>
      <c r="DD1065" s="7"/>
      <c r="DE1065" s="7"/>
      <c r="DF1065" s="7"/>
    </row>
    <row r="1066" spans="1:110" x14ac:dyDescent="0.25">
      <c r="A1066" s="7"/>
      <c r="B1066" s="7"/>
      <c r="C1066" s="48"/>
      <c r="D1066" s="7"/>
      <c r="E1066" s="7"/>
      <c r="F1066" s="7"/>
      <c r="G1066" s="49"/>
      <c r="H1066" s="7"/>
      <c r="I1066" s="50"/>
      <c r="J1066" s="49"/>
      <c r="K1066" s="49"/>
      <c r="M1066" s="49"/>
      <c r="N1066" s="49"/>
      <c r="O1066" s="49"/>
      <c r="P1066" s="49"/>
      <c r="Q1066" s="49"/>
      <c r="R1066" s="49"/>
      <c r="S1066" s="49"/>
      <c r="T1066" s="49"/>
      <c r="U1066" s="49"/>
      <c r="V1066" s="49"/>
      <c r="W1066" s="49"/>
      <c r="X1066" s="49"/>
      <c r="Y1066" s="49"/>
      <c r="Z1066" s="51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  <c r="BK1066" s="7"/>
      <c r="BL1066" s="7"/>
      <c r="BM1066" s="7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7"/>
      <c r="CI1066" s="7"/>
      <c r="CJ1066" s="7"/>
      <c r="CK1066" s="7"/>
      <c r="CL1066" s="7"/>
      <c r="CM1066" s="7"/>
      <c r="CN1066" s="7"/>
      <c r="CO1066" s="7"/>
      <c r="CP1066" s="7"/>
      <c r="CQ1066" s="7"/>
      <c r="CR1066" s="7"/>
      <c r="CS1066" s="7"/>
      <c r="CT1066" s="7"/>
      <c r="CU1066" s="7"/>
      <c r="CV1066" s="7"/>
      <c r="CW1066" s="7"/>
      <c r="CX1066" s="7"/>
      <c r="CY1066" s="7"/>
      <c r="CZ1066" s="7"/>
      <c r="DA1066" s="7"/>
      <c r="DB1066" s="7"/>
      <c r="DC1066" s="7"/>
      <c r="DD1066" s="7"/>
      <c r="DE1066" s="7"/>
      <c r="DF1066" s="7"/>
    </row>
    <row r="1067" spans="1:110" x14ac:dyDescent="0.25">
      <c r="A1067" s="7"/>
      <c r="B1067" s="7"/>
      <c r="C1067" s="48"/>
      <c r="D1067" s="7"/>
      <c r="E1067" s="7"/>
      <c r="F1067" s="7"/>
      <c r="G1067" s="49"/>
      <c r="H1067" s="7"/>
      <c r="I1067" s="50"/>
      <c r="J1067" s="49"/>
      <c r="K1067" s="49"/>
      <c r="M1067" s="49"/>
      <c r="N1067" s="49"/>
      <c r="O1067" s="49"/>
      <c r="P1067" s="49"/>
      <c r="Q1067" s="49"/>
      <c r="R1067" s="49"/>
      <c r="S1067" s="49"/>
      <c r="T1067" s="49"/>
      <c r="U1067" s="49"/>
      <c r="V1067" s="49"/>
      <c r="W1067" s="49"/>
      <c r="X1067" s="49"/>
      <c r="Y1067" s="49"/>
      <c r="Z1067" s="51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  <c r="BM1067" s="7"/>
      <c r="BN1067" s="7"/>
      <c r="BO1067" s="7"/>
      <c r="BP1067" s="7"/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7"/>
      <c r="CH1067" s="7"/>
      <c r="CI1067" s="7"/>
      <c r="CJ1067" s="7"/>
      <c r="CK1067" s="7"/>
      <c r="CL1067" s="7"/>
      <c r="CM1067" s="7"/>
      <c r="CN1067" s="7"/>
      <c r="CO1067" s="7"/>
      <c r="CP1067" s="7"/>
      <c r="CQ1067" s="7"/>
      <c r="CR1067" s="7"/>
      <c r="CS1067" s="7"/>
      <c r="CT1067" s="7"/>
      <c r="CU1067" s="7"/>
      <c r="CV1067" s="7"/>
      <c r="CW1067" s="7"/>
      <c r="CX1067" s="7"/>
      <c r="CY1067" s="7"/>
      <c r="CZ1067" s="7"/>
      <c r="DA1067" s="7"/>
      <c r="DB1067" s="7"/>
      <c r="DC1067" s="7"/>
      <c r="DD1067" s="7"/>
      <c r="DE1067" s="7"/>
      <c r="DF1067" s="7"/>
    </row>
    <row r="1068" spans="1:110" x14ac:dyDescent="0.25">
      <c r="A1068" s="7"/>
      <c r="B1068" s="7"/>
      <c r="C1068" s="48"/>
      <c r="D1068" s="7"/>
      <c r="E1068" s="7"/>
      <c r="F1068" s="7"/>
      <c r="G1068" s="49"/>
      <c r="H1068" s="7"/>
      <c r="I1068" s="50"/>
      <c r="J1068" s="49"/>
      <c r="K1068" s="49"/>
      <c r="M1068" s="49"/>
      <c r="N1068" s="49"/>
      <c r="O1068" s="49"/>
      <c r="P1068" s="49"/>
      <c r="Q1068" s="49"/>
      <c r="R1068" s="49"/>
      <c r="S1068" s="49"/>
      <c r="T1068" s="49"/>
      <c r="U1068" s="49"/>
      <c r="V1068" s="49"/>
      <c r="W1068" s="49"/>
      <c r="X1068" s="49"/>
      <c r="Y1068" s="49"/>
      <c r="Z1068" s="51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  <c r="BN1068" s="7"/>
      <c r="BO1068" s="7"/>
      <c r="BP1068" s="7"/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7"/>
      <c r="CH1068" s="7"/>
      <c r="CI1068" s="7"/>
      <c r="CJ1068" s="7"/>
      <c r="CK1068" s="7"/>
      <c r="CL1068" s="7"/>
      <c r="CM1068" s="7"/>
      <c r="CN1068" s="7"/>
      <c r="CO1068" s="7"/>
      <c r="CP1068" s="7"/>
      <c r="CQ1068" s="7"/>
      <c r="CR1068" s="7"/>
      <c r="CS1068" s="7"/>
      <c r="CT1068" s="7"/>
      <c r="CU1068" s="7"/>
      <c r="CV1068" s="7"/>
      <c r="CW1068" s="7"/>
      <c r="CX1068" s="7"/>
      <c r="CY1068" s="7"/>
      <c r="CZ1068" s="7"/>
      <c r="DA1068" s="7"/>
      <c r="DB1068" s="7"/>
      <c r="DC1068" s="7"/>
      <c r="DD1068" s="7"/>
      <c r="DE1068" s="7"/>
      <c r="DF1068" s="7"/>
    </row>
    <row r="1069" spans="1:110" x14ac:dyDescent="0.25">
      <c r="A1069" s="7"/>
      <c r="B1069" s="7"/>
      <c r="C1069" s="48"/>
      <c r="D1069" s="7"/>
      <c r="E1069" s="7"/>
      <c r="F1069" s="7"/>
      <c r="G1069" s="49"/>
      <c r="H1069" s="7"/>
      <c r="I1069" s="50"/>
      <c r="J1069" s="49"/>
      <c r="K1069" s="49"/>
      <c r="M1069" s="49"/>
      <c r="N1069" s="49"/>
      <c r="O1069" s="49"/>
      <c r="P1069" s="49"/>
      <c r="Q1069" s="49"/>
      <c r="R1069" s="49"/>
      <c r="S1069" s="49"/>
      <c r="T1069" s="49"/>
      <c r="U1069" s="49"/>
      <c r="V1069" s="49"/>
      <c r="W1069" s="49"/>
      <c r="X1069" s="49"/>
      <c r="Y1069" s="49"/>
      <c r="Z1069" s="51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7"/>
      <c r="CH1069" s="7"/>
      <c r="CI1069" s="7"/>
      <c r="CJ1069" s="7"/>
      <c r="CK1069" s="7"/>
      <c r="CL1069" s="7"/>
      <c r="CM1069" s="7"/>
      <c r="CN1069" s="7"/>
      <c r="CO1069" s="7"/>
      <c r="CP1069" s="7"/>
      <c r="CQ1069" s="7"/>
      <c r="CR1069" s="7"/>
      <c r="CS1069" s="7"/>
      <c r="CT1069" s="7"/>
      <c r="CU1069" s="7"/>
      <c r="CV1069" s="7"/>
      <c r="CW1069" s="7"/>
      <c r="CX1069" s="7"/>
      <c r="CY1069" s="7"/>
      <c r="CZ1069" s="7"/>
      <c r="DA1069" s="7"/>
      <c r="DB1069" s="7"/>
      <c r="DC1069" s="7"/>
      <c r="DD1069" s="7"/>
      <c r="DE1069" s="7"/>
      <c r="DF1069" s="7"/>
    </row>
    <row r="1070" spans="1:110" x14ac:dyDescent="0.25">
      <c r="A1070" s="7"/>
      <c r="B1070" s="7"/>
      <c r="C1070" s="48"/>
      <c r="D1070" s="7"/>
      <c r="E1070" s="7"/>
      <c r="F1070" s="7"/>
      <c r="G1070" s="49"/>
      <c r="H1070" s="7"/>
      <c r="I1070" s="50"/>
      <c r="J1070" s="49"/>
      <c r="K1070" s="49"/>
      <c r="M1070" s="49"/>
      <c r="N1070" s="49"/>
      <c r="O1070" s="49"/>
      <c r="P1070" s="49"/>
      <c r="Q1070" s="49"/>
      <c r="R1070" s="49"/>
      <c r="S1070" s="49"/>
      <c r="T1070" s="49"/>
      <c r="U1070" s="49"/>
      <c r="V1070" s="49"/>
      <c r="W1070" s="49"/>
      <c r="X1070" s="49"/>
      <c r="Y1070" s="49"/>
      <c r="Z1070" s="51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  <c r="BN1070" s="7"/>
      <c r="BO1070" s="7"/>
      <c r="BP1070" s="7"/>
      <c r="BQ1070" s="7"/>
      <c r="BR1070" s="7"/>
      <c r="BS1070" s="7"/>
      <c r="BT1070" s="7"/>
      <c r="BU1070" s="7"/>
      <c r="BV1070" s="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7"/>
      <c r="CG1070" s="7"/>
      <c r="CH1070" s="7"/>
      <c r="CI1070" s="7"/>
      <c r="CJ1070" s="7"/>
      <c r="CK1070" s="7"/>
      <c r="CL1070" s="7"/>
      <c r="CM1070" s="7"/>
      <c r="CN1070" s="7"/>
      <c r="CO1070" s="7"/>
      <c r="CP1070" s="7"/>
      <c r="CQ1070" s="7"/>
      <c r="CR1070" s="7"/>
      <c r="CS1070" s="7"/>
      <c r="CT1070" s="7"/>
      <c r="CU1070" s="7"/>
      <c r="CV1070" s="7"/>
      <c r="CW1070" s="7"/>
      <c r="CX1070" s="7"/>
      <c r="CY1070" s="7"/>
      <c r="CZ1070" s="7"/>
      <c r="DA1070" s="7"/>
      <c r="DB1070" s="7"/>
      <c r="DC1070" s="7"/>
      <c r="DD1070" s="7"/>
      <c r="DE1070" s="7"/>
      <c r="DF1070" s="7"/>
    </row>
    <row r="1071" spans="1:110" x14ac:dyDescent="0.25">
      <c r="A1071" s="7"/>
      <c r="B1071" s="7"/>
      <c r="C1071" s="48"/>
      <c r="D1071" s="7"/>
      <c r="E1071" s="7"/>
      <c r="F1071" s="7"/>
      <c r="G1071" s="49"/>
      <c r="H1071" s="7"/>
      <c r="I1071" s="50"/>
      <c r="J1071" s="49"/>
      <c r="K1071" s="49"/>
      <c r="M1071" s="49"/>
      <c r="N1071" s="49"/>
      <c r="O1071" s="49"/>
      <c r="P1071" s="49"/>
      <c r="Q1071" s="49"/>
      <c r="R1071" s="49"/>
      <c r="S1071" s="49"/>
      <c r="T1071" s="49"/>
      <c r="U1071" s="49"/>
      <c r="V1071" s="49"/>
      <c r="W1071" s="49"/>
      <c r="X1071" s="49"/>
      <c r="Y1071" s="49"/>
      <c r="Z1071" s="51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7"/>
      <c r="CH1071" s="7"/>
      <c r="CI1071" s="7"/>
      <c r="CJ1071" s="7"/>
      <c r="CK1071" s="7"/>
      <c r="CL1071" s="7"/>
      <c r="CM1071" s="7"/>
      <c r="CN1071" s="7"/>
      <c r="CO1071" s="7"/>
      <c r="CP1071" s="7"/>
      <c r="CQ1071" s="7"/>
      <c r="CR1071" s="7"/>
      <c r="CS1071" s="7"/>
      <c r="CT1071" s="7"/>
      <c r="CU1071" s="7"/>
      <c r="CV1071" s="7"/>
      <c r="CW1071" s="7"/>
      <c r="CX1071" s="7"/>
      <c r="CY1071" s="7"/>
      <c r="CZ1071" s="7"/>
      <c r="DA1071" s="7"/>
      <c r="DB1071" s="7"/>
      <c r="DC1071" s="7"/>
      <c r="DD1071" s="7"/>
      <c r="DE1071" s="7"/>
      <c r="DF1071" s="7"/>
    </row>
    <row r="1072" spans="1:110" x14ac:dyDescent="0.25">
      <c r="A1072" s="7"/>
      <c r="B1072" s="7"/>
      <c r="C1072" s="48"/>
      <c r="D1072" s="7"/>
      <c r="E1072" s="7"/>
      <c r="F1072" s="7"/>
      <c r="G1072" s="49"/>
      <c r="H1072" s="7"/>
      <c r="I1072" s="50"/>
      <c r="J1072" s="49"/>
      <c r="K1072" s="49"/>
      <c r="M1072" s="49"/>
      <c r="N1072" s="49"/>
      <c r="O1072" s="49"/>
      <c r="P1072" s="49"/>
      <c r="Q1072" s="49"/>
      <c r="R1072" s="49"/>
      <c r="S1072" s="49"/>
      <c r="T1072" s="49"/>
      <c r="U1072" s="49"/>
      <c r="V1072" s="49"/>
      <c r="W1072" s="49"/>
      <c r="X1072" s="49"/>
      <c r="Y1072" s="49"/>
      <c r="Z1072" s="51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  <c r="BM1072" s="7"/>
      <c r="BN1072" s="7"/>
      <c r="BO1072" s="7"/>
      <c r="BP1072" s="7"/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7"/>
      <c r="CG1072" s="7"/>
      <c r="CH1072" s="7"/>
      <c r="CI1072" s="7"/>
      <c r="CJ1072" s="7"/>
      <c r="CK1072" s="7"/>
      <c r="CL1072" s="7"/>
      <c r="CM1072" s="7"/>
      <c r="CN1072" s="7"/>
      <c r="CO1072" s="7"/>
      <c r="CP1072" s="7"/>
      <c r="CQ1072" s="7"/>
      <c r="CR1072" s="7"/>
      <c r="CS1072" s="7"/>
      <c r="CT1072" s="7"/>
      <c r="CU1072" s="7"/>
      <c r="CV1072" s="7"/>
      <c r="CW1072" s="7"/>
      <c r="CX1072" s="7"/>
      <c r="CY1072" s="7"/>
      <c r="CZ1072" s="7"/>
      <c r="DA1072" s="7"/>
      <c r="DB1072" s="7"/>
      <c r="DC1072" s="7"/>
      <c r="DD1072" s="7"/>
      <c r="DE1072" s="7"/>
      <c r="DF1072" s="7"/>
    </row>
    <row r="1073" spans="1:110" x14ac:dyDescent="0.25">
      <c r="A1073" s="7"/>
      <c r="B1073" s="7"/>
      <c r="C1073" s="48"/>
      <c r="D1073" s="7"/>
      <c r="E1073" s="7"/>
      <c r="F1073" s="7"/>
      <c r="G1073" s="49"/>
      <c r="H1073" s="7"/>
      <c r="I1073" s="50"/>
      <c r="J1073" s="49"/>
      <c r="K1073" s="49"/>
      <c r="M1073" s="49"/>
      <c r="N1073" s="49"/>
      <c r="O1073" s="49"/>
      <c r="P1073" s="49"/>
      <c r="Q1073" s="49"/>
      <c r="R1073" s="49"/>
      <c r="S1073" s="49"/>
      <c r="T1073" s="49"/>
      <c r="U1073" s="49"/>
      <c r="V1073" s="49"/>
      <c r="W1073" s="49"/>
      <c r="X1073" s="49"/>
      <c r="Y1073" s="49"/>
      <c r="Z1073" s="51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7"/>
      <c r="CH1073" s="7"/>
      <c r="CI1073" s="7"/>
      <c r="CJ1073" s="7"/>
      <c r="CK1073" s="7"/>
      <c r="CL1073" s="7"/>
      <c r="CM1073" s="7"/>
      <c r="CN1073" s="7"/>
      <c r="CO1073" s="7"/>
      <c r="CP1073" s="7"/>
      <c r="CQ1073" s="7"/>
      <c r="CR1073" s="7"/>
      <c r="CS1073" s="7"/>
      <c r="CT1073" s="7"/>
      <c r="CU1073" s="7"/>
      <c r="CV1073" s="7"/>
      <c r="CW1073" s="7"/>
      <c r="CX1073" s="7"/>
      <c r="CY1073" s="7"/>
      <c r="CZ1073" s="7"/>
      <c r="DA1073" s="7"/>
      <c r="DB1073" s="7"/>
      <c r="DC1073" s="7"/>
      <c r="DD1073" s="7"/>
      <c r="DE1073" s="7"/>
      <c r="DF1073" s="7"/>
    </row>
    <row r="1074" spans="1:110" x14ac:dyDescent="0.25">
      <c r="A1074" s="7"/>
      <c r="B1074" s="7"/>
      <c r="C1074" s="48"/>
      <c r="D1074" s="7"/>
      <c r="E1074" s="7"/>
      <c r="F1074" s="7"/>
      <c r="G1074" s="49"/>
      <c r="H1074" s="7"/>
      <c r="I1074" s="50"/>
      <c r="J1074" s="49"/>
      <c r="K1074" s="49"/>
      <c r="M1074" s="49"/>
      <c r="N1074" s="49"/>
      <c r="O1074" s="49"/>
      <c r="P1074" s="49"/>
      <c r="Q1074" s="49"/>
      <c r="R1074" s="49"/>
      <c r="S1074" s="49"/>
      <c r="T1074" s="49"/>
      <c r="U1074" s="49"/>
      <c r="V1074" s="49"/>
      <c r="W1074" s="49"/>
      <c r="X1074" s="49"/>
      <c r="Y1074" s="49"/>
      <c r="Z1074" s="51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  <c r="BK1074" s="7"/>
      <c r="BL1074" s="7"/>
      <c r="BM1074" s="7"/>
      <c r="BN1074" s="7"/>
      <c r="BO1074" s="7"/>
      <c r="BP1074" s="7"/>
      <c r="BQ1074" s="7"/>
      <c r="BR1074" s="7"/>
      <c r="BS1074" s="7"/>
      <c r="BT1074" s="7"/>
      <c r="BU1074" s="7"/>
      <c r="BV1074" s="7"/>
      <c r="BW1074" s="7"/>
      <c r="BX1074" s="7"/>
      <c r="BY1074" s="7"/>
      <c r="BZ1074" s="7"/>
      <c r="CA1074" s="7"/>
      <c r="CB1074" s="7"/>
      <c r="CC1074" s="7"/>
      <c r="CD1074" s="7"/>
      <c r="CE1074" s="7"/>
      <c r="CF1074" s="7"/>
      <c r="CG1074" s="7"/>
      <c r="CH1074" s="7"/>
      <c r="CI1074" s="7"/>
      <c r="CJ1074" s="7"/>
      <c r="CK1074" s="7"/>
      <c r="CL1074" s="7"/>
      <c r="CM1074" s="7"/>
      <c r="CN1074" s="7"/>
      <c r="CO1074" s="7"/>
      <c r="CP1074" s="7"/>
      <c r="CQ1074" s="7"/>
      <c r="CR1074" s="7"/>
      <c r="CS1074" s="7"/>
      <c r="CT1074" s="7"/>
      <c r="CU1074" s="7"/>
      <c r="CV1074" s="7"/>
      <c r="CW1074" s="7"/>
      <c r="CX1074" s="7"/>
      <c r="CY1074" s="7"/>
      <c r="CZ1074" s="7"/>
      <c r="DA1074" s="7"/>
      <c r="DB1074" s="7"/>
      <c r="DC1074" s="7"/>
      <c r="DD1074" s="7"/>
      <c r="DE1074" s="7"/>
      <c r="DF1074" s="7"/>
    </row>
    <row r="1075" spans="1:110" x14ac:dyDescent="0.25">
      <c r="A1075" s="7"/>
      <c r="B1075" s="7"/>
      <c r="C1075" s="48"/>
      <c r="D1075" s="7"/>
      <c r="E1075" s="7"/>
      <c r="F1075" s="7"/>
      <c r="G1075" s="49"/>
      <c r="H1075" s="7"/>
      <c r="I1075" s="50"/>
      <c r="J1075" s="49"/>
      <c r="K1075" s="49"/>
      <c r="M1075" s="49"/>
      <c r="N1075" s="49"/>
      <c r="O1075" s="49"/>
      <c r="P1075" s="49"/>
      <c r="Q1075" s="49"/>
      <c r="R1075" s="49"/>
      <c r="S1075" s="49"/>
      <c r="T1075" s="49"/>
      <c r="U1075" s="49"/>
      <c r="V1075" s="49"/>
      <c r="W1075" s="49"/>
      <c r="X1075" s="49"/>
      <c r="Y1075" s="49"/>
      <c r="Z1075" s="51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  <c r="BL1075" s="7"/>
      <c r="BM1075" s="7"/>
      <c r="BN1075" s="7"/>
      <c r="BO1075" s="7"/>
      <c r="BP1075" s="7"/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  <c r="CK1075" s="7"/>
      <c r="CL1075" s="7"/>
      <c r="CM1075" s="7"/>
      <c r="CN1075" s="7"/>
      <c r="CO1075" s="7"/>
      <c r="CP1075" s="7"/>
      <c r="CQ1075" s="7"/>
      <c r="CR1075" s="7"/>
      <c r="CS1075" s="7"/>
      <c r="CT1075" s="7"/>
      <c r="CU1075" s="7"/>
      <c r="CV1075" s="7"/>
      <c r="CW1075" s="7"/>
      <c r="CX1075" s="7"/>
      <c r="CY1075" s="7"/>
      <c r="CZ1075" s="7"/>
      <c r="DA1075" s="7"/>
      <c r="DB1075" s="7"/>
      <c r="DC1075" s="7"/>
      <c r="DD1075" s="7"/>
      <c r="DE1075" s="7"/>
      <c r="DF1075" s="7"/>
    </row>
    <row r="1076" spans="1:110" x14ac:dyDescent="0.25">
      <c r="A1076" s="7"/>
      <c r="B1076" s="7"/>
      <c r="C1076" s="48"/>
      <c r="D1076" s="7"/>
      <c r="E1076" s="7"/>
      <c r="F1076" s="7"/>
      <c r="G1076" s="49"/>
      <c r="H1076" s="7"/>
      <c r="I1076" s="50"/>
      <c r="J1076" s="49"/>
      <c r="K1076" s="49"/>
      <c r="M1076" s="49"/>
      <c r="N1076" s="49"/>
      <c r="O1076" s="49"/>
      <c r="P1076" s="49"/>
      <c r="Q1076" s="49"/>
      <c r="R1076" s="49"/>
      <c r="S1076" s="49"/>
      <c r="T1076" s="49"/>
      <c r="U1076" s="49"/>
      <c r="V1076" s="49"/>
      <c r="W1076" s="49"/>
      <c r="X1076" s="49"/>
      <c r="Y1076" s="49"/>
      <c r="Z1076" s="51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  <c r="BN1076" s="7"/>
      <c r="BO1076" s="7"/>
      <c r="BP1076" s="7"/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  <c r="CA1076" s="7"/>
      <c r="CB1076" s="7"/>
      <c r="CC1076" s="7"/>
      <c r="CD1076" s="7"/>
      <c r="CE1076" s="7"/>
      <c r="CF1076" s="7"/>
      <c r="CG1076" s="7"/>
      <c r="CH1076" s="7"/>
      <c r="CI1076" s="7"/>
      <c r="CJ1076" s="7"/>
      <c r="CK1076" s="7"/>
      <c r="CL1076" s="7"/>
      <c r="CM1076" s="7"/>
      <c r="CN1076" s="7"/>
      <c r="CO1076" s="7"/>
      <c r="CP1076" s="7"/>
      <c r="CQ1076" s="7"/>
      <c r="CR1076" s="7"/>
      <c r="CS1076" s="7"/>
      <c r="CT1076" s="7"/>
      <c r="CU1076" s="7"/>
      <c r="CV1076" s="7"/>
      <c r="CW1076" s="7"/>
      <c r="CX1076" s="7"/>
      <c r="CY1076" s="7"/>
      <c r="CZ1076" s="7"/>
      <c r="DA1076" s="7"/>
      <c r="DB1076" s="7"/>
      <c r="DC1076" s="7"/>
      <c r="DD1076" s="7"/>
      <c r="DE1076" s="7"/>
      <c r="DF1076" s="7"/>
    </row>
    <row r="1077" spans="1:110" x14ac:dyDescent="0.25">
      <c r="A1077" s="7"/>
      <c r="B1077" s="7"/>
      <c r="C1077" s="48"/>
      <c r="D1077" s="7"/>
      <c r="E1077" s="7"/>
      <c r="F1077" s="7"/>
      <c r="G1077" s="49"/>
      <c r="H1077" s="7"/>
      <c r="I1077" s="50"/>
      <c r="J1077" s="49"/>
      <c r="K1077" s="49"/>
      <c r="M1077" s="49"/>
      <c r="N1077" s="49"/>
      <c r="O1077" s="49"/>
      <c r="P1077" s="49"/>
      <c r="Q1077" s="49"/>
      <c r="R1077" s="49"/>
      <c r="S1077" s="49"/>
      <c r="T1077" s="49"/>
      <c r="U1077" s="49"/>
      <c r="V1077" s="49"/>
      <c r="W1077" s="49"/>
      <c r="X1077" s="49"/>
      <c r="Y1077" s="49"/>
      <c r="Z1077" s="51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K1077" s="7"/>
      <c r="BL1077" s="7"/>
      <c r="BM1077" s="7"/>
      <c r="BN1077" s="7"/>
      <c r="BO1077" s="7"/>
      <c r="BP1077" s="7"/>
      <c r="BQ1077" s="7"/>
      <c r="BR1077" s="7"/>
      <c r="BS1077" s="7"/>
      <c r="BT1077" s="7"/>
      <c r="BU1077" s="7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  <c r="CG1077" s="7"/>
      <c r="CH1077" s="7"/>
      <c r="CI1077" s="7"/>
      <c r="CJ1077" s="7"/>
      <c r="CK1077" s="7"/>
      <c r="CL1077" s="7"/>
      <c r="CM1077" s="7"/>
      <c r="CN1077" s="7"/>
      <c r="CO1077" s="7"/>
      <c r="CP1077" s="7"/>
      <c r="CQ1077" s="7"/>
      <c r="CR1077" s="7"/>
      <c r="CS1077" s="7"/>
      <c r="CT1077" s="7"/>
      <c r="CU1077" s="7"/>
      <c r="CV1077" s="7"/>
      <c r="CW1077" s="7"/>
      <c r="CX1077" s="7"/>
      <c r="CY1077" s="7"/>
      <c r="CZ1077" s="7"/>
      <c r="DA1077" s="7"/>
      <c r="DB1077" s="7"/>
      <c r="DC1077" s="7"/>
      <c r="DD1077" s="7"/>
      <c r="DE1077" s="7"/>
      <c r="DF1077" s="7"/>
    </row>
    <row r="1078" spans="1:110" x14ac:dyDescent="0.25">
      <c r="A1078" s="7"/>
      <c r="B1078" s="7"/>
      <c r="C1078" s="48"/>
      <c r="D1078" s="7"/>
      <c r="E1078" s="7"/>
      <c r="F1078" s="7"/>
      <c r="G1078" s="49"/>
      <c r="H1078" s="7"/>
      <c r="I1078" s="50"/>
      <c r="J1078" s="49"/>
      <c r="K1078" s="49"/>
      <c r="M1078" s="49"/>
      <c r="N1078" s="49"/>
      <c r="O1078" s="49"/>
      <c r="P1078" s="49"/>
      <c r="Q1078" s="49"/>
      <c r="R1078" s="49"/>
      <c r="S1078" s="49"/>
      <c r="T1078" s="49"/>
      <c r="U1078" s="49"/>
      <c r="V1078" s="49"/>
      <c r="W1078" s="49"/>
      <c r="X1078" s="49"/>
      <c r="Y1078" s="49"/>
      <c r="Z1078" s="51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/>
      <c r="BM1078" s="7"/>
      <c r="BN1078" s="7"/>
      <c r="BO1078" s="7"/>
      <c r="BP1078" s="7"/>
      <c r="BQ1078" s="7"/>
      <c r="BR1078" s="7"/>
      <c r="BS1078" s="7"/>
      <c r="BT1078" s="7"/>
      <c r="BU1078" s="7"/>
      <c r="BV1078" s="7"/>
      <c r="BW1078" s="7"/>
      <c r="BX1078" s="7"/>
      <c r="BY1078" s="7"/>
      <c r="BZ1078" s="7"/>
      <c r="CA1078" s="7"/>
      <c r="CB1078" s="7"/>
      <c r="CC1078" s="7"/>
      <c r="CD1078" s="7"/>
      <c r="CE1078" s="7"/>
      <c r="CF1078" s="7"/>
      <c r="CG1078" s="7"/>
      <c r="CH1078" s="7"/>
      <c r="CI1078" s="7"/>
      <c r="CJ1078" s="7"/>
      <c r="CK1078" s="7"/>
      <c r="CL1078" s="7"/>
      <c r="CM1078" s="7"/>
      <c r="CN1078" s="7"/>
      <c r="CO1078" s="7"/>
      <c r="CP1078" s="7"/>
      <c r="CQ1078" s="7"/>
      <c r="CR1078" s="7"/>
      <c r="CS1078" s="7"/>
      <c r="CT1078" s="7"/>
      <c r="CU1078" s="7"/>
      <c r="CV1078" s="7"/>
      <c r="CW1078" s="7"/>
      <c r="CX1078" s="7"/>
      <c r="CY1078" s="7"/>
      <c r="CZ1078" s="7"/>
      <c r="DA1078" s="7"/>
      <c r="DB1078" s="7"/>
      <c r="DC1078" s="7"/>
      <c r="DD1078" s="7"/>
      <c r="DE1078" s="7"/>
      <c r="DF1078" s="7"/>
    </row>
    <row r="1079" spans="1:110" x14ac:dyDescent="0.25">
      <c r="A1079" s="7"/>
      <c r="B1079" s="7"/>
      <c r="C1079" s="48"/>
      <c r="D1079" s="7"/>
      <c r="E1079" s="7"/>
      <c r="F1079" s="7"/>
      <c r="G1079" s="49"/>
      <c r="H1079" s="7"/>
      <c r="I1079" s="50"/>
      <c r="J1079" s="49"/>
      <c r="K1079" s="49"/>
      <c r="M1079" s="49"/>
      <c r="N1079" s="49"/>
      <c r="O1079" s="49"/>
      <c r="P1079" s="49"/>
      <c r="Q1079" s="49"/>
      <c r="R1079" s="49"/>
      <c r="S1079" s="49"/>
      <c r="T1079" s="49"/>
      <c r="U1079" s="49"/>
      <c r="V1079" s="49"/>
      <c r="W1079" s="49"/>
      <c r="X1079" s="49"/>
      <c r="Y1079" s="49"/>
      <c r="Z1079" s="51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7"/>
      <c r="BM1079" s="7"/>
      <c r="BN1079" s="7"/>
      <c r="BO1079" s="7"/>
      <c r="BP1079" s="7"/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7"/>
      <c r="CG1079" s="7"/>
      <c r="CH1079" s="7"/>
      <c r="CI1079" s="7"/>
      <c r="CJ1079" s="7"/>
      <c r="CK1079" s="7"/>
      <c r="CL1079" s="7"/>
      <c r="CM1079" s="7"/>
      <c r="CN1079" s="7"/>
      <c r="CO1079" s="7"/>
      <c r="CP1079" s="7"/>
      <c r="CQ1079" s="7"/>
      <c r="CR1079" s="7"/>
      <c r="CS1079" s="7"/>
      <c r="CT1079" s="7"/>
      <c r="CU1079" s="7"/>
      <c r="CV1079" s="7"/>
      <c r="CW1079" s="7"/>
      <c r="CX1079" s="7"/>
      <c r="CY1079" s="7"/>
      <c r="CZ1079" s="7"/>
      <c r="DA1079" s="7"/>
      <c r="DB1079" s="7"/>
      <c r="DC1079" s="7"/>
      <c r="DD1079" s="7"/>
      <c r="DE1079" s="7"/>
      <c r="DF1079" s="7"/>
    </row>
    <row r="1080" spans="1:110" x14ac:dyDescent="0.25">
      <c r="A1080" s="7"/>
      <c r="B1080" s="7"/>
      <c r="C1080" s="48"/>
      <c r="D1080" s="7"/>
      <c r="E1080" s="7"/>
      <c r="F1080" s="7"/>
      <c r="G1080" s="49"/>
      <c r="H1080" s="7"/>
      <c r="I1080" s="50"/>
      <c r="J1080" s="49"/>
      <c r="K1080" s="49"/>
      <c r="M1080" s="49"/>
      <c r="N1080" s="49"/>
      <c r="O1080" s="49"/>
      <c r="P1080" s="49"/>
      <c r="Q1080" s="49"/>
      <c r="R1080" s="49"/>
      <c r="S1080" s="49"/>
      <c r="T1080" s="49"/>
      <c r="U1080" s="49"/>
      <c r="V1080" s="49"/>
      <c r="W1080" s="49"/>
      <c r="X1080" s="49"/>
      <c r="Y1080" s="49"/>
      <c r="Z1080" s="51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/>
      <c r="BM1080" s="7"/>
      <c r="BN1080" s="7"/>
      <c r="BO1080" s="7"/>
      <c r="BP1080" s="7"/>
      <c r="BQ1080" s="7"/>
      <c r="BR1080" s="7"/>
      <c r="BS1080" s="7"/>
      <c r="BT1080" s="7"/>
      <c r="BU1080" s="7"/>
      <c r="BV1080" s="7"/>
      <c r="BW1080" s="7"/>
      <c r="BX1080" s="7"/>
      <c r="BY1080" s="7"/>
      <c r="BZ1080" s="7"/>
      <c r="CA1080" s="7"/>
      <c r="CB1080" s="7"/>
      <c r="CC1080" s="7"/>
      <c r="CD1080" s="7"/>
      <c r="CE1080" s="7"/>
      <c r="CF1080" s="7"/>
      <c r="CG1080" s="7"/>
      <c r="CH1080" s="7"/>
      <c r="CI1080" s="7"/>
      <c r="CJ1080" s="7"/>
      <c r="CK1080" s="7"/>
      <c r="CL1080" s="7"/>
      <c r="CM1080" s="7"/>
      <c r="CN1080" s="7"/>
      <c r="CO1080" s="7"/>
      <c r="CP1080" s="7"/>
      <c r="CQ1080" s="7"/>
      <c r="CR1080" s="7"/>
      <c r="CS1080" s="7"/>
      <c r="CT1080" s="7"/>
      <c r="CU1080" s="7"/>
      <c r="CV1080" s="7"/>
      <c r="CW1080" s="7"/>
      <c r="CX1080" s="7"/>
      <c r="CY1080" s="7"/>
      <c r="CZ1080" s="7"/>
      <c r="DA1080" s="7"/>
      <c r="DB1080" s="7"/>
      <c r="DC1080" s="7"/>
      <c r="DD1080" s="7"/>
      <c r="DE1080" s="7"/>
      <c r="DF1080" s="7"/>
    </row>
    <row r="1081" spans="1:110" x14ac:dyDescent="0.25">
      <c r="A1081" s="7"/>
      <c r="B1081" s="7"/>
      <c r="C1081" s="48"/>
      <c r="D1081" s="7"/>
      <c r="E1081" s="7"/>
      <c r="F1081" s="7"/>
      <c r="G1081" s="49"/>
      <c r="H1081" s="7"/>
      <c r="I1081" s="50"/>
      <c r="J1081" s="49"/>
      <c r="K1081" s="49"/>
      <c r="M1081" s="49"/>
      <c r="N1081" s="49"/>
      <c r="O1081" s="49"/>
      <c r="P1081" s="49"/>
      <c r="Q1081" s="49"/>
      <c r="R1081" s="49"/>
      <c r="S1081" s="49"/>
      <c r="T1081" s="49"/>
      <c r="U1081" s="49"/>
      <c r="V1081" s="49"/>
      <c r="W1081" s="49"/>
      <c r="X1081" s="49"/>
      <c r="Y1081" s="49"/>
      <c r="Z1081" s="51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  <c r="BL1081" s="7"/>
      <c r="BM1081" s="7"/>
      <c r="BN1081" s="7"/>
      <c r="BO1081" s="7"/>
      <c r="BP1081" s="7"/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7"/>
      <c r="CG1081" s="7"/>
      <c r="CH1081" s="7"/>
      <c r="CI1081" s="7"/>
      <c r="CJ1081" s="7"/>
      <c r="CK1081" s="7"/>
      <c r="CL1081" s="7"/>
      <c r="CM1081" s="7"/>
      <c r="CN1081" s="7"/>
      <c r="CO1081" s="7"/>
      <c r="CP1081" s="7"/>
      <c r="CQ1081" s="7"/>
      <c r="CR1081" s="7"/>
      <c r="CS1081" s="7"/>
      <c r="CT1081" s="7"/>
      <c r="CU1081" s="7"/>
      <c r="CV1081" s="7"/>
      <c r="CW1081" s="7"/>
      <c r="CX1081" s="7"/>
      <c r="CY1081" s="7"/>
      <c r="CZ1081" s="7"/>
      <c r="DA1081" s="7"/>
      <c r="DB1081" s="7"/>
      <c r="DC1081" s="7"/>
      <c r="DD1081" s="7"/>
      <c r="DE1081" s="7"/>
      <c r="DF1081" s="7"/>
    </row>
    <row r="1082" spans="1:110" x14ac:dyDescent="0.25">
      <c r="A1082" s="7"/>
      <c r="B1082" s="7"/>
      <c r="C1082" s="48"/>
      <c r="D1082" s="7"/>
      <c r="E1082" s="7"/>
      <c r="F1082" s="7"/>
      <c r="G1082" s="49"/>
      <c r="H1082" s="7"/>
      <c r="I1082" s="50"/>
      <c r="J1082" s="49"/>
      <c r="K1082" s="49"/>
      <c r="M1082" s="49"/>
      <c r="N1082" s="49"/>
      <c r="O1082" s="49"/>
      <c r="P1082" s="49"/>
      <c r="Q1082" s="49"/>
      <c r="R1082" s="49"/>
      <c r="S1082" s="49"/>
      <c r="T1082" s="49"/>
      <c r="U1082" s="49"/>
      <c r="V1082" s="49"/>
      <c r="W1082" s="49"/>
      <c r="X1082" s="49"/>
      <c r="Y1082" s="49"/>
      <c r="Z1082" s="51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  <c r="BK1082" s="7"/>
      <c r="BL1082" s="7"/>
      <c r="BM1082" s="7"/>
      <c r="BN1082" s="7"/>
      <c r="BO1082" s="7"/>
      <c r="BP1082" s="7"/>
      <c r="BQ1082" s="7"/>
      <c r="BR1082" s="7"/>
      <c r="BS1082" s="7"/>
      <c r="BT1082" s="7"/>
      <c r="BU1082" s="7"/>
      <c r="BV1082" s="7"/>
      <c r="BW1082" s="7"/>
      <c r="BX1082" s="7"/>
      <c r="BY1082" s="7"/>
      <c r="BZ1082" s="7"/>
      <c r="CA1082" s="7"/>
      <c r="CB1082" s="7"/>
      <c r="CC1082" s="7"/>
      <c r="CD1082" s="7"/>
      <c r="CE1082" s="7"/>
      <c r="CF1082" s="7"/>
      <c r="CG1082" s="7"/>
      <c r="CH1082" s="7"/>
      <c r="CI1082" s="7"/>
      <c r="CJ1082" s="7"/>
      <c r="CK1082" s="7"/>
      <c r="CL1082" s="7"/>
      <c r="CM1082" s="7"/>
      <c r="CN1082" s="7"/>
      <c r="CO1082" s="7"/>
      <c r="CP1082" s="7"/>
      <c r="CQ1082" s="7"/>
      <c r="CR1082" s="7"/>
      <c r="CS1082" s="7"/>
      <c r="CT1082" s="7"/>
      <c r="CU1082" s="7"/>
      <c r="CV1082" s="7"/>
      <c r="CW1082" s="7"/>
      <c r="CX1082" s="7"/>
      <c r="CY1082" s="7"/>
      <c r="CZ1082" s="7"/>
      <c r="DA1082" s="7"/>
      <c r="DB1082" s="7"/>
      <c r="DC1082" s="7"/>
      <c r="DD1082" s="7"/>
      <c r="DE1082" s="7"/>
      <c r="DF1082" s="7"/>
    </row>
    <row r="1083" spans="1:110" x14ac:dyDescent="0.25">
      <c r="A1083" s="7"/>
      <c r="B1083" s="7"/>
      <c r="C1083" s="48"/>
      <c r="D1083" s="7"/>
      <c r="E1083" s="7"/>
      <c r="F1083" s="7"/>
      <c r="G1083" s="49"/>
      <c r="H1083" s="7"/>
      <c r="I1083" s="50"/>
      <c r="J1083" s="49"/>
      <c r="K1083" s="49"/>
      <c r="M1083" s="49"/>
      <c r="N1083" s="49"/>
      <c r="O1083" s="49"/>
      <c r="P1083" s="49"/>
      <c r="Q1083" s="49"/>
      <c r="R1083" s="49"/>
      <c r="S1083" s="49"/>
      <c r="T1083" s="49"/>
      <c r="U1083" s="49"/>
      <c r="V1083" s="49"/>
      <c r="W1083" s="49"/>
      <c r="X1083" s="49"/>
      <c r="Y1083" s="49"/>
      <c r="Z1083" s="51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  <c r="BN1083" s="7"/>
      <c r="BO1083" s="7"/>
      <c r="BP1083" s="7"/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7"/>
      <c r="CG1083" s="7"/>
      <c r="CH1083" s="7"/>
      <c r="CI1083" s="7"/>
      <c r="CJ1083" s="7"/>
      <c r="CK1083" s="7"/>
      <c r="CL1083" s="7"/>
      <c r="CM1083" s="7"/>
      <c r="CN1083" s="7"/>
      <c r="CO1083" s="7"/>
      <c r="CP1083" s="7"/>
      <c r="CQ1083" s="7"/>
      <c r="CR1083" s="7"/>
      <c r="CS1083" s="7"/>
      <c r="CT1083" s="7"/>
      <c r="CU1083" s="7"/>
      <c r="CV1083" s="7"/>
      <c r="CW1083" s="7"/>
      <c r="CX1083" s="7"/>
      <c r="CY1083" s="7"/>
      <c r="CZ1083" s="7"/>
      <c r="DA1083" s="7"/>
      <c r="DB1083" s="7"/>
      <c r="DC1083" s="7"/>
      <c r="DD1083" s="7"/>
      <c r="DE1083" s="7"/>
      <c r="DF1083" s="7"/>
    </row>
    <row r="1084" spans="1:110" x14ac:dyDescent="0.25">
      <c r="A1084" s="7"/>
      <c r="B1084" s="7"/>
      <c r="C1084" s="48"/>
      <c r="D1084" s="7"/>
      <c r="E1084" s="7"/>
      <c r="F1084" s="7"/>
      <c r="G1084" s="49"/>
      <c r="H1084" s="7"/>
      <c r="I1084" s="50"/>
      <c r="J1084" s="49"/>
      <c r="K1084" s="49"/>
      <c r="M1084" s="49"/>
      <c r="N1084" s="49"/>
      <c r="O1084" s="49"/>
      <c r="P1084" s="49"/>
      <c r="Q1084" s="49"/>
      <c r="R1084" s="49"/>
      <c r="S1084" s="49"/>
      <c r="T1084" s="49"/>
      <c r="U1084" s="49"/>
      <c r="V1084" s="49"/>
      <c r="W1084" s="49"/>
      <c r="X1084" s="49"/>
      <c r="Y1084" s="49"/>
      <c r="Z1084" s="51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  <c r="BK1084" s="7"/>
      <c r="BL1084" s="7"/>
      <c r="BM1084" s="7"/>
      <c r="BN1084" s="7"/>
      <c r="BO1084" s="7"/>
      <c r="BP1084" s="7"/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7"/>
      <c r="CG1084" s="7"/>
      <c r="CH1084" s="7"/>
      <c r="CI1084" s="7"/>
      <c r="CJ1084" s="7"/>
      <c r="CK1084" s="7"/>
      <c r="CL1084" s="7"/>
      <c r="CM1084" s="7"/>
      <c r="CN1084" s="7"/>
      <c r="CO1084" s="7"/>
      <c r="CP1084" s="7"/>
      <c r="CQ1084" s="7"/>
      <c r="CR1084" s="7"/>
      <c r="CS1084" s="7"/>
      <c r="CT1084" s="7"/>
      <c r="CU1084" s="7"/>
      <c r="CV1084" s="7"/>
      <c r="CW1084" s="7"/>
      <c r="CX1084" s="7"/>
      <c r="CY1084" s="7"/>
      <c r="CZ1084" s="7"/>
      <c r="DA1084" s="7"/>
      <c r="DB1084" s="7"/>
      <c r="DC1084" s="7"/>
      <c r="DD1084" s="7"/>
      <c r="DE1084" s="7"/>
      <c r="DF1084" s="7"/>
    </row>
    <row r="1085" spans="1:110" x14ac:dyDescent="0.25">
      <c r="A1085" s="7"/>
      <c r="B1085" s="7"/>
      <c r="C1085" s="48"/>
      <c r="D1085" s="7"/>
      <c r="E1085" s="7"/>
      <c r="F1085" s="7"/>
      <c r="G1085" s="49"/>
      <c r="H1085" s="7"/>
      <c r="I1085" s="50"/>
      <c r="J1085" s="49"/>
      <c r="K1085" s="49"/>
      <c r="M1085" s="49"/>
      <c r="N1085" s="49"/>
      <c r="O1085" s="49"/>
      <c r="P1085" s="49"/>
      <c r="Q1085" s="49"/>
      <c r="R1085" s="49"/>
      <c r="S1085" s="49"/>
      <c r="T1085" s="49"/>
      <c r="U1085" s="49"/>
      <c r="V1085" s="49"/>
      <c r="W1085" s="49"/>
      <c r="X1085" s="49"/>
      <c r="Y1085" s="49"/>
      <c r="Z1085" s="51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  <c r="BM1085" s="7"/>
      <c r="BN1085" s="7"/>
      <c r="BO1085" s="7"/>
      <c r="BP1085" s="7"/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  <c r="CA1085" s="7"/>
      <c r="CB1085" s="7"/>
      <c r="CC1085" s="7"/>
      <c r="CD1085" s="7"/>
      <c r="CE1085" s="7"/>
      <c r="CF1085" s="7"/>
      <c r="CG1085" s="7"/>
      <c r="CH1085" s="7"/>
      <c r="CI1085" s="7"/>
      <c r="CJ1085" s="7"/>
      <c r="CK1085" s="7"/>
      <c r="CL1085" s="7"/>
      <c r="CM1085" s="7"/>
      <c r="CN1085" s="7"/>
      <c r="CO1085" s="7"/>
      <c r="CP1085" s="7"/>
      <c r="CQ1085" s="7"/>
      <c r="CR1085" s="7"/>
      <c r="CS1085" s="7"/>
      <c r="CT1085" s="7"/>
      <c r="CU1085" s="7"/>
      <c r="CV1085" s="7"/>
      <c r="CW1085" s="7"/>
      <c r="CX1085" s="7"/>
      <c r="CY1085" s="7"/>
      <c r="CZ1085" s="7"/>
      <c r="DA1085" s="7"/>
      <c r="DB1085" s="7"/>
      <c r="DC1085" s="7"/>
      <c r="DD1085" s="7"/>
      <c r="DE1085" s="7"/>
      <c r="DF1085" s="7"/>
    </row>
    <row r="1086" spans="1:110" x14ac:dyDescent="0.25">
      <c r="A1086" s="7"/>
      <c r="B1086" s="7"/>
      <c r="C1086" s="48"/>
      <c r="D1086" s="7"/>
      <c r="E1086" s="7"/>
      <c r="F1086" s="7"/>
      <c r="G1086" s="49"/>
      <c r="H1086" s="7"/>
      <c r="I1086" s="50"/>
      <c r="J1086" s="49"/>
      <c r="K1086" s="49"/>
      <c r="M1086" s="49"/>
      <c r="N1086" s="49"/>
      <c r="O1086" s="49"/>
      <c r="P1086" s="49"/>
      <c r="Q1086" s="49"/>
      <c r="R1086" s="49"/>
      <c r="S1086" s="49"/>
      <c r="T1086" s="49"/>
      <c r="U1086" s="49"/>
      <c r="V1086" s="49"/>
      <c r="W1086" s="49"/>
      <c r="X1086" s="49"/>
      <c r="Y1086" s="49"/>
      <c r="Z1086" s="51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  <c r="BL1086" s="7"/>
      <c r="BM1086" s="7"/>
      <c r="BN1086" s="7"/>
      <c r="BO1086" s="7"/>
      <c r="BP1086" s="7"/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  <c r="CA1086" s="7"/>
      <c r="CB1086" s="7"/>
      <c r="CC1086" s="7"/>
      <c r="CD1086" s="7"/>
      <c r="CE1086" s="7"/>
      <c r="CF1086" s="7"/>
      <c r="CG1086" s="7"/>
      <c r="CH1086" s="7"/>
      <c r="CI1086" s="7"/>
      <c r="CJ1086" s="7"/>
      <c r="CK1086" s="7"/>
      <c r="CL1086" s="7"/>
      <c r="CM1086" s="7"/>
      <c r="CN1086" s="7"/>
      <c r="CO1086" s="7"/>
      <c r="CP1086" s="7"/>
      <c r="CQ1086" s="7"/>
      <c r="CR1086" s="7"/>
      <c r="CS1086" s="7"/>
      <c r="CT1086" s="7"/>
      <c r="CU1086" s="7"/>
      <c r="CV1086" s="7"/>
      <c r="CW1086" s="7"/>
      <c r="CX1086" s="7"/>
      <c r="CY1086" s="7"/>
      <c r="CZ1086" s="7"/>
      <c r="DA1086" s="7"/>
      <c r="DB1086" s="7"/>
      <c r="DC1086" s="7"/>
      <c r="DD1086" s="7"/>
      <c r="DE1086" s="7"/>
      <c r="DF1086" s="7"/>
    </row>
    <row r="1087" spans="1:110" x14ac:dyDescent="0.25">
      <c r="A1087" s="7"/>
      <c r="B1087" s="7"/>
      <c r="C1087" s="48"/>
      <c r="D1087" s="7"/>
      <c r="E1087" s="7"/>
      <c r="F1087" s="7"/>
      <c r="G1087" s="49"/>
      <c r="H1087" s="7"/>
      <c r="I1087" s="50"/>
      <c r="J1087" s="49"/>
      <c r="K1087" s="49"/>
      <c r="M1087" s="49"/>
      <c r="N1087" s="49"/>
      <c r="O1087" s="49"/>
      <c r="P1087" s="49"/>
      <c r="Q1087" s="49"/>
      <c r="R1087" s="49"/>
      <c r="S1087" s="49"/>
      <c r="T1087" s="49"/>
      <c r="U1087" s="49"/>
      <c r="V1087" s="49"/>
      <c r="W1087" s="49"/>
      <c r="X1087" s="49"/>
      <c r="Y1087" s="49"/>
      <c r="Z1087" s="51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  <c r="BM1087" s="7"/>
      <c r="BN1087" s="7"/>
      <c r="BO1087" s="7"/>
      <c r="BP1087" s="7"/>
      <c r="BQ1087" s="7"/>
      <c r="BR1087" s="7"/>
      <c r="BS1087" s="7"/>
      <c r="BT1087" s="7"/>
      <c r="BU1087" s="7"/>
      <c r="BV1087" s="7"/>
      <c r="BW1087" s="7"/>
      <c r="BX1087" s="7"/>
      <c r="BY1087" s="7"/>
      <c r="BZ1087" s="7"/>
      <c r="CA1087" s="7"/>
      <c r="CB1087" s="7"/>
      <c r="CC1087" s="7"/>
      <c r="CD1087" s="7"/>
      <c r="CE1087" s="7"/>
      <c r="CF1087" s="7"/>
      <c r="CG1087" s="7"/>
      <c r="CH1087" s="7"/>
      <c r="CI1087" s="7"/>
      <c r="CJ1087" s="7"/>
      <c r="CK1087" s="7"/>
      <c r="CL1087" s="7"/>
      <c r="CM1087" s="7"/>
      <c r="CN1087" s="7"/>
      <c r="CO1087" s="7"/>
      <c r="CP1087" s="7"/>
      <c r="CQ1087" s="7"/>
      <c r="CR1087" s="7"/>
      <c r="CS1087" s="7"/>
      <c r="CT1087" s="7"/>
      <c r="CU1087" s="7"/>
      <c r="CV1087" s="7"/>
      <c r="CW1087" s="7"/>
      <c r="CX1087" s="7"/>
      <c r="CY1087" s="7"/>
      <c r="CZ1087" s="7"/>
      <c r="DA1087" s="7"/>
      <c r="DB1087" s="7"/>
      <c r="DC1087" s="7"/>
      <c r="DD1087" s="7"/>
      <c r="DE1087" s="7"/>
      <c r="DF1087" s="7"/>
    </row>
    <row r="1088" spans="1:110" x14ac:dyDescent="0.25">
      <c r="A1088" s="7"/>
      <c r="B1088" s="7"/>
      <c r="C1088" s="48"/>
      <c r="D1088" s="7"/>
      <c r="E1088" s="7"/>
      <c r="F1088" s="7"/>
      <c r="G1088" s="49"/>
      <c r="H1088" s="7"/>
      <c r="I1088" s="50"/>
      <c r="J1088" s="49"/>
      <c r="K1088" s="49"/>
      <c r="M1088" s="49"/>
      <c r="N1088" s="49"/>
      <c r="O1088" s="49"/>
      <c r="P1088" s="49"/>
      <c r="Q1088" s="49"/>
      <c r="R1088" s="49"/>
      <c r="S1088" s="49"/>
      <c r="T1088" s="49"/>
      <c r="U1088" s="49"/>
      <c r="V1088" s="49"/>
      <c r="W1088" s="49"/>
      <c r="X1088" s="49"/>
      <c r="Y1088" s="49"/>
      <c r="Z1088" s="51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  <c r="BK1088" s="7"/>
      <c r="BL1088" s="7"/>
      <c r="BM1088" s="7"/>
      <c r="BN1088" s="7"/>
      <c r="BO1088" s="7"/>
      <c r="BP1088" s="7"/>
      <c r="BQ1088" s="7"/>
      <c r="BR1088" s="7"/>
      <c r="BS1088" s="7"/>
      <c r="BT1088" s="7"/>
      <c r="BU1088" s="7"/>
      <c r="BV1088" s="7"/>
      <c r="BW1088" s="7"/>
      <c r="BX1088" s="7"/>
      <c r="BY1088" s="7"/>
      <c r="BZ1088" s="7"/>
      <c r="CA1088" s="7"/>
      <c r="CB1088" s="7"/>
      <c r="CC1088" s="7"/>
      <c r="CD1088" s="7"/>
      <c r="CE1088" s="7"/>
      <c r="CF1088" s="7"/>
      <c r="CG1088" s="7"/>
      <c r="CH1088" s="7"/>
      <c r="CI1088" s="7"/>
      <c r="CJ1088" s="7"/>
      <c r="CK1088" s="7"/>
      <c r="CL1088" s="7"/>
      <c r="CM1088" s="7"/>
      <c r="CN1088" s="7"/>
      <c r="CO1088" s="7"/>
      <c r="CP1088" s="7"/>
      <c r="CQ1088" s="7"/>
      <c r="CR1088" s="7"/>
      <c r="CS1088" s="7"/>
      <c r="CT1088" s="7"/>
      <c r="CU1088" s="7"/>
      <c r="CV1088" s="7"/>
      <c r="CW1088" s="7"/>
      <c r="CX1088" s="7"/>
      <c r="CY1088" s="7"/>
      <c r="CZ1088" s="7"/>
      <c r="DA1088" s="7"/>
      <c r="DB1088" s="7"/>
      <c r="DC1088" s="7"/>
      <c r="DD1088" s="7"/>
      <c r="DE1088" s="7"/>
      <c r="DF1088" s="7"/>
    </row>
    <row r="1089" spans="1:110" x14ac:dyDescent="0.25">
      <c r="A1089" s="7"/>
      <c r="B1089" s="7"/>
      <c r="C1089" s="48"/>
      <c r="D1089" s="7"/>
      <c r="E1089" s="7"/>
      <c r="F1089" s="7"/>
      <c r="G1089" s="49"/>
      <c r="H1089" s="7"/>
      <c r="I1089" s="50"/>
      <c r="J1089" s="49"/>
      <c r="K1089" s="49"/>
      <c r="M1089" s="49"/>
      <c r="N1089" s="49"/>
      <c r="O1089" s="49"/>
      <c r="P1089" s="49"/>
      <c r="Q1089" s="49"/>
      <c r="R1089" s="49"/>
      <c r="S1089" s="49"/>
      <c r="T1089" s="49"/>
      <c r="U1089" s="49"/>
      <c r="V1089" s="49"/>
      <c r="W1089" s="49"/>
      <c r="X1089" s="49"/>
      <c r="Y1089" s="49"/>
      <c r="Z1089" s="51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  <c r="BL1089" s="7"/>
      <c r="BM1089" s="7"/>
      <c r="BN1089" s="7"/>
      <c r="BO1089" s="7"/>
      <c r="BP1089" s="7"/>
      <c r="BQ1089" s="7"/>
      <c r="BR1089" s="7"/>
      <c r="BS1089" s="7"/>
      <c r="BT1089" s="7"/>
      <c r="BU1089" s="7"/>
      <c r="BV1089" s="7"/>
      <c r="BW1089" s="7"/>
      <c r="BX1089" s="7"/>
      <c r="BY1089" s="7"/>
      <c r="BZ1089" s="7"/>
      <c r="CA1089" s="7"/>
      <c r="CB1089" s="7"/>
      <c r="CC1089" s="7"/>
      <c r="CD1089" s="7"/>
      <c r="CE1089" s="7"/>
      <c r="CF1089" s="7"/>
      <c r="CG1089" s="7"/>
      <c r="CH1089" s="7"/>
      <c r="CI1089" s="7"/>
      <c r="CJ1089" s="7"/>
      <c r="CK1089" s="7"/>
      <c r="CL1089" s="7"/>
      <c r="CM1089" s="7"/>
      <c r="CN1089" s="7"/>
      <c r="CO1089" s="7"/>
      <c r="CP1089" s="7"/>
      <c r="CQ1089" s="7"/>
      <c r="CR1089" s="7"/>
      <c r="CS1089" s="7"/>
      <c r="CT1089" s="7"/>
      <c r="CU1089" s="7"/>
      <c r="CV1089" s="7"/>
      <c r="CW1089" s="7"/>
      <c r="CX1089" s="7"/>
      <c r="CY1089" s="7"/>
      <c r="CZ1089" s="7"/>
      <c r="DA1089" s="7"/>
      <c r="DB1089" s="7"/>
      <c r="DC1089" s="7"/>
      <c r="DD1089" s="7"/>
      <c r="DE1089" s="7"/>
      <c r="DF1089" s="7"/>
    </row>
    <row r="1090" spans="1:110" x14ac:dyDescent="0.25">
      <c r="A1090" s="7"/>
      <c r="B1090" s="7"/>
      <c r="C1090" s="48"/>
      <c r="D1090" s="7"/>
      <c r="E1090" s="7"/>
      <c r="F1090" s="7"/>
      <c r="G1090" s="49"/>
      <c r="H1090" s="7"/>
      <c r="I1090" s="50"/>
      <c r="J1090" s="49"/>
      <c r="K1090" s="49"/>
      <c r="M1090" s="49"/>
      <c r="N1090" s="49"/>
      <c r="O1090" s="49"/>
      <c r="P1090" s="49"/>
      <c r="Q1090" s="49"/>
      <c r="R1090" s="49"/>
      <c r="S1090" s="49"/>
      <c r="T1090" s="49"/>
      <c r="U1090" s="49"/>
      <c r="V1090" s="49"/>
      <c r="W1090" s="49"/>
      <c r="X1090" s="49"/>
      <c r="Y1090" s="49"/>
      <c r="Z1090" s="51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  <c r="BK1090" s="7"/>
      <c r="BL1090" s="7"/>
      <c r="BM1090" s="7"/>
      <c r="BN1090" s="7"/>
      <c r="BO1090" s="7"/>
      <c r="BP1090" s="7"/>
      <c r="BQ1090" s="7"/>
      <c r="BR1090" s="7"/>
      <c r="BS1090" s="7"/>
      <c r="BT1090" s="7"/>
      <c r="BU1090" s="7"/>
      <c r="BV1090" s="7"/>
      <c r="BW1090" s="7"/>
      <c r="BX1090" s="7"/>
      <c r="BY1090" s="7"/>
      <c r="BZ1090" s="7"/>
      <c r="CA1090" s="7"/>
      <c r="CB1090" s="7"/>
      <c r="CC1090" s="7"/>
      <c r="CD1090" s="7"/>
      <c r="CE1090" s="7"/>
      <c r="CF1090" s="7"/>
      <c r="CG1090" s="7"/>
      <c r="CH1090" s="7"/>
      <c r="CI1090" s="7"/>
      <c r="CJ1090" s="7"/>
      <c r="CK1090" s="7"/>
      <c r="CL1090" s="7"/>
      <c r="CM1090" s="7"/>
      <c r="CN1090" s="7"/>
      <c r="CO1090" s="7"/>
      <c r="CP1090" s="7"/>
      <c r="CQ1090" s="7"/>
      <c r="CR1090" s="7"/>
      <c r="CS1090" s="7"/>
      <c r="CT1090" s="7"/>
      <c r="CU1090" s="7"/>
      <c r="CV1090" s="7"/>
      <c r="CW1090" s="7"/>
      <c r="CX1090" s="7"/>
      <c r="CY1090" s="7"/>
      <c r="CZ1090" s="7"/>
      <c r="DA1090" s="7"/>
      <c r="DB1090" s="7"/>
      <c r="DC1090" s="7"/>
      <c r="DD1090" s="7"/>
      <c r="DE1090" s="7"/>
      <c r="DF1090" s="7"/>
    </row>
    <row r="1091" spans="1:110" x14ac:dyDescent="0.25">
      <c r="A1091" s="7"/>
      <c r="B1091" s="7"/>
      <c r="C1091" s="48"/>
      <c r="D1091" s="7"/>
      <c r="E1091" s="7"/>
      <c r="F1091" s="7"/>
      <c r="G1091" s="49"/>
      <c r="H1091" s="7"/>
      <c r="I1091" s="50"/>
      <c r="J1091" s="49"/>
      <c r="K1091" s="49"/>
      <c r="M1091" s="49"/>
      <c r="N1091" s="49"/>
      <c r="O1091" s="49"/>
      <c r="P1091" s="49"/>
      <c r="Q1091" s="49"/>
      <c r="R1091" s="49"/>
      <c r="S1091" s="49"/>
      <c r="T1091" s="49"/>
      <c r="U1091" s="49"/>
      <c r="V1091" s="49"/>
      <c r="W1091" s="49"/>
      <c r="X1091" s="49"/>
      <c r="Y1091" s="49"/>
      <c r="Z1091" s="51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  <c r="BL1091" s="7"/>
      <c r="BM1091" s="7"/>
      <c r="BN1091" s="7"/>
      <c r="BO1091" s="7"/>
      <c r="BP1091" s="7"/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7"/>
      <c r="CG1091" s="7"/>
      <c r="CH1091" s="7"/>
      <c r="CI1091" s="7"/>
      <c r="CJ1091" s="7"/>
      <c r="CK1091" s="7"/>
      <c r="CL1091" s="7"/>
      <c r="CM1091" s="7"/>
      <c r="CN1091" s="7"/>
      <c r="CO1091" s="7"/>
      <c r="CP1091" s="7"/>
      <c r="CQ1091" s="7"/>
      <c r="CR1091" s="7"/>
      <c r="CS1091" s="7"/>
      <c r="CT1091" s="7"/>
      <c r="CU1091" s="7"/>
      <c r="CV1091" s="7"/>
      <c r="CW1091" s="7"/>
      <c r="CX1091" s="7"/>
      <c r="CY1091" s="7"/>
      <c r="CZ1091" s="7"/>
      <c r="DA1091" s="7"/>
      <c r="DB1091" s="7"/>
      <c r="DC1091" s="7"/>
      <c r="DD1091" s="7"/>
      <c r="DE1091" s="7"/>
      <c r="DF1091" s="7"/>
    </row>
    <row r="1092" spans="1:110" x14ac:dyDescent="0.25">
      <c r="A1092" s="7"/>
      <c r="B1092" s="7"/>
      <c r="C1092" s="48"/>
      <c r="D1092" s="7"/>
      <c r="E1092" s="7"/>
      <c r="F1092" s="7"/>
      <c r="G1092" s="49"/>
      <c r="H1092" s="7"/>
      <c r="I1092" s="50"/>
      <c r="J1092" s="49"/>
      <c r="K1092" s="49"/>
      <c r="M1092" s="49"/>
      <c r="N1092" s="49"/>
      <c r="O1092" s="49"/>
      <c r="P1092" s="49"/>
      <c r="Q1092" s="49"/>
      <c r="R1092" s="49"/>
      <c r="S1092" s="49"/>
      <c r="T1092" s="49"/>
      <c r="U1092" s="49"/>
      <c r="V1092" s="49"/>
      <c r="W1092" s="49"/>
      <c r="X1092" s="49"/>
      <c r="Y1092" s="49"/>
      <c r="Z1092" s="51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  <c r="BK1092" s="7"/>
      <c r="BL1092" s="7"/>
      <c r="BM1092" s="7"/>
      <c r="BN1092" s="7"/>
      <c r="BO1092" s="7"/>
      <c r="BP1092" s="7"/>
      <c r="BQ1092" s="7"/>
      <c r="BR1092" s="7"/>
      <c r="BS1092" s="7"/>
      <c r="BT1092" s="7"/>
      <c r="BU1092" s="7"/>
      <c r="BV1092" s="7"/>
      <c r="BW1092" s="7"/>
      <c r="BX1092" s="7"/>
      <c r="BY1092" s="7"/>
      <c r="BZ1092" s="7"/>
      <c r="CA1092" s="7"/>
      <c r="CB1092" s="7"/>
      <c r="CC1092" s="7"/>
      <c r="CD1092" s="7"/>
      <c r="CE1092" s="7"/>
      <c r="CF1092" s="7"/>
      <c r="CG1092" s="7"/>
      <c r="CH1092" s="7"/>
      <c r="CI1092" s="7"/>
      <c r="CJ1092" s="7"/>
      <c r="CK1092" s="7"/>
      <c r="CL1092" s="7"/>
      <c r="CM1092" s="7"/>
      <c r="CN1092" s="7"/>
      <c r="CO1092" s="7"/>
      <c r="CP1092" s="7"/>
      <c r="CQ1092" s="7"/>
      <c r="CR1092" s="7"/>
      <c r="CS1092" s="7"/>
      <c r="CT1092" s="7"/>
      <c r="CU1092" s="7"/>
      <c r="CV1092" s="7"/>
      <c r="CW1092" s="7"/>
      <c r="CX1092" s="7"/>
      <c r="CY1092" s="7"/>
      <c r="CZ1092" s="7"/>
      <c r="DA1092" s="7"/>
      <c r="DB1092" s="7"/>
      <c r="DC1092" s="7"/>
      <c r="DD1092" s="7"/>
      <c r="DE1092" s="7"/>
      <c r="DF1092" s="7"/>
    </row>
    <row r="1093" spans="1:110" x14ac:dyDescent="0.25">
      <c r="A1093" s="7"/>
      <c r="B1093" s="7"/>
      <c r="C1093" s="48"/>
      <c r="D1093" s="7"/>
      <c r="E1093" s="7"/>
      <c r="F1093" s="7"/>
      <c r="G1093" s="49"/>
      <c r="H1093" s="7"/>
      <c r="I1093" s="50"/>
      <c r="J1093" s="49"/>
      <c r="K1093" s="49"/>
      <c r="M1093" s="49"/>
      <c r="N1093" s="49"/>
      <c r="O1093" s="49"/>
      <c r="P1093" s="49"/>
      <c r="Q1093" s="49"/>
      <c r="R1093" s="49"/>
      <c r="S1093" s="49"/>
      <c r="T1093" s="49"/>
      <c r="U1093" s="49"/>
      <c r="V1093" s="49"/>
      <c r="W1093" s="49"/>
      <c r="X1093" s="49"/>
      <c r="Y1093" s="49"/>
      <c r="Z1093" s="51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  <c r="BM1093" s="7"/>
      <c r="BN1093" s="7"/>
      <c r="BO1093" s="7"/>
      <c r="BP1093" s="7"/>
      <c r="BQ1093" s="7"/>
      <c r="BR1093" s="7"/>
      <c r="BS1093" s="7"/>
      <c r="BT1093" s="7"/>
      <c r="BU1093" s="7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7"/>
      <c r="CG1093" s="7"/>
      <c r="CH1093" s="7"/>
      <c r="CI1093" s="7"/>
      <c r="CJ1093" s="7"/>
      <c r="CK1093" s="7"/>
      <c r="CL1093" s="7"/>
      <c r="CM1093" s="7"/>
      <c r="CN1093" s="7"/>
      <c r="CO1093" s="7"/>
      <c r="CP1093" s="7"/>
      <c r="CQ1093" s="7"/>
      <c r="CR1093" s="7"/>
      <c r="CS1093" s="7"/>
      <c r="CT1093" s="7"/>
      <c r="CU1093" s="7"/>
      <c r="CV1093" s="7"/>
      <c r="CW1093" s="7"/>
      <c r="CX1093" s="7"/>
      <c r="CY1093" s="7"/>
      <c r="CZ1093" s="7"/>
      <c r="DA1093" s="7"/>
      <c r="DB1093" s="7"/>
      <c r="DC1093" s="7"/>
      <c r="DD1093" s="7"/>
      <c r="DE1093" s="7"/>
      <c r="DF1093" s="7"/>
    </row>
    <row r="1094" spans="1:110" x14ac:dyDescent="0.25">
      <c r="A1094" s="7"/>
      <c r="B1094" s="7"/>
      <c r="C1094" s="48"/>
      <c r="D1094" s="7"/>
      <c r="E1094" s="7"/>
      <c r="F1094" s="7"/>
      <c r="G1094" s="49"/>
      <c r="H1094" s="7"/>
      <c r="I1094" s="50"/>
      <c r="J1094" s="49"/>
      <c r="K1094" s="49"/>
      <c r="M1094" s="49"/>
      <c r="N1094" s="49"/>
      <c r="O1094" s="49"/>
      <c r="P1094" s="49"/>
      <c r="Q1094" s="49"/>
      <c r="R1094" s="49"/>
      <c r="S1094" s="49"/>
      <c r="T1094" s="49"/>
      <c r="U1094" s="49"/>
      <c r="V1094" s="49"/>
      <c r="W1094" s="49"/>
      <c r="X1094" s="49"/>
      <c r="Y1094" s="49"/>
      <c r="Z1094" s="51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7"/>
      <c r="BM1094" s="7"/>
      <c r="BN1094" s="7"/>
      <c r="BO1094" s="7"/>
      <c r="BP1094" s="7"/>
      <c r="BQ1094" s="7"/>
      <c r="BR1094" s="7"/>
      <c r="BS1094" s="7"/>
      <c r="BT1094" s="7"/>
      <c r="BU1094" s="7"/>
      <c r="BV1094" s="7"/>
      <c r="BW1094" s="7"/>
      <c r="BX1094" s="7"/>
      <c r="BY1094" s="7"/>
      <c r="BZ1094" s="7"/>
      <c r="CA1094" s="7"/>
      <c r="CB1094" s="7"/>
      <c r="CC1094" s="7"/>
      <c r="CD1094" s="7"/>
      <c r="CE1094" s="7"/>
      <c r="CF1094" s="7"/>
      <c r="CG1094" s="7"/>
      <c r="CH1094" s="7"/>
      <c r="CI1094" s="7"/>
      <c r="CJ1094" s="7"/>
      <c r="CK1094" s="7"/>
      <c r="CL1094" s="7"/>
      <c r="CM1094" s="7"/>
      <c r="CN1094" s="7"/>
      <c r="CO1094" s="7"/>
      <c r="CP1094" s="7"/>
      <c r="CQ1094" s="7"/>
      <c r="CR1094" s="7"/>
      <c r="CS1094" s="7"/>
      <c r="CT1094" s="7"/>
      <c r="CU1094" s="7"/>
      <c r="CV1094" s="7"/>
      <c r="CW1094" s="7"/>
      <c r="CX1094" s="7"/>
      <c r="CY1094" s="7"/>
      <c r="CZ1094" s="7"/>
      <c r="DA1094" s="7"/>
      <c r="DB1094" s="7"/>
      <c r="DC1094" s="7"/>
      <c r="DD1094" s="7"/>
      <c r="DE1094" s="7"/>
      <c r="DF1094" s="7"/>
    </row>
    <row r="1095" spans="1:110" x14ac:dyDescent="0.25">
      <c r="A1095" s="7"/>
      <c r="B1095" s="7"/>
      <c r="C1095" s="48"/>
      <c r="D1095" s="7"/>
      <c r="E1095" s="7"/>
      <c r="F1095" s="7"/>
      <c r="G1095" s="49"/>
      <c r="H1095" s="7"/>
      <c r="I1095" s="50"/>
      <c r="J1095" s="49"/>
      <c r="K1095" s="49"/>
      <c r="M1095" s="49"/>
      <c r="N1095" s="49"/>
      <c r="O1095" s="49"/>
      <c r="P1095" s="49"/>
      <c r="Q1095" s="49"/>
      <c r="R1095" s="49"/>
      <c r="S1095" s="49"/>
      <c r="T1095" s="49"/>
      <c r="U1095" s="49"/>
      <c r="V1095" s="49"/>
      <c r="W1095" s="49"/>
      <c r="X1095" s="49"/>
      <c r="Y1095" s="49"/>
      <c r="Z1095" s="51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7"/>
      <c r="BM1095" s="7"/>
      <c r="BN1095" s="7"/>
      <c r="BO1095" s="7"/>
      <c r="BP1095" s="7"/>
      <c r="BQ1095" s="7"/>
      <c r="BR1095" s="7"/>
      <c r="BS1095" s="7"/>
      <c r="BT1095" s="7"/>
      <c r="BU1095" s="7"/>
      <c r="BV1095" s="7"/>
      <c r="BW1095" s="7"/>
      <c r="BX1095" s="7"/>
      <c r="BY1095" s="7"/>
      <c r="BZ1095" s="7"/>
      <c r="CA1095" s="7"/>
      <c r="CB1095" s="7"/>
      <c r="CC1095" s="7"/>
      <c r="CD1095" s="7"/>
      <c r="CE1095" s="7"/>
      <c r="CF1095" s="7"/>
      <c r="CG1095" s="7"/>
      <c r="CH1095" s="7"/>
      <c r="CI1095" s="7"/>
      <c r="CJ1095" s="7"/>
      <c r="CK1095" s="7"/>
      <c r="CL1095" s="7"/>
      <c r="CM1095" s="7"/>
      <c r="CN1095" s="7"/>
      <c r="CO1095" s="7"/>
      <c r="CP1095" s="7"/>
      <c r="CQ1095" s="7"/>
      <c r="CR1095" s="7"/>
      <c r="CS1095" s="7"/>
      <c r="CT1095" s="7"/>
      <c r="CU1095" s="7"/>
      <c r="CV1095" s="7"/>
      <c r="CW1095" s="7"/>
      <c r="CX1095" s="7"/>
      <c r="CY1095" s="7"/>
      <c r="CZ1095" s="7"/>
      <c r="DA1095" s="7"/>
      <c r="DB1095" s="7"/>
      <c r="DC1095" s="7"/>
      <c r="DD1095" s="7"/>
      <c r="DE1095" s="7"/>
      <c r="DF1095" s="7"/>
    </row>
    <row r="1096" spans="1:110" x14ac:dyDescent="0.25">
      <c r="A1096" s="7"/>
      <c r="B1096" s="7"/>
      <c r="C1096" s="48"/>
      <c r="D1096" s="7"/>
      <c r="E1096" s="7"/>
      <c r="F1096" s="7"/>
      <c r="G1096" s="49"/>
      <c r="H1096" s="7"/>
      <c r="I1096" s="50"/>
      <c r="J1096" s="49"/>
      <c r="K1096" s="49"/>
      <c r="M1096" s="49"/>
      <c r="N1096" s="49"/>
      <c r="O1096" s="49"/>
      <c r="P1096" s="49"/>
      <c r="Q1096" s="49"/>
      <c r="R1096" s="49"/>
      <c r="S1096" s="49"/>
      <c r="T1096" s="49"/>
      <c r="U1096" s="49"/>
      <c r="V1096" s="49"/>
      <c r="W1096" s="49"/>
      <c r="X1096" s="49"/>
      <c r="Y1096" s="49"/>
      <c r="Z1096" s="51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/>
      <c r="BJ1096" s="7"/>
      <c r="BK1096" s="7"/>
      <c r="BL1096" s="7"/>
      <c r="BM1096" s="7"/>
      <c r="BN1096" s="7"/>
      <c r="BO1096" s="7"/>
      <c r="BP1096" s="7"/>
      <c r="BQ1096" s="7"/>
      <c r="BR1096" s="7"/>
      <c r="BS1096" s="7"/>
      <c r="BT1096" s="7"/>
      <c r="BU1096" s="7"/>
      <c r="BV1096" s="7"/>
      <c r="BW1096" s="7"/>
      <c r="BX1096" s="7"/>
      <c r="BY1096" s="7"/>
      <c r="BZ1096" s="7"/>
      <c r="CA1096" s="7"/>
      <c r="CB1096" s="7"/>
      <c r="CC1096" s="7"/>
      <c r="CD1096" s="7"/>
      <c r="CE1096" s="7"/>
      <c r="CF1096" s="7"/>
      <c r="CG1096" s="7"/>
      <c r="CH1096" s="7"/>
      <c r="CI1096" s="7"/>
      <c r="CJ1096" s="7"/>
      <c r="CK1096" s="7"/>
      <c r="CL1096" s="7"/>
      <c r="CM1096" s="7"/>
      <c r="CN1096" s="7"/>
      <c r="CO1096" s="7"/>
      <c r="CP1096" s="7"/>
      <c r="CQ1096" s="7"/>
      <c r="CR1096" s="7"/>
      <c r="CS1096" s="7"/>
      <c r="CT1096" s="7"/>
      <c r="CU1096" s="7"/>
      <c r="CV1096" s="7"/>
      <c r="CW1096" s="7"/>
      <c r="CX1096" s="7"/>
      <c r="CY1096" s="7"/>
      <c r="CZ1096" s="7"/>
      <c r="DA1096" s="7"/>
      <c r="DB1096" s="7"/>
      <c r="DC1096" s="7"/>
      <c r="DD1096" s="7"/>
      <c r="DE1096" s="7"/>
      <c r="DF1096" s="7"/>
    </row>
    <row r="1097" spans="1:110" x14ac:dyDescent="0.25">
      <c r="A1097" s="7"/>
      <c r="B1097" s="7"/>
      <c r="C1097" s="48"/>
      <c r="D1097" s="7"/>
      <c r="E1097" s="7"/>
      <c r="F1097" s="7"/>
      <c r="G1097" s="49"/>
      <c r="H1097" s="7"/>
      <c r="I1097" s="50"/>
      <c r="J1097" s="49"/>
      <c r="K1097" s="49"/>
      <c r="M1097" s="49"/>
      <c r="N1097" s="49"/>
      <c r="O1097" s="49"/>
      <c r="P1097" s="49"/>
      <c r="Q1097" s="49"/>
      <c r="R1097" s="49"/>
      <c r="S1097" s="49"/>
      <c r="T1097" s="49"/>
      <c r="U1097" s="49"/>
      <c r="V1097" s="49"/>
      <c r="W1097" s="49"/>
      <c r="X1097" s="49"/>
      <c r="Y1097" s="49"/>
      <c r="Z1097" s="51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  <c r="BL1097" s="7"/>
      <c r="BM1097" s="7"/>
      <c r="BN1097" s="7"/>
      <c r="BO1097" s="7"/>
      <c r="BP1097" s="7"/>
      <c r="BQ1097" s="7"/>
      <c r="BR1097" s="7"/>
      <c r="BS1097" s="7"/>
      <c r="BT1097" s="7"/>
      <c r="BU1097" s="7"/>
      <c r="BV1097" s="7"/>
      <c r="BW1097" s="7"/>
      <c r="BX1097" s="7"/>
      <c r="BY1097" s="7"/>
      <c r="BZ1097" s="7"/>
      <c r="CA1097" s="7"/>
      <c r="CB1097" s="7"/>
      <c r="CC1097" s="7"/>
      <c r="CD1097" s="7"/>
      <c r="CE1097" s="7"/>
      <c r="CF1097" s="7"/>
      <c r="CG1097" s="7"/>
      <c r="CH1097" s="7"/>
      <c r="CI1097" s="7"/>
      <c r="CJ1097" s="7"/>
      <c r="CK1097" s="7"/>
      <c r="CL1097" s="7"/>
      <c r="CM1097" s="7"/>
      <c r="CN1097" s="7"/>
      <c r="CO1097" s="7"/>
      <c r="CP1097" s="7"/>
      <c r="CQ1097" s="7"/>
      <c r="CR1097" s="7"/>
      <c r="CS1097" s="7"/>
      <c r="CT1097" s="7"/>
      <c r="CU1097" s="7"/>
      <c r="CV1097" s="7"/>
      <c r="CW1097" s="7"/>
      <c r="CX1097" s="7"/>
      <c r="CY1097" s="7"/>
      <c r="CZ1097" s="7"/>
      <c r="DA1097" s="7"/>
      <c r="DB1097" s="7"/>
      <c r="DC1097" s="7"/>
      <c r="DD1097" s="7"/>
      <c r="DE1097" s="7"/>
      <c r="DF1097" s="7"/>
    </row>
    <row r="1098" spans="1:110" x14ac:dyDescent="0.25">
      <c r="A1098" s="7"/>
      <c r="B1098" s="7"/>
      <c r="C1098" s="48"/>
      <c r="D1098" s="7"/>
      <c r="E1098" s="7"/>
      <c r="F1098" s="7"/>
      <c r="G1098" s="49"/>
      <c r="H1098" s="7"/>
      <c r="I1098" s="50"/>
      <c r="J1098" s="49"/>
      <c r="K1098" s="49"/>
      <c r="M1098" s="49"/>
      <c r="N1098" s="49"/>
      <c r="O1098" s="49"/>
      <c r="P1098" s="49"/>
      <c r="Q1098" s="49"/>
      <c r="R1098" s="49"/>
      <c r="S1098" s="49"/>
      <c r="T1098" s="49"/>
      <c r="U1098" s="49"/>
      <c r="V1098" s="49"/>
      <c r="W1098" s="49"/>
      <c r="X1098" s="49"/>
      <c r="Y1098" s="49"/>
      <c r="Z1098" s="51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/>
      <c r="BJ1098" s="7"/>
      <c r="BK1098" s="7"/>
      <c r="BL1098" s="7"/>
      <c r="BM1098" s="7"/>
      <c r="BN1098" s="7"/>
      <c r="BO1098" s="7"/>
      <c r="BP1098" s="7"/>
      <c r="BQ1098" s="7"/>
      <c r="BR1098" s="7"/>
      <c r="BS1098" s="7"/>
      <c r="BT1098" s="7"/>
      <c r="BU1098" s="7"/>
      <c r="BV1098" s="7"/>
      <c r="BW1098" s="7"/>
      <c r="BX1098" s="7"/>
      <c r="BY1098" s="7"/>
      <c r="BZ1098" s="7"/>
      <c r="CA1098" s="7"/>
      <c r="CB1098" s="7"/>
      <c r="CC1098" s="7"/>
      <c r="CD1098" s="7"/>
      <c r="CE1098" s="7"/>
      <c r="CF1098" s="7"/>
      <c r="CG1098" s="7"/>
      <c r="CH1098" s="7"/>
      <c r="CI1098" s="7"/>
      <c r="CJ1098" s="7"/>
      <c r="CK1098" s="7"/>
      <c r="CL1098" s="7"/>
      <c r="CM1098" s="7"/>
      <c r="CN1098" s="7"/>
      <c r="CO1098" s="7"/>
      <c r="CP1098" s="7"/>
      <c r="CQ1098" s="7"/>
      <c r="CR1098" s="7"/>
      <c r="CS1098" s="7"/>
      <c r="CT1098" s="7"/>
      <c r="CU1098" s="7"/>
      <c r="CV1098" s="7"/>
      <c r="CW1098" s="7"/>
      <c r="CX1098" s="7"/>
      <c r="CY1098" s="7"/>
      <c r="CZ1098" s="7"/>
      <c r="DA1098" s="7"/>
      <c r="DB1098" s="7"/>
      <c r="DC1098" s="7"/>
      <c r="DD1098" s="7"/>
      <c r="DE1098" s="7"/>
      <c r="DF1098" s="7"/>
    </row>
    <row r="1099" spans="1:110" x14ac:dyDescent="0.25">
      <c r="A1099" s="7"/>
      <c r="B1099" s="7"/>
      <c r="C1099" s="48"/>
      <c r="D1099" s="7"/>
      <c r="E1099" s="7"/>
      <c r="F1099" s="7"/>
      <c r="G1099" s="49"/>
      <c r="H1099" s="7"/>
      <c r="I1099" s="50"/>
      <c r="J1099" s="49"/>
      <c r="K1099" s="49"/>
      <c r="M1099" s="49"/>
      <c r="N1099" s="49"/>
      <c r="O1099" s="49"/>
      <c r="P1099" s="49"/>
      <c r="Q1099" s="49"/>
      <c r="R1099" s="49"/>
      <c r="S1099" s="49"/>
      <c r="T1099" s="49"/>
      <c r="U1099" s="49"/>
      <c r="V1099" s="49"/>
      <c r="W1099" s="49"/>
      <c r="X1099" s="49"/>
      <c r="Y1099" s="49"/>
      <c r="Z1099" s="51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7"/>
      <c r="BH1099" s="7"/>
      <c r="BI1099" s="7"/>
      <c r="BJ1099" s="7"/>
      <c r="BK1099" s="7"/>
      <c r="BL1099" s="7"/>
      <c r="BM1099" s="7"/>
      <c r="BN1099" s="7"/>
      <c r="BO1099" s="7"/>
      <c r="BP1099" s="7"/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  <c r="CA1099" s="7"/>
      <c r="CB1099" s="7"/>
      <c r="CC1099" s="7"/>
      <c r="CD1099" s="7"/>
      <c r="CE1099" s="7"/>
      <c r="CF1099" s="7"/>
      <c r="CG1099" s="7"/>
      <c r="CH1099" s="7"/>
      <c r="CI1099" s="7"/>
      <c r="CJ1099" s="7"/>
      <c r="CK1099" s="7"/>
      <c r="CL1099" s="7"/>
      <c r="CM1099" s="7"/>
      <c r="CN1099" s="7"/>
      <c r="CO1099" s="7"/>
      <c r="CP1099" s="7"/>
      <c r="CQ1099" s="7"/>
      <c r="CR1099" s="7"/>
      <c r="CS1099" s="7"/>
      <c r="CT1099" s="7"/>
      <c r="CU1099" s="7"/>
      <c r="CV1099" s="7"/>
      <c r="CW1099" s="7"/>
      <c r="CX1099" s="7"/>
      <c r="CY1099" s="7"/>
      <c r="CZ1099" s="7"/>
      <c r="DA1099" s="7"/>
      <c r="DB1099" s="7"/>
      <c r="DC1099" s="7"/>
      <c r="DD1099" s="7"/>
      <c r="DE1099" s="7"/>
      <c r="DF1099" s="7"/>
    </row>
    <row r="1100" spans="1:110" x14ac:dyDescent="0.25">
      <c r="A1100" s="7"/>
      <c r="B1100" s="7"/>
      <c r="C1100" s="48"/>
      <c r="D1100" s="7"/>
      <c r="E1100" s="7"/>
      <c r="F1100" s="7"/>
      <c r="G1100" s="49"/>
      <c r="H1100" s="7"/>
      <c r="I1100" s="50"/>
      <c r="J1100" s="49"/>
      <c r="K1100" s="49"/>
      <c r="M1100" s="49"/>
      <c r="N1100" s="49"/>
      <c r="O1100" s="49"/>
      <c r="P1100" s="49"/>
      <c r="Q1100" s="49"/>
      <c r="R1100" s="49"/>
      <c r="S1100" s="49"/>
      <c r="T1100" s="49"/>
      <c r="U1100" s="49"/>
      <c r="V1100" s="49"/>
      <c r="W1100" s="49"/>
      <c r="X1100" s="49"/>
      <c r="Y1100" s="49"/>
      <c r="Z1100" s="51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/>
      <c r="BJ1100" s="7"/>
      <c r="BK1100" s="7"/>
      <c r="BL1100" s="7"/>
      <c r="BM1100" s="7"/>
      <c r="BN1100" s="7"/>
      <c r="BO1100" s="7"/>
      <c r="BP1100" s="7"/>
      <c r="BQ1100" s="7"/>
      <c r="BR1100" s="7"/>
      <c r="BS1100" s="7"/>
      <c r="BT1100" s="7"/>
      <c r="BU1100" s="7"/>
      <c r="BV1100" s="7"/>
      <c r="BW1100" s="7"/>
      <c r="BX1100" s="7"/>
      <c r="BY1100" s="7"/>
      <c r="BZ1100" s="7"/>
      <c r="CA1100" s="7"/>
      <c r="CB1100" s="7"/>
      <c r="CC1100" s="7"/>
      <c r="CD1100" s="7"/>
      <c r="CE1100" s="7"/>
      <c r="CF1100" s="7"/>
      <c r="CG1100" s="7"/>
      <c r="CH1100" s="7"/>
      <c r="CI1100" s="7"/>
      <c r="CJ1100" s="7"/>
      <c r="CK1100" s="7"/>
      <c r="CL1100" s="7"/>
      <c r="CM1100" s="7"/>
      <c r="CN1100" s="7"/>
      <c r="CO1100" s="7"/>
      <c r="CP1100" s="7"/>
      <c r="CQ1100" s="7"/>
      <c r="CR1100" s="7"/>
      <c r="CS1100" s="7"/>
      <c r="CT1100" s="7"/>
      <c r="CU1100" s="7"/>
      <c r="CV1100" s="7"/>
      <c r="CW1100" s="7"/>
      <c r="CX1100" s="7"/>
      <c r="CY1100" s="7"/>
      <c r="CZ1100" s="7"/>
      <c r="DA1100" s="7"/>
      <c r="DB1100" s="7"/>
      <c r="DC1100" s="7"/>
      <c r="DD1100" s="7"/>
      <c r="DE1100" s="7"/>
      <c r="DF1100" s="7"/>
    </row>
    <row r="1101" spans="1:110" x14ac:dyDescent="0.25">
      <c r="A1101" s="7"/>
      <c r="B1101" s="7"/>
      <c r="C1101" s="48"/>
      <c r="D1101" s="7"/>
      <c r="E1101" s="7"/>
      <c r="F1101" s="7"/>
      <c r="G1101" s="49"/>
      <c r="H1101" s="7"/>
      <c r="I1101" s="50"/>
      <c r="J1101" s="49"/>
      <c r="K1101" s="49"/>
      <c r="M1101" s="49"/>
      <c r="N1101" s="49"/>
      <c r="O1101" s="49"/>
      <c r="P1101" s="49"/>
      <c r="Q1101" s="49"/>
      <c r="R1101" s="49"/>
      <c r="S1101" s="49"/>
      <c r="T1101" s="49"/>
      <c r="U1101" s="49"/>
      <c r="V1101" s="49"/>
      <c r="W1101" s="49"/>
      <c r="X1101" s="49"/>
      <c r="Y1101" s="49"/>
      <c r="Z1101" s="51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K1101" s="7"/>
      <c r="BL1101" s="7"/>
      <c r="BM1101" s="7"/>
      <c r="BN1101" s="7"/>
      <c r="BO1101" s="7"/>
      <c r="BP1101" s="7"/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7"/>
      <c r="CG1101" s="7"/>
      <c r="CH1101" s="7"/>
      <c r="CI1101" s="7"/>
      <c r="CJ1101" s="7"/>
      <c r="CK1101" s="7"/>
      <c r="CL1101" s="7"/>
      <c r="CM1101" s="7"/>
      <c r="CN1101" s="7"/>
      <c r="CO1101" s="7"/>
      <c r="CP1101" s="7"/>
      <c r="CQ1101" s="7"/>
      <c r="CR1101" s="7"/>
      <c r="CS1101" s="7"/>
      <c r="CT1101" s="7"/>
      <c r="CU1101" s="7"/>
      <c r="CV1101" s="7"/>
      <c r="CW1101" s="7"/>
      <c r="CX1101" s="7"/>
      <c r="CY1101" s="7"/>
      <c r="CZ1101" s="7"/>
      <c r="DA1101" s="7"/>
      <c r="DB1101" s="7"/>
      <c r="DC1101" s="7"/>
      <c r="DD1101" s="7"/>
      <c r="DE1101" s="7"/>
      <c r="DF1101" s="7"/>
    </row>
    <row r="1102" spans="1:110" x14ac:dyDescent="0.25">
      <c r="A1102" s="7"/>
      <c r="B1102" s="7"/>
      <c r="C1102" s="48"/>
      <c r="D1102" s="7"/>
      <c r="E1102" s="7"/>
      <c r="F1102" s="7"/>
      <c r="G1102" s="49"/>
      <c r="H1102" s="7"/>
      <c r="I1102" s="50"/>
      <c r="J1102" s="49"/>
      <c r="K1102" s="49"/>
      <c r="M1102" s="49"/>
      <c r="N1102" s="49"/>
      <c r="O1102" s="49"/>
      <c r="P1102" s="49"/>
      <c r="Q1102" s="49"/>
      <c r="R1102" s="49"/>
      <c r="S1102" s="49"/>
      <c r="T1102" s="49"/>
      <c r="U1102" s="49"/>
      <c r="V1102" s="49"/>
      <c r="W1102" s="49"/>
      <c r="X1102" s="49"/>
      <c r="Y1102" s="49"/>
      <c r="Z1102" s="51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  <c r="BE1102" s="7"/>
      <c r="BF1102" s="7"/>
      <c r="BG1102" s="7"/>
      <c r="BH1102" s="7"/>
      <c r="BI1102" s="7"/>
      <c r="BJ1102" s="7"/>
      <c r="BK1102" s="7"/>
      <c r="BL1102" s="7"/>
      <c r="BM1102" s="7"/>
      <c r="BN1102" s="7"/>
      <c r="BO1102" s="7"/>
      <c r="BP1102" s="7"/>
      <c r="BQ1102" s="7"/>
      <c r="BR1102" s="7"/>
      <c r="BS1102" s="7"/>
      <c r="BT1102" s="7"/>
      <c r="BU1102" s="7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7"/>
      <c r="CG1102" s="7"/>
      <c r="CH1102" s="7"/>
      <c r="CI1102" s="7"/>
      <c r="CJ1102" s="7"/>
      <c r="CK1102" s="7"/>
      <c r="CL1102" s="7"/>
      <c r="CM1102" s="7"/>
      <c r="CN1102" s="7"/>
      <c r="CO1102" s="7"/>
      <c r="CP1102" s="7"/>
      <c r="CQ1102" s="7"/>
      <c r="CR1102" s="7"/>
      <c r="CS1102" s="7"/>
      <c r="CT1102" s="7"/>
      <c r="CU1102" s="7"/>
      <c r="CV1102" s="7"/>
      <c r="CW1102" s="7"/>
      <c r="CX1102" s="7"/>
      <c r="CY1102" s="7"/>
      <c r="CZ1102" s="7"/>
      <c r="DA1102" s="7"/>
      <c r="DB1102" s="7"/>
      <c r="DC1102" s="7"/>
      <c r="DD1102" s="7"/>
      <c r="DE1102" s="7"/>
      <c r="DF1102" s="7"/>
    </row>
    <row r="1103" spans="1:110" x14ac:dyDescent="0.25">
      <c r="A1103" s="7"/>
      <c r="B1103" s="7"/>
      <c r="C1103" s="48"/>
      <c r="D1103" s="7"/>
      <c r="E1103" s="7"/>
      <c r="F1103" s="7"/>
      <c r="G1103" s="49"/>
      <c r="H1103" s="7"/>
      <c r="I1103" s="50"/>
      <c r="J1103" s="49"/>
      <c r="K1103" s="49"/>
      <c r="M1103" s="49"/>
      <c r="N1103" s="49"/>
      <c r="O1103" s="49"/>
      <c r="P1103" s="49"/>
      <c r="Q1103" s="49"/>
      <c r="R1103" s="49"/>
      <c r="S1103" s="49"/>
      <c r="T1103" s="49"/>
      <c r="U1103" s="49"/>
      <c r="V1103" s="49"/>
      <c r="W1103" s="49"/>
      <c r="X1103" s="49"/>
      <c r="Y1103" s="49"/>
      <c r="Z1103" s="51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  <c r="BL1103" s="7"/>
      <c r="BM1103" s="7"/>
      <c r="BN1103" s="7"/>
      <c r="BO1103" s="7"/>
      <c r="BP1103" s="7"/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  <c r="CA1103" s="7"/>
      <c r="CB1103" s="7"/>
      <c r="CC1103" s="7"/>
      <c r="CD1103" s="7"/>
      <c r="CE1103" s="7"/>
      <c r="CF1103" s="7"/>
      <c r="CG1103" s="7"/>
      <c r="CH1103" s="7"/>
      <c r="CI1103" s="7"/>
      <c r="CJ1103" s="7"/>
      <c r="CK1103" s="7"/>
      <c r="CL1103" s="7"/>
      <c r="CM1103" s="7"/>
      <c r="CN1103" s="7"/>
      <c r="CO1103" s="7"/>
      <c r="CP1103" s="7"/>
      <c r="CQ1103" s="7"/>
      <c r="CR1103" s="7"/>
      <c r="CS1103" s="7"/>
      <c r="CT1103" s="7"/>
      <c r="CU1103" s="7"/>
      <c r="CV1103" s="7"/>
      <c r="CW1103" s="7"/>
      <c r="CX1103" s="7"/>
      <c r="CY1103" s="7"/>
      <c r="CZ1103" s="7"/>
      <c r="DA1103" s="7"/>
      <c r="DB1103" s="7"/>
      <c r="DC1103" s="7"/>
      <c r="DD1103" s="7"/>
      <c r="DE1103" s="7"/>
      <c r="DF1103" s="7"/>
    </row>
    <row r="1104" spans="1:110" x14ac:dyDescent="0.25">
      <c r="A1104" s="7"/>
      <c r="B1104" s="7"/>
      <c r="C1104" s="48"/>
      <c r="D1104" s="7"/>
      <c r="E1104" s="7"/>
      <c r="F1104" s="7"/>
      <c r="G1104" s="49"/>
      <c r="H1104" s="7"/>
      <c r="I1104" s="50"/>
      <c r="J1104" s="49"/>
      <c r="K1104" s="49"/>
      <c r="M1104" s="49"/>
      <c r="N1104" s="49"/>
      <c r="O1104" s="49"/>
      <c r="P1104" s="49"/>
      <c r="Q1104" s="49"/>
      <c r="R1104" s="49"/>
      <c r="S1104" s="49"/>
      <c r="T1104" s="49"/>
      <c r="U1104" s="49"/>
      <c r="V1104" s="49"/>
      <c r="W1104" s="49"/>
      <c r="X1104" s="49"/>
      <c r="Y1104" s="49"/>
      <c r="Z1104" s="51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  <c r="BE1104" s="7"/>
      <c r="BF1104" s="7"/>
      <c r="BG1104" s="7"/>
      <c r="BH1104" s="7"/>
      <c r="BI1104" s="7"/>
      <c r="BJ1104" s="7"/>
      <c r="BK1104" s="7"/>
      <c r="BL1104" s="7"/>
      <c r="BM1104" s="7"/>
      <c r="BN1104" s="7"/>
      <c r="BO1104" s="7"/>
      <c r="BP1104" s="7"/>
      <c r="BQ1104" s="7"/>
      <c r="BR1104" s="7"/>
      <c r="BS1104" s="7"/>
      <c r="BT1104" s="7"/>
      <c r="BU1104" s="7"/>
      <c r="BV1104" s="7"/>
      <c r="BW1104" s="7"/>
      <c r="BX1104" s="7"/>
      <c r="BY1104" s="7"/>
      <c r="BZ1104" s="7"/>
      <c r="CA1104" s="7"/>
      <c r="CB1104" s="7"/>
      <c r="CC1104" s="7"/>
      <c r="CD1104" s="7"/>
      <c r="CE1104" s="7"/>
      <c r="CF1104" s="7"/>
      <c r="CG1104" s="7"/>
      <c r="CH1104" s="7"/>
      <c r="CI1104" s="7"/>
      <c r="CJ1104" s="7"/>
      <c r="CK1104" s="7"/>
      <c r="CL1104" s="7"/>
      <c r="CM1104" s="7"/>
      <c r="CN1104" s="7"/>
      <c r="CO1104" s="7"/>
      <c r="CP1104" s="7"/>
      <c r="CQ1104" s="7"/>
      <c r="CR1104" s="7"/>
      <c r="CS1104" s="7"/>
      <c r="CT1104" s="7"/>
      <c r="CU1104" s="7"/>
      <c r="CV1104" s="7"/>
      <c r="CW1104" s="7"/>
      <c r="CX1104" s="7"/>
      <c r="CY1104" s="7"/>
      <c r="CZ1104" s="7"/>
      <c r="DA1104" s="7"/>
      <c r="DB1104" s="7"/>
      <c r="DC1104" s="7"/>
      <c r="DD1104" s="7"/>
      <c r="DE1104" s="7"/>
      <c r="DF1104" s="7"/>
    </row>
    <row r="1105" spans="1:110" x14ac:dyDescent="0.25">
      <c r="A1105" s="7"/>
      <c r="B1105" s="7"/>
      <c r="C1105" s="48"/>
      <c r="D1105" s="7"/>
      <c r="E1105" s="7"/>
      <c r="F1105" s="7"/>
      <c r="G1105" s="49"/>
      <c r="H1105" s="7"/>
      <c r="I1105" s="50"/>
      <c r="J1105" s="49"/>
      <c r="K1105" s="49"/>
      <c r="M1105" s="49"/>
      <c r="N1105" s="49"/>
      <c r="O1105" s="49"/>
      <c r="P1105" s="49"/>
      <c r="Q1105" s="49"/>
      <c r="R1105" s="49"/>
      <c r="S1105" s="49"/>
      <c r="T1105" s="49"/>
      <c r="U1105" s="49"/>
      <c r="V1105" s="49"/>
      <c r="W1105" s="49"/>
      <c r="X1105" s="49"/>
      <c r="Y1105" s="49"/>
      <c r="Z1105" s="51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/>
      <c r="BM1105" s="7"/>
      <c r="BN1105" s="7"/>
      <c r="BO1105" s="7"/>
      <c r="BP1105" s="7"/>
      <c r="BQ1105" s="7"/>
      <c r="BR1105" s="7"/>
      <c r="BS1105" s="7"/>
      <c r="BT1105" s="7"/>
      <c r="BU1105" s="7"/>
      <c r="BV1105" s="7"/>
      <c r="BW1105" s="7"/>
      <c r="BX1105" s="7"/>
      <c r="BY1105" s="7"/>
      <c r="BZ1105" s="7"/>
      <c r="CA1105" s="7"/>
      <c r="CB1105" s="7"/>
      <c r="CC1105" s="7"/>
      <c r="CD1105" s="7"/>
      <c r="CE1105" s="7"/>
      <c r="CF1105" s="7"/>
      <c r="CG1105" s="7"/>
      <c r="CH1105" s="7"/>
      <c r="CI1105" s="7"/>
      <c r="CJ1105" s="7"/>
      <c r="CK1105" s="7"/>
      <c r="CL1105" s="7"/>
      <c r="CM1105" s="7"/>
      <c r="CN1105" s="7"/>
      <c r="CO1105" s="7"/>
      <c r="CP1105" s="7"/>
      <c r="CQ1105" s="7"/>
      <c r="CR1105" s="7"/>
      <c r="CS1105" s="7"/>
      <c r="CT1105" s="7"/>
      <c r="CU1105" s="7"/>
      <c r="CV1105" s="7"/>
      <c r="CW1105" s="7"/>
      <c r="CX1105" s="7"/>
      <c r="CY1105" s="7"/>
      <c r="CZ1105" s="7"/>
      <c r="DA1105" s="7"/>
      <c r="DB1105" s="7"/>
      <c r="DC1105" s="7"/>
      <c r="DD1105" s="7"/>
      <c r="DE1105" s="7"/>
      <c r="DF1105" s="7"/>
    </row>
    <row r="1106" spans="1:110" x14ac:dyDescent="0.25">
      <c r="A1106" s="7"/>
      <c r="B1106" s="7"/>
      <c r="C1106" s="48"/>
      <c r="D1106" s="7"/>
      <c r="E1106" s="7"/>
      <c r="F1106" s="7"/>
      <c r="G1106" s="49"/>
      <c r="H1106" s="7"/>
      <c r="I1106" s="50"/>
      <c r="J1106" s="49"/>
      <c r="K1106" s="49"/>
      <c r="M1106" s="49"/>
      <c r="N1106" s="49"/>
      <c r="O1106" s="49"/>
      <c r="P1106" s="49"/>
      <c r="Q1106" s="49"/>
      <c r="R1106" s="49"/>
      <c r="S1106" s="49"/>
      <c r="T1106" s="49"/>
      <c r="U1106" s="49"/>
      <c r="V1106" s="49"/>
      <c r="W1106" s="49"/>
      <c r="X1106" s="49"/>
      <c r="Y1106" s="49"/>
      <c r="Z1106" s="51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7"/>
      <c r="BK1106" s="7"/>
      <c r="BL1106" s="7"/>
      <c r="BM1106" s="7"/>
      <c r="BN1106" s="7"/>
      <c r="BO1106" s="7"/>
      <c r="BP1106" s="7"/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7"/>
      <c r="CG1106" s="7"/>
      <c r="CH1106" s="7"/>
      <c r="CI1106" s="7"/>
      <c r="CJ1106" s="7"/>
      <c r="CK1106" s="7"/>
      <c r="CL1106" s="7"/>
      <c r="CM1106" s="7"/>
      <c r="CN1106" s="7"/>
      <c r="CO1106" s="7"/>
      <c r="CP1106" s="7"/>
      <c r="CQ1106" s="7"/>
      <c r="CR1106" s="7"/>
      <c r="CS1106" s="7"/>
      <c r="CT1106" s="7"/>
      <c r="CU1106" s="7"/>
      <c r="CV1106" s="7"/>
      <c r="CW1106" s="7"/>
      <c r="CX1106" s="7"/>
      <c r="CY1106" s="7"/>
      <c r="CZ1106" s="7"/>
      <c r="DA1106" s="7"/>
      <c r="DB1106" s="7"/>
      <c r="DC1106" s="7"/>
      <c r="DD1106" s="7"/>
      <c r="DE1106" s="7"/>
      <c r="DF1106" s="7"/>
    </row>
    <row r="1107" spans="1:110" x14ac:dyDescent="0.25">
      <c r="A1107" s="7"/>
      <c r="B1107" s="7"/>
      <c r="C1107" s="48"/>
      <c r="D1107" s="7"/>
      <c r="E1107" s="7"/>
      <c r="F1107" s="7"/>
      <c r="G1107" s="49"/>
      <c r="H1107" s="7"/>
      <c r="I1107" s="50"/>
      <c r="J1107" s="49"/>
      <c r="K1107" s="49"/>
      <c r="M1107" s="49"/>
      <c r="N1107" s="49"/>
      <c r="O1107" s="49"/>
      <c r="P1107" s="49"/>
      <c r="Q1107" s="49"/>
      <c r="R1107" s="49"/>
      <c r="S1107" s="49"/>
      <c r="T1107" s="49"/>
      <c r="U1107" s="49"/>
      <c r="V1107" s="49"/>
      <c r="W1107" s="49"/>
      <c r="X1107" s="49"/>
      <c r="Y1107" s="49"/>
      <c r="Z1107" s="51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K1107" s="7"/>
      <c r="BL1107" s="7"/>
      <c r="BM1107" s="7"/>
      <c r="BN1107" s="7"/>
      <c r="BO1107" s="7"/>
      <c r="BP1107" s="7"/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  <c r="CA1107" s="7"/>
      <c r="CB1107" s="7"/>
      <c r="CC1107" s="7"/>
      <c r="CD1107" s="7"/>
      <c r="CE1107" s="7"/>
      <c r="CF1107" s="7"/>
      <c r="CG1107" s="7"/>
      <c r="CH1107" s="7"/>
      <c r="CI1107" s="7"/>
      <c r="CJ1107" s="7"/>
      <c r="CK1107" s="7"/>
      <c r="CL1107" s="7"/>
      <c r="CM1107" s="7"/>
      <c r="CN1107" s="7"/>
      <c r="CO1107" s="7"/>
      <c r="CP1107" s="7"/>
      <c r="CQ1107" s="7"/>
      <c r="CR1107" s="7"/>
      <c r="CS1107" s="7"/>
      <c r="CT1107" s="7"/>
      <c r="CU1107" s="7"/>
      <c r="CV1107" s="7"/>
      <c r="CW1107" s="7"/>
      <c r="CX1107" s="7"/>
      <c r="CY1107" s="7"/>
      <c r="CZ1107" s="7"/>
      <c r="DA1107" s="7"/>
      <c r="DB1107" s="7"/>
      <c r="DC1107" s="7"/>
      <c r="DD1107" s="7"/>
      <c r="DE1107" s="7"/>
      <c r="DF1107" s="7"/>
    </row>
    <row r="1108" spans="1:110" x14ac:dyDescent="0.25">
      <c r="A1108" s="7"/>
      <c r="B1108" s="7"/>
      <c r="C1108" s="48"/>
      <c r="D1108" s="7"/>
      <c r="E1108" s="7"/>
      <c r="F1108" s="7"/>
      <c r="G1108" s="49"/>
      <c r="H1108" s="7"/>
      <c r="I1108" s="50"/>
      <c r="J1108" s="49"/>
      <c r="K1108" s="49"/>
      <c r="M1108" s="49"/>
      <c r="N1108" s="49"/>
      <c r="O1108" s="49"/>
      <c r="P1108" s="49"/>
      <c r="Q1108" s="49"/>
      <c r="R1108" s="49"/>
      <c r="S1108" s="49"/>
      <c r="T1108" s="49"/>
      <c r="U1108" s="49"/>
      <c r="V1108" s="49"/>
      <c r="W1108" s="49"/>
      <c r="X1108" s="49"/>
      <c r="Y1108" s="49"/>
      <c r="Z1108" s="51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7"/>
      <c r="BH1108" s="7"/>
      <c r="BI1108" s="7"/>
      <c r="BJ1108" s="7"/>
      <c r="BK1108" s="7"/>
      <c r="BL1108" s="7"/>
      <c r="BM1108" s="7"/>
      <c r="BN1108" s="7"/>
      <c r="BO1108" s="7"/>
      <c r="BP1108" s="7"/>
      <c r="BQ1108" s="7"/>
      <c r="BR1108" s="7"/>
      <c r="BS1108" s="7"/>
      <c r="BT1108" s="7"/>
      <c r="BU1108" s="7"/>
      <c r="BV1108" s="7"/>
      <c r="BW1108" s="7"/>
      <c r="BX1108" s="7"/>
      <c r="BY1108" s="7"/>
      <c r="BZ1108" s="7"/>
      <c r="CA1108" s="7"/>
      <c r="CB1108" s="7"/>
      <c r="CC1108" s="7"/>
      <c r="CD1108" s="7"/>
      <c r="CE1108" s="7"/>
      <c r="CF1108" s="7"/>
      <c r="CG1108" s="7"/>
      <c r="CH1108" s="7"/>
      <c r="CI1108" s="7"/>
      <c r="CJ1108" s="7"/>
      <c r="CK1108" s="7"/>
      <c r="CL1108" s="7"/>
      <c r="CM1108" s="7"/>
      <c r="CN1108" s="7"/>
      <c r="CO1108" s="7"/>
      <c r="CP1108" s="7"/>
      <c r="CQ1108" s="7"/>
      <c r="CR1108" s="7"/>
      <c r="CS1108" s="7"/>
      <c r="CT1108" s="7"/>
      <c r="CU1108" s="7"/>
      <c r="CV1108" s="7"/>
      <c r="CW1108" s="7"/>
      <c r="CX1108" s="7"/>
      <c r="CY1108" s="7"/>
      <c r="CZ1108" s="7"/>
      <c r="DA1108" s="7"/>
      <c r="DB1108" s="7"/>
      <c r="DC1108" s="7"/>
      <c r="DD1108" s="7"/>
      <c r="DE1108" s="7"/>
      <c r="DF1108" s="7"/>
    </row>
    <row r="1109" spans="1:110" x14ac:dyDescent="0.25">
      <c r="A1109" s="7"/>
      <c r="B1109" s="7"/>
      <c r="C1109" s="48"/>
      <c r="D1109" s="7"/>
      <c r="E1109" s="7"/>
      <c r="F1109" s="7"/>
      <c r="G1109" s="49"/>
      <c r="H1109" s="7"/>
      <c r="I1109" s="50"/>
      <c r="J1109" s="49"/>
      <c r="K1109" s="49"/>
      <c r="M1109" s="49"/>
      <c r="N1109" s="49"/>
      <c r="O1109" s="49"/>
      <c r="P1109" s="49"/>
      <c r="Q1109" s="49"/>
      <c r="R1109" s="49"/>
      <c r="S1109" s="49"/>
      <c r="T1109" s="49"/>
      <c r="U1109" s="49"/>
      <c r="V1109" s="49"/>
      <c r="W1109" s="49"/>
      <c r="X1109" s="49"/>
      <c r="Y1109" s="49"/>
      <c r="Z1109" s="51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/>
      <c r="BF1109" s="7"/>
      <c r="BG1109" s="7"/>
      <c r="BH1109" s="7"/>
      <c r="BI1109" s="7"/>
      <c r="BJ1109" s="7"/>
      <c r="BK1109" s="7"/>
      <c r="BL1109" s="7"/>
      <c r="BM1109" s="7"/>
      <c r="BN1109" s="7"/>
      <c r="BO1109" s="7"/>
      <c r="BP1109" s="7"/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  <c r="CA1109" s="7"/>
      <c r="CB1109" s="7"/>
      <c r="CC1109" s="7"/>
      <c r="CD1109" s="7"/>
      <c r="CE1109" s="7"/>
      <c r="CF1109" s="7"/>
      <c r="CG1109" s="7"/>
      <c r="CH1109" s="7"/>
      <c r="CI1109" s="7"/>
      <c r="CJ1109" s="7"/>
      <c r="CK1109" s="7"/>
      <c r="CL1109" s="7"/>
      <c r="CM1109" s="7"/>
      <c r="CN1109" s="7"/>
      <c r="CO1109" s="7"/>
      <c r="CP1109" s="7"/>
      <c r="CQ1109" s="7"/>
      <c r="CR1109" s="7"/>
      <c r="CS1109" s="7"/>
      <c r="CT1109" s="7"/>
      <c r="CU1109" s="7"/>
      <c r="CV1109" s="7"/>
      <c r="CW1109" s="7"/>
      <c r="CX1109" s="7"/>
      <c r="CY1109" s="7"/>
      <c r="CZ1109" s="7"/>
      <c r="DA1109" s="7"/>
      <c r="DB1109" s="7"/>
      <c r="DC1109" s="7"/>
      <c r="DD1109" s="7"/>
      <c r="DE1109" s="7"/>
      <c r="DF1109" s="7"/>
    </row>
    <row r="1110" spans="1:110" x14ac:dyDescent="0.25">
      <c r="A1110" s="7"/>
      <c r="B1110" s="7"/>
      <c r="C1110" s="48"/>
      <c r="D1110" s="7"/>
      <c r="E1110" s="7"/>
      <c r="F1110" s="7"/>
      <c r="G1110" s="49"/>
      <c r="H1110" s="7"/>
      <c r="I1110" s="50"/>
      <c r="J1110" s="49"/>
      <c r="K1110" s="49"/>
      <c r="M1110" s="49"/>
      <c r="N1110" s="49"/>
      <c r="O1110" s="49"/>
      <c r="P1110" s="49"/>
      <c r="Q1110" s="49"/>
      <c r="R1110" s="49"/>
      <c r="S1110" s="49"/>
      <c r="T1110" s="49"/>
      <c r="U1110" s="49"/>
      <c r="V1110" s="49"/>
      <c r="W1110" s="49"/>
      <c r="X1110" s="49"/>
      <c r="Y1110" s="49"/>
      <c r="Z1110" s="51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/>
      <c r="BJ1110" s="7"/>
      <c r="BK1110" s="7"/>
      <c r="BL1110" s="7"/>
      <c r="BM1110" s="7"/>
      <c r="BN1110" s="7"/>
      <c r="BO1110" s="7"/>
      <c r="BP1110" s="7"/>
      <c r="BQ1110" s="7"/>
      <c r="BR1110" s="7"/>
      <c r="BS1110" s="7"/>
      <c r="BT1110" s="7"/>
      <c r="BU1110" s="7"/>
      <c r="BV1110" s="7"/>
      <c r="BW1110" s="7"/>
      <c r="BX1110" s="7"/>
      <c r="BY1110" s="7"/>
      <c r="BZ1110" s="7"/>
      <c r="CA1110" s="7"/>
      <c r="CB1110" s="7"/>
      <c r="CC1110" s="7"/>
      <c r="CD1110" s="7"/>
      <c r="CE1110" s="7"/>
      <c r="CF1110" s="7"/>
      <c r="CG1110" s="7"/>
      <c r="CH1110" s="7"/>
      <c r="CI1110" s="7"/>
      <c r="CJ1110" s="7"/>
      <c r="CK1110" s="7"/>
      <c r="CL1110" s="7"/>
      <c r="CM1110" s="7"/>
      <c r="CN1110" s="7"/>
      <c r="CO1110" s="7"/>
      <c r="CP1110" s="7"/>
      <c r="CQ1110" s="7"/>
      <c r="CR1110" s="7"/>
      <c r="CS1110" s="7"/>
      <c r="CT1110" s="7"/>
      <c r="CU1110" s="7"/>
      <c r="CV1110" s="7"/>
      <c r="CW1110" s="7"/>
      <c r="CX1110" s="7"/>
      <c r="CY1110" s="7"/>
      <c r="CZ1110" s="7"/>
      <c r="DA1110" s="7"/>
      <c r="DB1110" s="7"/>
      <c r="DC1110" s="7"/>
      <c r="DD1110" s="7"/>
      <c r="DE1110" s="7"/>
      <c r="DF1110" s="7"/>
    </row>
    <row r="1111" spans="1:110" x14ac:dyDescent="0.25">
      <c r="A1111" s="7"/>
      <c r="B1111" s="7"/>
      <c r="C1111" s="48"/>
      <c r="D1111" s="7"/>
      <c r="E1111" s="7"/>
      <c r="F1111" s="7"/>
      <c r="G1111" s="49"/>
      <c r="H1111" s="7"/>
      <c r="I1111" s="50"/>
      <c r="J1111" s="49"/>
      <c r="K1111" s="49"/>
      <c r="M1111" s="49"/>
      <c r="N1111" s="49"/>
      <c r="O1111" s="49"/>
      <c r="P1111" s="49"/>
      <c r="Q1111" s="49"/>
      <c r="R1111" s="49"/>
      <c r="S1111" s="49"/>
      <c r="T1111" s="49"/>
      <c r="U1111" s="49"/>
      <c r="V1111" s="49"/>
      <c r="W1111" s="49"/>
      <c r="X1111" s="49"/>
      <c r="Y1111" s="49"/>
      <c r="Z1111" s="51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7"/>
      <c r="BF1111" s="7"/>
      <c r="BG1111" s="7"/>
      <c r="BH1111" s="7"/>
      <c r="BI1111" s="7"/>
      <c r="BJ1111" s="7"/>
      <c r="BK1111" s="7"/>
      <c r="BL1111" s="7"/>
      <c r="BM1111" s="7"/>
      <c r="BN1111" s="7"/>
      <c r="BO1111" s="7"/>
      <c r="BP1111" s="7"/>
      <c r="BQ1111" s="7"/>
      <c r="BR1111" s="7"/>
      <c r="BS1111" s="7"/>
      <c r="BT1111" s="7"/>
      <c r="BU1111" s="7"/>
      <c r="BV1111" s="7"/>
      <c r="BW1111" s="7"/>
      <c r="BX1111" s="7"/>
      <c r="BY1111" s="7"/>
      <c r="BZ1111" s="7"/>
      <c r="CA1111" s="7"/>
      <c r="CB1111" s="7"/>
      <c r="CC1111" s="7"/>
      <c r="CD1111" s="7"/>
      <c r="CE1111" s="7"/>
      <c r="CF1111" s="7"/>
      <c r="CG1111" s="7"/>
      <c r="CH1111" s="7"/>
      <c r="CI1111" s="7"/>
      <c r="CJ1111" s="7"/>
      <c r="CK1111" s="7"/>
      <c r="CL1111" s="7"/>
      <c r="CM1111" s="7"/>
      <c r="CN1111" s="7"/>
      <c r="CO1111" s="7"/>
      <c r="CP1111" s="7"/>
      <c r="CQ1111" s="7"/>
      <c r="CR1111" s="7"/>
      <c r="CS1111" s="7"/>
      <c r="CT1111" s="7"/>
      <c r="CU1111" s="7"/>
      <c r="CV1111" s="7"/>
      <c r="CW1111" s="7"/>
      <c r="CX1111" s="7"/>
      <c r="CY1111" s="7"/>
      <c r="CZ1111" s="7"/>
      <c r="DA1111" s="7"/>
      <c r="DB1111" s="7"/>
      <c r="DC1111" s="7"/>
      <c r="DD1111" s="7"/>
      <c r="DE1111" s="7"/>
      <c r="DF1111" s="7"/>
    </row>
    <row r="1112" spans="1:110" x14ac:dyDescent="0.25">
      <c r="A1112" s="7"/>
      <c r="B1112" s="7"/>
      <c r="C1112" s="48"/>
      <c r="D1112" s="7"/>
      <c r="E1112" s="7"/>
      <c r="F1112" s="7"/>
      <c r="G1112" s="49"/>
      <c r="H1112" s="7"/>
      <c r="I1112" s="50"/>
      <c r="J1112" s="49"/>
      <c r="K1112" s="49"/>
      <c r="M1112" s="49"/>
      <c r="N1112" s="49"/>
      <c r="O1112" s="49"/>
      <c r="P1112" s="49"/>
      <c r="Q1112" s="49"/>
      <c r="R1112" s="49"/>
      <c r="S1112" s="49"/>
      <c r="T1112" s="49"/>
      <c r="U1112" s="49"/>
      <c r="V1112" s="49"/>
      <c r="W1112" s="49"/>
      <c r="X1112" s="49"/>
      <c r="Y1112" s="49"/>
      <c r="Z1112" s="51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  <c r="BE1112" s="7"/>
      <c r="BF1112" s="7"/>
      <c r="BG1112" s="7"/>
      <c r="BH1112" s="7"/>
      <c r="BI1112" s="7"/>
      <c r="BJ1112" s="7"/>
      <c r="BK1112" s="7"/>
      <c r="BL1112" s="7"/>
      <c r="BM1112" s="7"/>
      <c r="BN1112" s="7"/>
      <c r="BO1112" s="7"/>
      <c r="BP1112" s="7"/>
      <c r="BQ1112" s="7"/>
      <c r="BR1112" s="7"/>
      <c r="BS1112" s="7"/>
      <c r="BT1112" s="7"/>
      <c r="BU1112" s="7"/>
      <c r="BV1112" s="7"/>
      <c r="BW1112" s="7"/>
      <c r="BX1112" s="7"/>
      <c r="BY1112" s="7"/>
      <c r="BZ1112" s="7"/>
      <c r="CA1112" s="7"/>
      <c r="CB1112" s="7"/>
      <c r="CC1112" s="7"/>
      <c r="CD1112" s="7"/>
      <c r="CE1112" s="7"/>
      <c r="CF1112" s="7"/>
      <c r="CG1112" s="7"/>
      <c r="CH1112" s="7"/>
      <c r="CI1112" s="7"/>
      <c r="CJ1112" s="7"/>
      <c r="CK1112" s="7"/>
      <c r="CL1112" s="7"/>
      <c r="CM1112" s="7"/>
      <c r="CN1112" s="7"/>
      <c r="CO1112" s="7"/>
      <c r="CP1112" s="7"/>
      <c r="CQ1112" s="7"/>
      <c r="CR1112" s="7"/>
      <c r="CS1112" s="7"/>
      <c r="CT1112" s="7"/>
      <c r="CU1112" s="7"/>
      <c r="CV1112" s="7"/>
      <c r="CW1112" s="7"/>
      <c r="CX1112" s="7"/>
      <c r="CY1112" s="7"/>
      <c r="CZ1112" s="7"/>
      <c r="DA1112" s="7"/>
      <c r="DB1112" s="7"/>
      <c r="DC1112" s="7"/>
      <c r="DD1112" s="7"/>
      <c r="DE1112" s="7"/>
      <c r="DF1112" s="7"/>
    </row>
    <row r="1113" spans="1:110" x14ac:dyDescent="0.25">
      <c r="A1113" s="7"/>
      <c r="B1113" s="7"/>
      <c r="C1113" s="48"/>
      <c r="D1113" s="7"/>
      <c r="E1113" s="7"/>
      <c r="F1113" s="7"/>
      <c r="G1113" s="49"/>
      <c r="H1113" s="7"/>
      <c r="I1113" s="50"/>
      <c r="J1113" s="49"/>
      <c r="K1113" s="49"/>
      <c r="M1113" s="49"/>
      <c r="N1113" s="49"/>
      <c r="O1113" s="49"/>
      <c r="P1113" s="49"/>
      <c r="Q1113" s="49"/>
      <c r="R1113" s="49"/>
      <c r="S1113" s="49"/>
      <c r="T1113" s="49"/>
      <c r="U1113" s="49"/>
      <c r="V1113" s="49"/>
      <c r="W1113" s="49"/>
      <c r="X1113" s="49"/>
      <c r="Y1113" s="49"/>
      <c r="Z1113" s="51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/>
      <c r="BJ1113" s="7"/>
      <c r="BK1113" s="7"/>
      <c r="BL1113" s="7"/>
      <c r="BM1113" s="7"/>
      <c r="BN1113" s="7"/>
      <c r="BO1113" s="7"/>
      <c r="BP1113" s="7"/>
      <c r="BQ1113" s="7"/>
      <c r="BR1113" s="7"/>
      <c r="BS1113" s="7"/>
      <c r="BT1113" s="7"/>
      <c r="BU1113" s="7"/>
      <c r="BV1113" s="7"/>
      <c r="BW1113" s="7"/>
      <c r="BX1113" s="7"/>
      <c r="BY1113" s="7"/>
      <c r="BZ1113" s="7"/>
      <c r="CA1113" s="7"/>
      <c r="CB1113" s="7"/>
      <c r="CC1113" s="7"/>
      <c r="CD1113" s="7"/>
      <c r="CE1113" s="7"/>
      <c r="CF1113" s="7"/>
      <c r="CG1113" s="7"/>
      <c r="CH1113" s="7"/>
      <c r="CI1113" s="7"/>
      <c r="CJ1113" s="7"/>
      <c r="CK1113" s="7"/>
      <c r="CL1113" s="7"/>
      <c r="CM1113" s="7"/>
      <c r="CN1113" s="7"/>
      <c r="CO1113" s="7"/>
      <c r="CP1113" s="7"/>
      <c r="CQ1113" s="7"/>
      <c r="CR1113" s="7"/>
      <c r="CS1113" s="7"/>
      <c r="CT1113" s="7"/>
      <c r="CU1113" s="7"/>
      <c r="CV1113" s="7"/>
      <c r="CW1113" s="7"/>
      <c r="CX1113" s="7"/>
      <c r="CY1113" s="7"/>
      <c r="CZ1113" s="7"/>
      <c r="DA1113" s="7"/>
      <c r="DB1113" s="7"/>
      <c r="DC1113" s="7"/>
      <c r="DD1113" s="7"/>
      <c r="DE1113" s="7"/>
      <c r="DF1113" s="7"/>
    </row>
    <row r="1114" spans="1:110" x14ac:dyDescent="0.25">
      <c r="A1114" s="7"/>
      <c r="B1114" s="7"/>
      <c r="C1114" s="48"/>
      <c r="D1114" s="7"/>
      <c r="E1114" s="7"/>
      <c r="F1114" s="7"/>
      <c r="G1114" s="49"/>
      <c r="H1114" s="7"/>
      <c r="I1114" s="50"/>
      <c r="J1114" s="49"/>
      <c r="K1114" s="49"/>
      <c r="M1114" s="49"/>
      <c r="N1114" s="49"/>
      <c r="O1114" s="49"/>
      <c r="P1114" s="49"/>
      <c r="Q1114" s="49"/>
      <c r="R1114" s="49"/>
      <c r="S1114" s="49"/>
      <c r="T1114" s="49"/>
      <c r="U1114" s="49"/>
      <c r="V1114" s="49"/>
      <c r="W1114" s="49"/>
      <c r="X1114" s="49"/>
      <c r="Y1114" s="49"/>
      <c r="Z1114" s="51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/>
      <c r="BJ1114" s="7"/>
      <c r="BK1114" s="7"/>
      <c r="BL1114" s="7"/>
      <c r="BM1114" s="7"/>
      <c r="BN1114" s="7"/>
      <c r="BO1114" s="7"/>
      <c r="BP1114" s="7"/>
      <c r="BQ1114" s="7"/>
      <c r="BR1114" s="7"/>
      <c r="BS1114" s="7"/>
      <c r="BT1114" s="7"/>
      <c r="BU1114" s="7"/>
      <c r="BV1114" s="7"/>
      <c r="BW1114" s="7"/>
      <c r="BX1114" s="7"/>
      <c r="BY1114" s="7"/>
      <c r="BZ1114" s="7"/>
      <c r="CA1114" s="7"/>
      <c r="CB1114" s="7"/>
      <c r="CC1114" s="7"/>
      <c r="CD1114" s="7"/>
      <c r="CE1114" s="7"/>
      <c r="CF1114" s="7"/>
      <c r="CG1114" s="7"/>
      <c r="CH1114" s="7"/>
      <c r="CI1114" s="7"/>
      <c r="CJ1114" s="7"/>
      <c r="CK1114" s="7"/>
      <c r="CL1114" s="7"/>
      <c r="CM1114" s="7"/>
      <c r="CN1114" s="7"/>
      <c r="CO1114" s="7"/>
      <c r="CP1114" s="7"/>
      <c r="CQ1114" s="7"/>
      <c r="CR1114" s="7"/>
      <c r="CS1114" s="7"/>
      <c r="CT1114" s="7"/>
      <c r="CU1114" s="7"/>
      <c r="CV1114" s="7"/>
      <c r="CW1114" s="7"/>
      <c r="CX1114" s="7"/>
      <c r="CY1114" s="7"/>
      <c r="CZ1114" s="7"/>
      <c r="DA1114" s="7"/>
      <c r="DB1114" s="7"/>
      <c r="DC1114" s="7"/>
      <c r="DD1114" s="7"/>
      <c r="DE1114" s="7"/>
      <c r="DF1114" s="7"/>
    </row>
    <row r="1115" spans="1:110" x14ac:dyDescent="0.25">
      <c r="A1115" s="7"/>
      <c r="B1115" s="7"/>
      <c r="C1115" s="48"/>
      <c r="D1115" s="7"/>
      <c r="E1115" s="7"/>
      <c r="F1115" s="7"/>
      <c r="G1115" s="49"/>
      <c r="H1115" s="7"/>
      <c r="I1115" s="50"/>
      <c r="J1115" s="49"/>
      <c r="K1115" s="49"/>
      <c r="M1115" s="49"/>
      <c r="N1115" s="49"/>
      <c r="O1115" s="49"/>
      <c r="P1115" s="49"/>
      <c r="Q1115" s="49"/>
      <c r="R1115" s="49"/>
      <c r="S1115" s="49"/>
      <c r="T1115" s="49"/>
      <c r="U1115" s="49"/>
      <c r="V1115" s="49"/>
      <c r="W1115" s="49"/>
      <c r="X1115" s="49"/>
      <c r="Y1115" s="49"/>
      <c r="Z1115" s="51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  <c r="BL1115" s="7"/>
      <c r="BM1115" s="7"/>
      <c r="BN1115" s="7"/>
      <c r="BO1115" s="7"/>
      <c r="BP1115" s="7"/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7"/>
      <c r="CG1115" s="7"/>
      <c r="CH1115" s="7"/>
      <c r="CI1115" s="7"/>
      <c r="CJ1115" s="7"/>
      <c r="CK1115" s="7"/>
      <c r="CL1115" s="7"/>
      <c r="CM1115" s="7"/>
      <c r="CN1115" s="7"/>
      <c r="CO1115" s="7"/>
      <c r="CP1115" s="7"/>
      <c r="CQ1115" s="7"/>
      <c r="CR1115" s="7"/>
      <c r="CS1115" s="7"/>
      <c r="CT1115" s="7"/>
      <c r="CU1115" s="7"/>
      <c r="CV1115" s="7"/>
      <c r="CW1115" s="7"/>
      <c r="CX1115" s="7"/>
      <c r="CY1115" s="7"/>
      <c r="CZ1115" s="7"/>
      <c r="DA1115" s="7"/>
      <c r="DB1115" s="7"/>
      <c r="DC1115" s="7"/>
      <c r="DD1115" s="7"/>
      <c r="DE1115" s="7"/>
      <c r="DF1115" s="7"/>
    </row>
    <row r="1116" spans="1:110" x14ac:dyDescent="0.25">
      <c r="A1116" s="7"/>
      <c r="B1116" s="7"/>
      <c r="C1116" s="48"/>
      <c r="D1116" s="7"/>
      <c r="E1116" s="7"/>
      <c r="F1116" s="7"/>
      <c r="G1116" s="49"/>
      <c r="H1116" s="7"/>
      <c r="I1116" s="50"/>
      <c r="J1116" s="49"/>
      <c r="K1116" s="49"/>
      <c r="M1116" s="49"/>
      <c r="N1116" s="49"/>
      <c r="O1116" s="49"/>
      <c r="P1116" s="49"/>
      <c r="Q1116" s="49"/>
      <c r="R1116" s="49"/>
      <c r="S1116" s="49"/>
      <c r="T1116" s="49"/>
      <c r="U1116" s="49"/>
      <c r="V1116" s="49"/>
      <c r="W1116" s="49"/>
      <c r="X1116" s="49"/>
      <c r="Y1116" s="49"/>
      <c r="Z1116" s="51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/>
      <c r="BF1116" s="7"/>
      <c r="BG1116" s="7"/>
      <c r="BH1116" s="7"/>
      <c r="BI1116" s="7"/>
      <c r="BJ1116" s="7"/>
      <c r="BK1116" s="7"/>
      <c r="BL1116" s="7"/>
      <c r="BM1116" s="7"/>
      <c r="BN1116" s="7"/>
      <c r="BO1116" s="7"/>
      <c r="BP1116" s="7"/>
      <c r="BQ1116" s="7"/>
      <c r="BR1116" s="7"/>
      <c r="BS1116" s="7"/>
      <c r="BT1116" s="7"/>
      <c r="BU1116" s="7"/>
      <c r="BV1116" s="7"/>
      <c r="BW1116" s="7"/>
      <c r="BX1116" s="7"/>
      <c r="BY1116" s="7"/>
      <c r="BZ1116" s="7"/>
      <c r="CA1116" s="7"/>
      <c r="CB1116" s="7"/>
      <c r="CC1116" s="7"/>
      <c r="CD1116" s="7"/>
      <c r="CE1116" s="7"/>
      <c r="CF1116" s="7"/>
      <c r="CG1116" s="7"/>
      <c r="CH1116" s="7"/>
      <c r="CI1116" s="7"/>
      <c r="CJ1116" s="7"/>
      <c r="CK1116" s="7"/>
      <c r="CL1116" s="7"/>
      <c r="CM1116" s="7"/>
      <c r="CN1116" s="7"/>
      <c r="CO1116" s="7"/>
      <c r="CP1116" s="7"/>
      <c r="CQ1116" s="7"/>
      <c r="CR1116" s="7"/>
      <c r="CS1116" s="7"/>
      <c r="CT1116" s="7"/>
      <c r="CU1116" s="7"/>
      <c r="CV1116" s="7"/>
      <c r="CW1116" s="7"/>
      <c r="CX1116" s="7"/>
      <c r="CY1116" s="7"/>
      <c r="CZ1116" s="7"/>
      <c r="DA1116" s="7"/>
      <c r="DB1116" s="7"/>
      <c r="DC1116" s="7"/>
      <c r="DD1116" s="7"/>
      <c r="DE1116" s="7"/>
      <c r="DF1116" s="7"/>
    </row>
    <row r="1117" spans="1:110" x14ac:dyDescent="0.25">
      <c r="A1117" s="7"/>
      <c r="B1117" s="7"/>
      <c r="C1117" s="48"/>
      <c r="D1117" s="7"/>
      <c r="E1117" s="7"/>
      <c r="F1117" s="7"/>
      <c r="G1117" s="49"/>
      <c r="H1117" s="7"/>
      <c r="I1117" s="50"/>
      <c r="J1117" s="49"/>
      <c r="K1117" s="49"/>
      <c r="M1117" s="49"/>
      <c r="N1117" s="49"/>
      <c r="O1117" s="49"/>
      <c r="P1117" s="49"/>
      <c r="Q1117" s="49"/>
      <c r="R1117" s="49"/>
      <c r="S1117" s="49"/>
      <c r="T1117" s="49"/>
      <c r="U1117" s="49"/>
      <c r="V1117" s="49"/>
      <c r="W1117" s="49"/>
      <c r="X1117" s="49"/>
      <c r="Y1117" s="49"/>
      <c r="Z1117" s="51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/>
      <c r="BF1117" s="7"/>
      <c r="BG1117" s="7"/>
      <c r="BH1117" s="7"/>
      <c r="BI1117" s="7"/>
      <c r="BJ1117" s="7"/>
      <c r="BK1117" s="7"/>
      <c r="BL1117" s="7"/>
      <c r="BM1117" s="7"/>
      <c r="BN1117" s="7"/>
      <c r="BO1117" s="7"/>
      <c r="BP1117" s="7"/>
      <c r="BQ1117" s="7"/>
      <c r="BR1117" s="7"/>
      <c r="BS1117" s="7"/>
      <c r="BT1117" s="7"/>
      <c r="BU1117" s="7"/>
      <c r="BV1117" s="7"/>
      <c r="BW1117" s="7"/>
      <c r="BX1117" s="7"/>
      <c r="BY1117" s="7"/>
      <c r="BZ1117" s="7"/>
      <c r="CA1117" s="7"/>
      <c r="CB1117" s="7"/>
      <c r="CC1117" s="7"/>
      <c r="CD1117" s="7"/>
      <c r="CE1117" s="7"/>
      <c r="CF1117" s="7"/>
      <c r="CG1117" s="7"/>
      <c r="CH1117" s="7"/>
      <c r="CI1117" s="7"/>
      <c r="CJ1117" s="7"/>
      <c r="CK1117" s="7"/>
      <c r="CL1117" s="7"/>
      <c r="CM1117" s="7"/>
      <c r="CN1117" s="7"/>
      <c r="CO1117" s="7"/>
      <c r="CP1117" s="7"/>
      <c r="CQ1117" s="7"/>
      <c r="CR1117" s="7"/>
      <c r="CS1117" s="7"/>
      <c r="CT1117" s="7"/>
      <c r="CU1117" s="7"/>
      <c r="CV1117" s="7"/>
      <c r="CW1117" s="7"/>
      <c r="CX1117" s="7"/>
      <c r="CY1117" s="7"/>
      <c r="CZ1117" s="7"/>
      <c r="DA1117" s="7"/>
      <c r="DB1117" s="7"/>
      <c r="DC1117" s="7"/>
      <c r="DD1117" s="7"/>
      <c r="DE1117" s="7"/>
      <c r="DF1117" s="7"/>
    </row>
    <row r="1118" spans="1:110" x14ac:dyDescent="0.25">
      <c r="A1118" s="7"/>
      <c r="B1118" s="7"/>
      <c r="C1118" s="48"/>
      <c r="D1118" s="7"/>
      <c r="E1118" s="7"/>
      <c r="F1118" s="7"/>
      <c r="G1118" s="49"/>
      <c r="H1118" s="7"/>
      <c r="I1118" s="50"/>
      <c r="J1118" s="49"/>
      <c r="K1118" s="49"/>
      <c r="M1118" s="49"/>
      <c r="N1118" s="49"/>
      <c r="O1118" s="49"/>
      <c r="P1118" s="49"/>
      <c r="Q1118" s="49"/>
      <c r="R1118" s="49"/>
      <c r="S1118" s="49"/>
      <c r="T1118" s="49"/>
      <c r="U1118" s="49"/>
      <c r="V1118" s="49"/>
      <c r="W1118" s="49"/>
      <c r="X1118" s="49"/>
      <c r="Y1118" s="49"/>
      <c r="Z1118" s="51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  <c r="BE1118" s="7"/>
      <c r="BF1118" s="7"/>
      <c r="BG1118" s="7"/>
      <c r="BH1118" s="7"/>
      <c r="BI1118" s="7"/>
      <c r="BJ1118" s="7"/>
      <c r="BK1118" s="7"/>
      <c r="BL1118" s="7"/>
      <c r="BM1118" s="7"/>
      <c r="BN1118" s="7"/>
      <c r="BO1118" s="7"/>
      <c r="BP1118" s="7"/>
      <c r="BQ1118" s="7"/>
      <c r="BR1118" s="7"/>
      <c r="BS1118" s="7"/>
      <c r="BT1118" s="7"/>
      <c r="BU1118" s="7"/>
      <c r="BV1118" s="7"/>
      <c r="BW1118" s="7"/>
      <c r="BX1118" s="7"/>
      <c r="BY1118" s="7"/>
      <c r="BZ1118" s="7"/>
      <c r="CA1118" s="7"/>
      <c r="CB1118" s="7"/>
      <c r="CC1118" s="7"/>
      <c r="CD1118" s="7"/>
      <c r="CE1118" s="7"/>
      <c r="CF1118" s="7"/>
      <c r="CG1118" s="7"/>
      <c r="CH1118" s="7"/>
      <c r="CI1118" s="7"/>
      <c r="CJ1118" s="7"/>
      <c r="CK1118" s="7"/>
      <c r="CL1118" s="7"/>
      <c r="CM1118" s="7"/>
      <c r="CN1118" s="7"/>
      <c r="CO1118" s="7"/>
      <c r="CP1118" s="7"/>
      <c r="CQ1118" s="7"/>
      <c r="CR1118" s="7"/>
      <c r="CS1118" s="7"/>
      <c r="CT1118" s="7"/>
      <c r="CU1118" s="7"/>
      <c r="CV1118" s="7"/>
      <c r="CW1118" s="7"/>
      <c r="CX1118" s="7"/>
      <c r="CY1118" s="7"/>
      <c r="CZ1118" s="7"/>
      <c r="DA1118" s="7"/>
      <c r="DB1118" s="7"/>
      <c r="DC1118" s="7"/>
      <c r="DD1118" s="7"/>
      <c r="DE1118" s="7"/>
      <c r="DF1118" s="7"/>
    </row>
  </sheetData>
  <autoFilter ref="A2:DF934" xr:uid="{00000000-0009-0000-0000-000000000000}"/>
  <customSheetViews>
    <customSheetView guid="{A3C3765C-EA73-48D0-8F3F-74E623E74581}" scale="115" showAutoFilter="1" state="hidden">
      <pane ySplit="2" topLeftCell="A164" activePane="bottomLeft" state="frozen"/>
      <selection pane="bottomLeft" activeCell="C171" sqref="C171"/>
      <pageMargins left="0.7" right="0.7" top="0.75" bottom="0.75" header="0" footer="0"/>
      <pageSetup orientation="portrait" r:id="rId1"/>
      <headerFooter>
        <oddFooter>&amp;LFS1-010-049&amp;CPag. 1 of 1&amp;RRev. 03 22-NOV-2016.</oddFooter>
      </headerFooter>
      <autoFilter ref="A2:DF934" xr:uid="{246C9A8C-A6F6-48C5-8E0A-F8D36AE6DCAB}"/>
    </customSheetView>
  </customSheetViews>
  <hyperlinks>
    <hyperlink ref="AG3" r:id="rId2" xr:uid="{00000000-0004-0000-0000-000000000000}"/>
    <hyperlink ref="AG4" r:id="rId3" xr:uid="{00000000-0004-0000-0000-000001000000}"/>
    <hyperlink ref="AG6" r:id="rId4" xr:uid="{00000000-0004-0000-0000-000002000000}"/>
    <hyperlink ref="AG7" r:id="rId5" xr:uid="{00000000-0004-0000-0000-000003000000}"/>
    <hyperlink ref="AG12" r:id="rId6" xr:uid="{00000000-0004-0000-0000-000004000000}"/>
    <hyperlink ref="AG13" r:id="rId7" xr:uid="{00000000-0004-0000-0000-000005000000}"/>
    <hyperlink ref="AG22" r:id="rId8" xr:uid="{00000000-0004-0000-0000-000006000000}"/>
    <hyperlink ref="AG23" r:id="rId9" xr:uid="{00000000-0004-0000-0000-000007000000}"/>
    <hyperlink ref="AG24" r:id="rId10" xr:uid="{00000000-0004-0000-0000-000008000000}"/>
    <hyperlink ref="AG30" r:id="rId11" xr:uid="{00000000-0004-0000-0000-000009000000}"/>
    <hyperlink ref="AG31" r:id="rId12" xr:uid="{00000000-0004-0000-0000-00000A000000}"/>
    <hyperlink ref="AG33" r:id="rId13" xr:uid="{00000000-0004-0000-0000-00000B000000}"/>
    <hyperlink ref="AG34" r:id="rId14" xr:uid="{00000000-0004-0000-0000-00000C000000}"/>
    <hyperlink ref="AG35" r:id="rId15" xr:uid="{00000000-0004-0000-0000-00000D000000}"/>
    <hyperlink ref="AG36" r:id="rId16" xr:uid="{00000000-0004-0000-0000-00000E000000}"/>
    <hyperlink ref="AG37" r:id="rId17" xr:uid="{00000000-0004-0000-0000-00000F000000}"/>
    <hyperlink ref="AG38" r:id="rId18" xr:uid="{00000000-0004-0000-0000-000010000000}"/>
    <hyperlink ref="AG39" r:id="rId19" xr:uid="{00000000-0004-0000-0000-000011000000}"/>
    <hyperlink ref="AG40" r:id="rId20" xr:uid="{00000000-0004-0000-0000-000012000000}"/>
    <hyperlink ref="AG41" r:id="rId21" xr:uid="{00000000-0004-0000-0000-000013000000}"/>
    <hyperlink ref="AG42" r:id="rId22" xr:uid="{00000000-0004-0000-0000-000014000000}"/>
    <hyperlink ref="AG43" r:id="rId23" xr:uid="{00000000-0004-0000-0000-000015000000}"/>
    <hyperlink ref="AG44" r:id="rId24" xr:uid="{00000000-0004-0000-0000-000016000000}"/>
    <hyperlink ref="AG47" r:id="rId25" xr:uid="{00000000-0004-0000-0000-000017000000}"/>
    <hyperlink ref="AG50" r:id="rId26" xr:uid="{00000000-0004-0000-0000-000018000000}"/>
    <hyperlink ref="AG51" r:id="rId27" xr:uid="{00000000-0004-0000-0000-000019000000}"/>
    <hyperlink ref="AG52" r:id="rId28" xr:uid="{00000000-0004-0000-0000-00001A000000}"/>
    <hyperlink ref="AG54" r:id="rId29" xr:uid="{00000000-0004-0000-0000-00001B000000}"/>
    <hyperlink ref="AG55" r:id="rId30" xr:uid="{00000000-0004-0000-0000-00001C000000}"/>
    <hyperlink ref="AG57" r:id="rId31" xr:uid="{00000000-0004-0000-0000-00001D000000}"/>
    <hyperlink ref="AG58" r:id="rId32" xr:uid="{00000000-0004-0000-0000-00001E000000}"/>
    <hyperlink ref="AG59" r:id="rId33" xr:uid="{00000000-0004-0000-0000-00001F000000}"/>
    <hyperlink ref="AG60" r:id="rId34" xr:uid="{00000000-0004-0000-0000-000020000000}"/>
    <hyperlink ref="AG61" r:id="rId35" xr:uid="{00000000-0004-0000-0000-000021000000}"/>
    <hyperlink ref="AG62" r:id="rId36" xr:uid="{00000000-0004-0000-0000-000022000000}"/>
    <hyperlink ref="AG63" r:id="rId37" xr:uid="{00000000-0004-0000-0000-000023000000}"/>
    <hyperlink ref="AG64" r:id="rId38" xr:uid="{00000000-0004-0000-0000-000024000000}"/>
    <hyperlink ref="AG65" r:id="rId39" xr:uid="{00000000-0004-0000-0000-000025000000}"/>
    <hyperlink ref="AG66" r:id="rId40" xr:uid="{00000000-0004-0000-0000-000026000000}"/>
    <hyperlink ref="AG68" r:id="rId41" xr:uid="{00000000-0004-0000-0000-000027000000}"/>
    <hyperlink ref="AG70" r:id="rId42" xr:uid="{00000000-0004-0000-0000-000028000000}"/>
    <hyperlink ref="AG71" r:id="rId43" xr:uid="{00000000-0004-0000-0000-000029000000}"/>
    <hyperlink ref="AG74" r:id="rId44" xr:uid="{00000000-0004-0000-0000-00002A000000}"/>
    <hyperlink ref="AG75" r:id="rId45" xr:uid="{00000000-0004-0000-0000-00002B000000}"/>
    <hyperlink ref="AG77" r:id="rId46" xr:uid="{00000000-0004-0000-0000-00002C000000}"/>
    <hyperlink ref="AG81" r:id="rId47" xr:uid="{00000000-0004-0000-0000-00002D000000}"/>
    <hyperlink ref="AG90" r:id="rId48" xr:uid="{00000000-0004-0000-0000-00002E000000}"/>
    <hyperlink ref="AG93" r:id="rId49" xr:uid="{00000000-0004-0000-0000-00002F000000}"/>
    <hyperlink ref="AG94" r:id="rId50" xr:uid="{00000000-0004-0000-0000-000030000000}"/>
    <hyperlink ref="AG95" r:id="rId51" xr:uid="{00000000-0004-0000-0000-000031000000}"/>
    <hyperlink ref="AG96" r:id="rId52" xr:uid="{00000000-0004-0000-0000-000032000000}"/>
    <hyperlink ref="AG97" r:id="rId53" xr:uid="{00000000-0004-0000-0000-000033000000}"/>
    <hyperlink ref="AG98" r:id="rId54" xr:uid="{00000000-0004-0000-0000-000034000000}"/>
    <hyperlink ref="AG101" r:id="rId55" xr:uid="{00000000-0004-0000-0000-000035000000}"/>
    <hyperlink ref="AG103" r:id="rId56" xr:uid="{00000000-0004-0000-0000-000036000000}"/>
    <hyperlink ref="AG104" r:id="rId57" xr:uid="{00000000-0004-0000-0000-000037000000}"/>
    <hyperlink ref="AG105" r:id="rId58" xr:uid="{00000000-0004-0000-0000-000038000000}"/>
    <hyperlink ref="AG106" r:id="rId59" xr:uid="{00000000-0004-0000-0000-000039000000}"/>
    <hyperlink ref="AG107" r:id="rId60" xr:uid="{00000000-0004-0000-0000-00003A000000}"/>
    <hyperlink ref="AG108" r:id="rId61" xr:uid="{00000000-0004-0000-0000-00003B000000}"/>
    <hyperlink ref="AG109" r:id="rId62" xr:uid="{00000000-0004-0000-0000-00003C000000}"/>
    <hyperlink ref="AG112" r:id="rId63" xr:uid="{00000000-0004-0000-0000-00003D000000}"/>
    <hyperlink ref="AG113" r:id="rId64" xr:uid="{00000000-0004-0000-0000-00003E000000}"/>
    <hyperlink ref="AG114" r:id="rId65" xr:uid="{00000000-0004-0000-0000-00003F000000}"/>
    <hyperlink ref="AG115" r:id="rId66" xr:uid="{00000000-0004-0000-0000-000040000000}"/>
    <hyperlink ref="AG116" r:id="rId67" xr:uid="{00000000-0004-0000-0000-000041000000}"/>
    <hyperlink ref="AG119" r:id="rId68" xr:uid="{00000000-0004-0000-0000-000042000000}"/>
    <hyperlink ref="AG128" r:id="rId69" xr:uid="{00000000-0004-0000-0000-000043000000}"/>
    <hyperlink ref="AG130" r:id="rId70" xr:uid="{00000000-0004-0000-0000-000044000000}"/>
    <hyperlink ref="AG132" r:id="rId71" xr:uid="{00000000-0004-0000-0000-000045000000}"/>
    <hyperlink ref="AG133" r:id="rId72" xr:uid="{00000000-0004-0000-0000-000046000000}"/>
    <hyperlink ref="AG136" r:id="rId73" xr:uid="{00000000-0004-0000-0000-000047000000}"/>
    <hyperlink ref="AG137" r:id="rId74" xr:uid="{00000000-0004-0000-0000-000048000000}"/>
    <hyperlink ref="AG138" r:id="rId75" xr:uid="{00000000-0004-0000-0000-000049000000}"/>
    <hyperlink ref="AG139" r:id="rId76" xr:uid="{00000000-0004-0000-0000-00004A000000}"/>
    <hyperlink ref="AG141" r:id="rId77" xr:uid="{00000000-0004-0000-0000-00004B000000}"/>
    <hyperlink ref="AG149" r:id="rId78" xr:uid="{00000000-0004-0000-0000-00004C000000}"/>
    <hyperlink ref="AG150" r:id="rId79" xr:uid="{00000000-0004-0000-0000-00004D000000}"/>
    <hyperlink ref="AG151" r:id="rId80" xr:uid="{00000000-0004-0000-0000-00004E000000}"/>
    <hyperlink ref="AG152" r:id="rId81" xr:uid="{00000000-0004-0000-0000-00004F000000}"/>
    <hyperlink ref="AG153" r:id="rId82" xr:uid="{00000000-0004-0000-0000-000050000000}"/>
    <hyperlink ref="AG154" r:id="rId83" xr:uid="{00000000-0004-0000-0000-000051000000}"/>
    <hyperlink ref="AG155" r:id="rId84" xr:uid="{00000000-0004-0000-0000-000052000000}"/>
    <hyperlink ref="AG157" r:id="rId85" xr:uid="{00000000-0004-0000-0000-000053000000}"/>
    <hyperlink ref="AG158" r:id="rId86" xr:uid="{00000000-0004-0000-0000-000054000000}"/>
    <hyperlink ref="AG162" r:id="rId87" xr:uid="{00000000-0004-0000-0000-000055000000}"/>
    <hyperlink ref="AG164" r:id="rId88" xr:uid="{00000000-0004-0000-0000-000056000000}"/>
    <hyperlink ref="AG166" r:id="rId89" xr:uid="{00000000-0004-0000-0000-000057000000}"/>
    <hyperlink ref="AG169" r:id="rId90" xr:uid="{00000000-0004-0000-0000-000058000000}"/>
    <hyperlink ref="AG171" r:id="rId91" xr:uid="{00000000-0004-0000-0000-000059000000}"/>
    <hyperlink ref="AG174" r:id="rId92" xr:uid="{00000000-0004-0000-0000-00005A000000}"/>
    <hyperlink ref="AG176" r:id="rId93" xr:uid="{00000000-0004-0000-0000-00005B000000}"/>
    <hyperlink ref="AG179" r:id="rId94" xr:uid="{00000000-0004-0000-0000-00005C000000}"/>
    <hyperlink ref="AG184" r:id="rId95" xr:uid="{00000000-0004-0000-0000-00005D000000}"/>
    <hyperlink ref="AG193" r:id="rId96" xr:uid="{00000000-0004-0000-0000-00005E000000}"/>
    <hyperlink ref="AG202" r:id="rId97" xr:uid="{00000000-0004-0000-0000-00005F000000}"/>
    <hyperlink ref="AG204" r:id="rId98" xr:uid="{00000000-0004-0000-0000-000060000000}"/>
    <hyperlink ref="AG205" r:id="rId99" xr:uid="{00000000-0004-0000-0000-000061000000}"/>
    <hyperlink ref="AG206" r:id="rId100" xr:uid="{00000000-0004-0000-0000-000062000000}"/>
    <hyperlink ref="AG207" r:id="rId101" xr:uid="{00000000-0004-0000-0000-000063000000}"/>
    <hyperlink ref="AG210" r:id="rId102" xr:uid="{00000000-0004-0000-0000-000064000000}"/>
    <hyperlink ref="AG215" r:id="rId103" xr:uid="{00000000-0004-0000-0000-000065000000}"/>
    <hyperlink ref="AG217" r:id="rId104" xr:uid="{00000000-0004-0000-0000-000066000000}"/>
    <hyperlink ref="AG218" r:id="rId105" xr:uid="{00000000-0004-0000-0000-000067000000}"/>
    <hyperlink ref="AG223" r:id="rId106" xr:uid="{00000000-0004-0000-0000-000068000000}"/>
    <hyperlink ref="AG226" r:id="rId107" xr:uid="{00000000-0004-0000-0000-000069000000}"/>
    <hyperlink ref="AG227" r:id="rId108" xr:uid="{00000000-0004-0000-0000-00006A000000}"/>
    <hyperlink ref="AG228" r:id="rId109" xr:uid="{00000000-0004-0000-0000-00006B000000}"/>
    <hyperlink ref="AG229" r:id="rId110" xr:uid="{00000000-0004-0000-0000-00006C000000}"/>
    <hyperlink ref="AG230" r:id="rId111" xr:uid="{00000000-0004-0000-0000-00006D000000}"/>
    <hyperlink ref="AG231" r:id="rId112" xr:uid="{00000000-0004-0000-0000-00006E000000}"/>
    <hyperlink ref="AG232" r:id="rId113" xr:uid="{00000000-0004-0000-0000-00006F000000}"/>
    <hyperlink ref="AG234" r:id="rId114" xr:uid="{00000000-0004-0000-0000-000070000000}"/>
    <hyperlink ref="AG236" r:id="rId115" xr:uid="{00000000-0004-0000-0000-000071000000}"/>
    <hyperlink ref="AG246" r:id="rId116" xr:uid="{00000000-0004-0000-0000-000072000000}"/>
    <hyperlink ref="AG250" r:id="rId117" xr:uid="{00000000-0004-0000-0000-000073000000}"/>
    <hyperlink ref="AG252" r:id="rId118" xr:uid="{00000000-0004-0000-0000-000074000000}"/>
    <hyperlink ref="AG253" r:id="rId119" xr:uid="{00000000-0004-0000-0000-000075000000}"/>
    <hyperlink ref="AG255" r:id="rId120" xr:uid="{00000000-0004-0000-0000-000076000000}"/>
    <hyperlink ref="AG257" r:id="rId121" xr:uid="{00000000-0004-0000-0000-000077000000}"/>
    <hyperlink ref="AG258" r:id="rId122" xr:uid="{00000000-0004-0000-0000-000078000000}"/>
    <hyperlink ref="AG259" r:id="rId123" xr:uid="{00000000-0004-0000-0000-000079000000}"/>
    <hyperlink ref="AG260" r:id="rId124" xr:uid="{00000000-0004-0000-0000-00007A000000}"/>
    <hyperlink ref="AG261" r:id="rId125" xr:uid="{00000000-0004-0000-0000-00007B000000}"/>
    <hyperlink ref="AG262" r:id="rId126" xr:uid="{00000000-0004-0000-0000-00007C000000}"/>
    <hyperlink ref="AG266" r:id="rId127" xr:uid="{00000000-0004-0000-0000-00007D000000}"/>
    <hyperlink ref="AG267" r:id="rId128" xr:uid="{00000000-0004-0000-0000-00007E000000}"/>
    <hyperlink ref="AG271" r:id="rId129" xr:uid="{00000000-0004-0000-0000-00007F000000}"/>
    <hyperlink ref="AG272" r:id="rId130" xr:uid="{00000000-0004-0000-0000-000080000000}"/>
    <hyperlink ref="AG278" r:id="rId131" xr:uid="{00000000-0004-0000-0000-000081000000}"/>
    <hyperlink ref="AG279" r:id="rId132" xr:uid="{00000000-0004-0000-0000-000082000000}"/>
    <hyperlink ref="AG280" r:id="rId133" xr:uid="{00000000-0004-0000-0000-000083000000}"/>
    <hyperlink ref="AG286" r:id="rId134" xr:uid="{00000000-0004-0000-0000-000084000000}"/>
    <hyperlink ref="AG296" r:id="rId135" xr:uid="{00000000-0004-0000-0000-000085000000}"/>
    <hyperlink ref="AG309" r:id="rId136" xr:uid="{00000000-0004-0000-0000-000086000000}"/>
    <hyperlink ref="AG310" r:id="rId137" xr:uid="{00000000-0004-0000-0000-000087000000}"/>
    <hyperlink ref="AG312" r:id="rId138" xr:uid="{00000000-0004-0000-0000-000088000000}"/>
    <hyperlink ref="AG356" r:id="rId139" xr:uid="{00000000-0004-0000-0000-000089000000}"/>
    <hyperlink ref="AG429" r:id="rId140" xr:uid="{00000000-0004-0000-0000-00008A000000}"/>
    <hyperlink ref="AG430" r:id="rId141" xr:uid="{00000000-0004-0000-0000-00008B000000}"/>
    <hyperlink ref="AG435" r:id="rId142" xr:uid="{00000000-0004-0000-0000-00008C000000}"/>
    <hyperlink ref="AG437" r:id="rId143" xr:uid="{00000000-0004-0000-0000-00008D000000}"/>
    <hyperlink ref="AG438" r:id="rId144" xr:uid="{00000000-0004-0000-0000-00008E000000}"/>
    <hyperlink ref="AG440" r:id="rId145" xr:uid="{00000000-0004-0000-0000-00008F000000}"/>
    <hyperlink ref="AG450" r:id="rId146" xr:uid="{00000000-0004-0000-0000-000090000000}"/>
    <hyperlink ref="AG452" r:id="rId147" xr:uid="{00000000-0004-0000-0000-000091000000}"/>
    <hyperlink ref="AG453" r:id="rId148" xr:uid="{00000000-0004-0000-0000-000092000000}"/>
    <hyperlink ref="AG454" r:id="rId149" xr:uid="{00000000-0004-0000-0000-000093000000}"/>
    <hyperlink ref="AG455" r:id="rId150" xr:uid="{00000000-0004-0000-0000-000094000000}"/>
    <hyperlink ref="AG456" r:id="rId151" xr:uid="{00000000-0004-0000-0000-000095000000}"/>
    <hyperlink ref="AG457" r:id="rId152" xr:uid="{00000000-0004-0000-0000-000096000000}"/>
    <hyperlink ref="AG458" r:id="rId153" xr:uid="{00000000-0004-0000-0000-000097000000}"/>
    <hyperlink ref="AG459" r:id="rId154" xr:uid="{00000000-0004-0000-0000-000098000000}"/>
    <hyperlink ref="AG462" r:id="rId155" xr:uid="{00000000-0004-0000-0000-000099000000}"/>
    <hyperlink ref="AG464" r:id="rId156" xr:uid="{00000000-0004-0000-0000-00009A000000}"/>
    <hyperlink ref="AG465" r:id="rId157" xr:uid="{00000000-0004-0000-0000-00009B000000}"/>
    <hyperlink ref="AG471" r:id="rId158" xr:uid="{00000000-0004-0000-0000-00009C000000}"/>
    <hyperlink ref="AG472" r:id="rId159" xr:uid="{00000000-0004-0000-0000-00009D000000}"/>
    <hyperlink ref="AG473" r:id="rId160" xr:uid="{00000000-0004-0000-0000-00009E000000}"/>
    <hyperlink ref="AG474" r:id="rId161" xr:uid="{00000000-0004-0000-0000-00009F000000}"/>
    <hyperlink ref="AG475" r:id="rId162" xr:uid="{00000000-0004-0000-0000-0000A0000000}"/>
    <hyperlink ref="AG476" r:id="rId163" xr:uid="{00000000-0004-0000-0000-0000A1000000}"/>
    <hyperlink ref="AG481" r:id="rId164" xr:uid="{00000000-0004-0000-0000-0000A2000000}"/>
    <hyperlink ref="AG482" r:id="rId165" xr:uid="{00000000-0004-0000-0000-0000A3000000}"/>
    <hyperlink ref="AG484" r:id="rId166" xr:uid="{00000000-0004-0000-0000-0000A4000000}"/>
    <hyperlink ref="AG485" r:id="rId167" xr:uid="{00000000-0004-0000-0000-0000A5000000}"/>
    <hyperlink ref="AG486" r:id="rId168" xr:uid="{00000000-0004-0000-0000-0000A6000000}"/>
    <hyperlink ref="AG487" r:id="rId169" xr:uid="{00000000-0004-0000-0000-0000A7000000}"/>
    <hyperlink ref="AG488" r:id="rId170" xr:uid="{00000000-0004-0000-0000-0000A8000000}"/>
    <hyperlink ref="AG522" r:id="rId171" xr:uid="{00000000-0004-0000-0000-0000A9000000}"/>
    <hyperlink ref="AG523" r:id="rId172" xr:uid="{00000000-0004-0000-0000-0000AA000000}"/>
    <hyperlink ref="AG524" r:id="rId173" xr:uid="{00000000-0004-0000-0000-0000AB000000}"/>
    <hyperlink ref="AG536" r:id="rId174" xr:uid="{00000000-0004-0000-0000-0000AC000000}"/>
    <hyperlink ref="AG537" r:id="rId175" xr:uid="{00000000-0004-0000-0000-0000AD000000}"/>
    <hyperlink ref="AG556" r:id="rId176" xr:uid="{00000000-0004-0000-0000-0000AE000000}"/>
    <hyperlink ref="AG558" r:id="rId177" xr:uid="{00000000-0004-0000-0000-0000AF000000}"/>
    <hyperlink ref="AG561" r:id="rId178" xr:uid="{00000000-0004-0000-0000-0000B0000000}"/>
    <hyperlink ref="AG586" r:id="rId179" xr:uid="{00000000-0004-0000-0000-0000B1000000}"/>
    <hyperlink ref="AG589" r:id="rId180" xr:uid="{00000000-0004-0000-0000-0000B2000000}"/>
    <hyperlink ref="AG590" r:id="rId181" xr:uid="{00000000-0004-0000-0000-0000B3000000}"/>
    <hyperlink ref="AG591" r:id="rId182" xr:uid="{00000000-0004-0000-0000-0000B4000000}"/>
    <hyperlink ref="AG592" r:id="rId183" xr:uid="{00000000-0004-0000-0000-0000B5000000}"/>
    <hyperlink ref="AG593" r:id="rId184" xr:uid="{00000000-0004-0000-0000-0000B6000000}"/>
    <hyperlink ref="AG594" r:id="rId185" xr:uid="{00000000-0004-0000-0000-0000B7000000}"/>
    <hyperlink ref="AG750" r:id="rId186" xr:uid="{00000000-0004-0000-0000-0000B8000000}"/>
    <hyperlink ref="AG757" r:id="rId187" xr:uid="{00000000-0004-0000-0000-0000B9000000}"/>
    <hyperlink ref="AG762" r:id="rId188" xr:uid="{00000000-0004-0000-0000-0000BA000000}"/>
    <hyperlink ref="AG777" r:id="rId189" xr:uid="{00000000-0004-0000-0000-0000BB000000}"/>
    <hyperlink ref="AG778" r:id="rId190" xr:uid="{00000000-0004-0000-0000-0000BC000000}"/>
    <hyperlink ref="AG779" r:id="rId191" xr:uid="{00000000-0004-0000-0000-0000BD000000}"/>
    <hyperlink ref="AG780" r:id="rId192" xr:uid="{00000000-0004-0000-0000-0000BE000000}"/>
    <hyperlink ref="AG781" r:id="rId193" xr:uid="{00000000-0004-0000-0000-0000BF000000}"/>
    <hyperlink ref="AG782" r:id="rId194" xr:uid="{00000000-0004-0000-0000-0000C0000000}"/>
    <hyperlink ref="AG783" r:id="rId195" xr:uid="{00000000-0004-0000-0000-0000C1000000}"/>
    <hyperlink ref="AG784" r:id="rId196" xr:uid="{00000000-0004-0000-0000-0000C2000000}"/>
    <hyperlink ref="AG795" r:id="rId197" xr:uid="{00000000-0004-0000-0000-0000C3000000}"/>
    <hyperlink ref="AG798" r:id="rId198" xr:uid="{00000000-0004-0000-0000-0000C4000000}"/>
    <hyperlink ref="AG808" r:id="rId199" xr:uid="{00000000-0004-0000-0000-0000C5000000}"/>
    <hyperlink ref="AG827" r:id="rId200" xr:uid="{00000000-0004-0000-0000-0000C6000000}"/>
    <hyperlink ref="AG836" r:id="rId201" xr:uid="{00000000-0004-0000-0000-0000C7000000}"/>
    <hyperlink ref="AG851" r:id="rId202" xr:uid="{00000000-0004-0000-0000-0000C8000000}"/>
    <hyperlink ref="AG852" r:id="rId203" xr:uid="{00000000-0004-0000-0000-0000C9000000}"/>
    <hyperlink ref="AG854" r:id="rId204" xr:uid="{00000000-0004-0000-0000-0000CA000000}"/>
    <hyperlink ref="AG855" r:id="rId205" xr:uid="{00000000-0004-0000-0000-0000CB000000}"/>
    <hyperlink ref="AG857" r:id="rId206" xr:uid="{00000000-0004-0000-0000-0000CC000000}"/>
    <hyperlink ref="AG858" r:id="rId207" xr:uid="{00000000-0004-0000-0000-0000CD000000}"/>
    <hyperlink ref="AG865" r:id="rId208" xr:uid="{00000000-0004-0000-0000-0000CE000000}"/>
    <hyperlink ref="AG872" r:id="rId209" xr:uid="{00000000-0004-0000-0000-0000CF000000}"/>
    <hyperlink ref="AG873" r:id="rId210" xr:uid="{00000000-0004-0000-0000-0000D0000000}"/>
    <hyperlink ref="AG874" r:id="rId211" xr:uid="{00000000-0004-0000-0000-0000D1000000}"/>
    <hyperlink ref="AG875" r:id="rId212" xr:uid="{00000000-0004-0000-0000-0000D2000000}"/>
    <hyperlink ref="AG880" r:id="rId213" xr:uid="{00000000-0004-0000-0000-0000D3000000}"/>
    <hyperlink ref="AG881" r:id="rId214" xr:uid="{00000000-0004-0000-0000-0000D4000000}"/>
    <hyperlink ref="AG884" r:id="rId215" xr:uid="{00000000-0004-0000-0000-0000D5000000}"/>
    <hyperlink ref="AG885" r:id="rId216" xr:uid="{00000000-0004-0000-0000-0000D6000000}"/>
    <hyperlink ref="AG886" r:id="rId217" xr:uid="{00000000-0004-0000-0000-0000D7000000}"/>
    <hyperlink ref="AG893" r:id="rId218" xr:uid="{00000000-0004-0000-0000-0000D8000000}"/>
    <hyperlink ref="AG896" r:id="rId219" xr:uid="{00000000-0004-0000-0000-0000D9000000}"/>
    <hyperlink ref="AG898" r:id="rId220" xr:uid="{00000000-0004-0000-0000-0000DA000000}"/>
    <hyperlink ref="AG239" r:id="rId221" xr:uid="{00000000-0004-0000-0000-0000DB000000}"/>
    <hyperlink ref="AG134" r:id="rId222" xr:uid="{00000000-0004-0000-0000-0000DC000000}"/>
    <hyperlink ref="AG240" r:id="rId223" xr:uid="{00000000-0004-0000-0000-0000DD000000}"/>
    <hyperlink ref="AG751" r:id="rId224" xr:uid="{00000000-0004-0000-0000-0000DE000000}"/>
    <hyperlink ref="AG772" r:id="rId225" xr:uid="{00000000-0004-0000-0000-0000DF000000}"/>
    <hyperlink ref="AG895" r:id="rId226" xr:uid="{00000000-0004-0000-0000-0000E0000000}"/>
    <hyperlink ref="AG776" r:id="rId227" xr:uid="{00000000-0004-0000-0000-0000E1000000}"/>
    <hyperlink ref="AG775" r:id="rId228" xr:uid="{00000000-0004-0000-0000-0000E2000000}"/>
    <hyperlink ref="AG769" r:id="rId229" xr:uid="{00000000-0004-0000-0000-0000E3000000}"/>
    <hyperlink ref="AG785" r:id="rId230" xr:uid="{00000000-0004-0000-0000-0000E4000000}"/>
    <hyperlink ref="AG894" r:id="rId231" xr:uid="{00000000-0004-0000-0000-0000E5000000}"/>
    <hyperlink ref="AG195" r:id="rId232" xr:uid="{00000000-0004-0000-0000-0000E6000000}"/>
    <hyperlink ref="AG494" r:id="rId233" xr:uid="{00000000-0004-0000-0000-0000E7000000}"/>
    <hyperlink ref="AG167" r:id="rId234" xr:uid="{00000000-0004-0000-0000-0000E8000000}"/>
    <hyperlink ref="AG168" r:id="rId235" xr:uid="{00000000-0004-0000-0000-0000E9000000}"/>
    <hyperlink ref="AG173" r:id="rId236" xr:uid="{00000000-0004-0000-0000-0000EA000000}"/>
    <hyperlink ref="AG201" r:id="rId237" xr:uid="{00000000-0004-0000-0000-0000EB000000}"/>
    <hyperlink ref="AG212" r:id="rId238" xr:uid="{00000000-0004-0000-0000-0000EC000000}"/>
    <hyperlink ref="AG111" r:id="rId239" xr:uid="{00000000-0004-0000-0000-0000ED000000}"/>
    <hyperlink ref="AG838" r:id="rId240" xr:uid="{00000000-0004-0000-0000-0000EE000000}"/>
    <hyperlink ref="AG812" r:id="rId241" xr:uid="{00000000-0004-0000-0000-0000EF000000}"/>
    <hyperlink ref="AG786" r:id="rId242" xr:uid="{00000000-0004-0000-0000-0000F0000000}"/>
    <hyperlink ref="AG787" r:id="rId243" xr:uid="{00000000-0004-0000-0000-0000F1000000}"/>
    <hyperlink ref="AG490" r:id="rId244" xr:uid="{00000000-0004-0000-0000-0000F2000000}"/>
    <hyperlink ref="AG491" r:id="rId245" xr:uid="{00000000-0004-0000-0000-0000F3000000}"/>
    <hyperlink ref="AG492" r:id="rId246" xr:uid="{00000000-0004-0000-0000-0000F4000000}"/>
    <hyperlink ref="AG493" r:id="rId247" xr:uid="{00000000-0004-0000-0000-0000F5000000}"/>
    <hyperlink ref="AG742" r:id="rId248" xr:uid="{00000000-0004-0000-0000-0000F6000000}"/>
    <hyperlink ref="AG740" r:id="rId249" xr:uid="{00000000-0004-0000-0000-0000F7000000}"/>
    <hyperlink ref="AG741" r:id="rId250" xr:uid="{00000000-0004-0000-0000-0000F8000000}"/>
    <hyperlink ref="AG237" r:id="rId251" xr:uid="{00000000-0004-0000-0000-0000F9000000}"/>
    <hyperlink ref="AG122" r:id="rId252" xr:uid="{00000000-0004-0000-0000-0000FA000000}"/>
    <hyperlink ref="AG5" r:id="rId253" xr:uid="{00000000-0004-0000-0000-0000FB000000}"/>
    <hyperlink ref="AG21" r:id="rId254" xr:uid="{00000000-0004-0000-0000-0000FC000000}"/>
    <hyperlink ref="AG46" r:id="rId255" xr:uid="{00000000-0004-0000-0000-0000FD000000}"/>
    <hyperlink ref="AG48" r:id="rId256" xr:uid="{00000000-0004-0000-0000-0000FE000000}"/>
    <hyperlink ref="AG49" r:id="rId257" xr:uid="{00000000-0004-0000-0000-0000FF000000}"/>
    <hyperlink ref="AG53" r:id="rId258" xr:uid="{00000000-0004-0000-0000-000000010000}"/>
    <hyperlink ref="AG142" r:id="rId259" xr:uid="{00000000-0004-0000-0000-000001010000}"/>
    <hyperlink ref="AG197" r:id="rId260" xr:uid="{00000000-0004-0000-0000-000002010000}"/>
    <hyperlink ref="AG200" r:id="rId261" xr:uid="{00000000-0004-0000-0000-000003010000}"/>
    <hyperlink ref="AG203" r:id="rId262" xr:uid="{00000000-0004-0000-0000-000004010000}"/>
    <hyperlink ref="AG209" r:id="rId263" xr:uid="{00000000-0004-0000-0000-000005010000}"/>
    <hyperlink ref="AG219" r:id="rId264" xr:uid="{00000000-0004-0000-0000-000006010000}"/>
    <hyperlink ref="AG233" r:id="rId265" xr:uid="{00000000-0004-0000-0000-000007010000}"/>
    <hyperlink ref="AG235" r:id="rId266" xr:uid="{00000000-0004-0000-0000-000008010000}"/>
    <hyperlink ref="AG254" r:id="rId267" xr:uid="{00000000-0004-0000-0000-000009010000}"/>
    <hyperlink ref="AG739" r:id="rId268" xr:uid="{00000000-0004-0000-0000-00000A010000}"/>
    <hyperlink ref="AG813" r:id="rId269" xr:uid="{00000000-0004-0000-0000-00000B010000}"/>
    <hyperlink ref="AG839" r:id="rId270" xr:uid="{00000000-0004-0000-0000-00000C010000}"/>
    <hyperlink ref="AG413" r:id="rId271" xr:uid="{00000000-0004-0000-0000-00000D010000}"/>
    <hyperlink ref="AG562" r:id="rId272" xr:uid="{00000000-0004-0000-0000-00000E010000}"/>
    <hyperlink ref="AG540" r:id="rId273" xr:uid="{00000000-0004-0000-0000-00000F010000}"/>
    <hyperlink ref="AG856" r:id="rId274" xr:uid="{00000000-0004-0000-0000-000010010000}"/>
    <hyperlink ref="AG117" r:id="rId275" xr:uid="{00000000-0004-0000-0000-000011010000}"/>
    <hyperlink ref="AG241" r:id="rId276" xr:uid="{00000000-0004-0000-0000-000012010000}"/>
    <hyperlink ref="AG144" r:id="rId277" xr:uid="{00000000-0004-0000-0000-000013010000}"/>
    <hyperlink ref="AG878" r:id="rId278" xr:uid="{00000000-0004-0000-0000-000014010000}"/>
    <hyperlink ref="AG89" r:id="rId279" xr:uid="{00000000-0004-0000-0000-000015010000}"/>
    <hyperlink ref="AG859" r:id="rId280" xr:uid="{00000000-0004-0000-0000-000016010000}"/>
    <hyperlink ref="AG495" r:id="rId281" xr:uid="{00000000-0004-0000-0000-000017010000}"/>
    <hyperlink ref="AG125" r:id="rId282" xr:uid="{00000000-0004-0000-0000-000018010000}"/>
    <hyperlink ref="AG789" r:id="rId283" xr:uid="{00000000-0004-0000-0000-000019010000}"/>
    <hyperlink ref="AG148" r:id="rId284" xr:uid="{00000000-0004-0000-0000-00001A010000}"/>
    <hyperlink ref="AG496" r:id="rId285" xr:uid="{00000000-0004-0000-0000-00001B010000}"/>
    <hyperlink ref="AG497" r:id="rId286" xr:uid="{00000000-0004-0000-0000-00001C010000}"/>
    <hyperlink ref="AG242" r:id="rId287" xr:uid="{00000000-0004-0000-0000-00001D010000}"/>
    <hyperlink ref="AG614" r:id="rId288" xr:uid="{00000000-0004-0000-0000-00001E010000}"/>
    <hyperlink ref="AG615" r:id="rId289" xr:uid="{00000000-0004-0000-0000-00001F010000}"/>
    <hyperlink ref="AG616" r:id="rId290" xr:uid="{00000000-0004-0000-0000-000020010000}"/>
    <hyperlink ref="AG617" r:id="rId291" xr:uid="{00000000-0004-0000-0000-000021010000}"/>
    <hyperlink ref="AG244" r:id="rId292" xr:uid="{00000000-0004-0000-0000-000022010000}"/>
    <hyperlink ref="AG140" r:id="rId293" xr:uid="{00000000-0004-0000-0000-000023010000}"/>
    <hyperlink ref="AG245" r:id="rId294" xr:uid="{00000000-0004-0000-0000-000024010000}"/>
  </hyperlinks>
  <pageMargins left="0.7" right="0.7" top="0.75" bottom="0.75" header="0" footer="0"/>
  <pageSetup orientation="portrait" r:id="rId295"/>
  <headerFooter>
    <oddFooter>&amp;LFS1-010-049&amp;CPag. 1 of 1&amp;RRev. 03 22-NOV-2016.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XFD1288"/>
  <sheetViews>
    <sheetView showGridLines="0" tabSelected="1" topLeftCell="B1" zoomScale="80" zoomScaleNormal="80" workbookViewId="0">
      <pane xSplit="7" ySplit="2" topLeftCell="I3" activePane="bottomRight" state="frozen"/>
      <selection activeCell="B1" sqref="B1"/>
      <selection pane="topRight" activeCell="I1" sqref="I1"/>
      <selection pane="bottomLeft" activeCell="B3" sqref="B3"/>
      <selection pane="bottomRight" activeCell="L3" sqref="L3"/>
    </sheetView>
  </sheetViews>
  <sheetFormatPr defaultColWidth="8.88671875" defaultRowHeight="12" outlineLevelCol="1" x14ac:dyDescent="0.25"/>
  <cols>
    <col min="1" max="1" width="7" style="131" hidden="1" customWidth="1"/>
    <col min="2" max="2" width="10.109375" style="131" customWidth="1"/>
    <col min="3" max="3" width="14.44140625" style="131" customWidth="1"/>
    <col min="4" max="4" width="37.109375" style="131" customWidth="1"/>
    <col min="5" max="5" width="9.44140625" style="130" customWidth="1"/>
    <col min="6" max="6" width="21.33203125" style="131" customWidth="1"/>
    <col min="7" max="7" width="6.88671875" style="130" customWidth="1"/>
    <col min="8" max="8" width="11.44140625" style="192" customWidth="1"/>
    <col min="9" max="9" width="30" style="240" customWidth="1"/>
    <col min="10" max="10" width="11.109375" style="140" customWidth="1"/>
    <col min="11" max="11" width="13.6640625" style="130" customWidth="1"/>
    <col min="12" max="12" width="11.33203125" style="130" customWidth="1"/>
    <col min="13" max="13" width="10.109375" style="130" customWidth="1"/>
    <col min="14" max="14" width="11.88671875" style="350" customWidth="1"/>
    <col min="15" max="15" width="13" style="200" customWidth="1" outlineLevel="1"/>
    <col min="16" max="16" width="15.109375" style="130" customWidth="1"/>
    <col min="17" max="17" width="13.33203125" style="188" customWidth="1" collapsed="1"/>
    <col min="18" max="18" width="12.33203125" style="211" customWidth="1"/>
    <col min="19" max="19" width="16" style="130" customWidth="1"/>
    <col min="20" max="20" width="21.5546875" style="131" customWidth="1"/>
    <col min="21" max="21" width="15.6640625" style="130" customWidth="1"/>
    <col min="22" max="22" width="22.5546875" style="131" customWidth="1"/>
    <col min="23" max="23" width="19.44140625" style="130" bestFit="1" customWidth="1"/>
    <col min="24" max="24" width="18.6640625" style="130" customWidth="1"/>
    <col min="25" max="25" width="10" style="218" customWidth="1"/>
    <col min="26" max="26" width="10.33203125" style="219" customWidth="1"/>
    <col min="27" max="27" width="10.77734375" style="213" bestFit="1" customWidth="1"/>
    <col min="28" max="28" width="17.33203125" style="214" bestFit="1" customWidth="1"/>
    <col min="29" max="29" width="8.88671875" style="214" customWidth="1"/>
    <col min="30" max="33" width="8.88671875" style="212" customWidth="1"/>
    <col min="34" max="16384" width="8.88671875" style="212"/>
  </cols>
  <sheetData>
    <row r="1" spans="1:29" ht="22.2" customHeight="1" x14ac:dyDescent="0.25">
      <c r="B1" s="132" t="s">
        <v>1610</v>
      </c>
      <c r="C1" s="345"/>
      <c r="D1" s="346"/>
      <c r="E1" s="296"/>
      <c r="F1" s="133"/>
      <c r="G1" s="184"/>
      <c r="H1" s="189"/>
      <c r="I1" s="236"/>
      <c r="J1" s="227" t="s">
        <v>1811</v>
      </c>
      <c r="K1" s="358" t="s">
        <v>1785</v>
      </c>
      <c r="L1" s="358"/>
      <c r="M1" s="358"/>
      <c r="N1" s="347"/>
      <c r="O1" s="193"/>
      <c r="P1" s="164"/>
      <c r="Q1" s="186"/>
      <c r="R1" s="203"/>
      <c r="S1" s="164"/>
      <c r="T1" s="132"/>
      <c r="U1" s="162"/>
      <c r="V1" s="135"/>
      <c r="W1" s="162"/>
      <c r="Y1" s="359">
        <v>0.92307692307692313</v>
      </c>
      <c r="Z1" s="360"/>
      <c r="AA1" s="212"/>
    </row>
    <row r="2" spans="1:29" s="213" customFormat="1" ht="20.399999999999999" customHeight="1" x14ac:dyDescent="0.25">
      <c r="A2" s="142" t="s">
        <v>2129</v>
      </c>
      <c r="B2" s="126" t="s">
        <v>1</v>
      </c>
      <c r="C2" s="126" t="s">
        <v>2</v>
      </c>
      <c r="D2" s="324" t="s">
        <v>3</v>
      </c>
      <c r="E2" s="126" t="s">
        <v>4</v>
      </c>
      <c r="F2" s="126" t="s">
        <v>1823</v>
      </c>
      <c r="G2" s="126" t="s">
        <v>6</v>
      </c>
      <c r="H2" s="190" t="s">
        <v>7</v>
      </c>
      <c r="I2" s="232" t="s">
        <v>1800</v>
      </c>
      <c r="J2" s="144" t="s">
        <v>1724</v>
      </c>
      <c r="K2" s="183" t="s">
        <v>1782</v>
      </c>
      <c r="L2" s="183" t="s">
        <v>1783</v>
      </c>
      <c r="M2" s="183" t="s">
        <v>1784</v>
      </c>
      <c r="N2" s="326" t="s">
        <v>9</v>
      </c>
      <c r="O2" s="194" t="s">
        <v>1541</v>
      </c>
      <c r="P2" s="145" t="s">
        <v>1540</v>
      </c>
      <c r="Q2" s="201" t="s">
        <v>18</v>
      </c>
      <c r="R2" s="204" t="s">
        <v>19</v>
      </c>
      <c r="S2" s="126" t="s">
        <v>21</v>
      </c>
      <c r="T2" s="126" t="s">
        <v>23</v>
      </c>
      <c r="U2" s="126" t="s">
        <v>25</v>
      </c>
      <c r="V2" s="126" t="s">
        <v>1601</v>
      </c>
      <c r="W2" s="126" t="s">
        <v>1802</v>
      </c>
      <c r="X2" s="307" t="s">
        <v>1907</v>
      </c>
      <c r="Y2" s="308" t="s">
        <v>1820</v>
      </c>
      <c r="Z2" s="308" t="s">
        <v>1821</v>
      </c>
      <c r="AA2" s="308" t="s">
        <v>2073</v>
      </c>
      <c r="AB2" s="308" t="s">
        <v>2537</v>
      </c>
      <c r="AC2" s="273"/>
    </row>
    <row r="3" spans="1:29" ht="24" x14ac:dyDescent="0.25">
      <c r="A3" s="131">
        <v>1</v>
      </c>
      <c r="B3" s="129">
        <v>1101042</v>
      </c>
      <c r="C3" s="127" t="s">
        <v>30</v>
      </c>
      <c r="D3" s="127" t="s">
        <v>2669</v>
      </c>
      <c r="E3" s="151" t="s">
        <v>32</v>
      </c>
      <c r="F3" s="129" t="s">
        <v>307</v>
      </c>
      <c r="G3" s="147" t="s">
        <v>34</v>
      </c>
      <c r="H3" s="191">
        <f t="shared" ref="H3:H66" si="0">Q3+R3</f>
        <v>5.21</v>
      </c>
      <c r="I3" s="222" t="s">
        <v>2228</v>
      </c>
      <c r="J3" s="146">
        <v>0</v>
      </c>
      <c r="K3" s="147">
        <v>7</v>
      </c>
      <c r="L3" s="147">
        <v>1</v>
      </c>
      <c r="M3" s="147">
        <v>8</v>
      </c>
      <c r="N3" s="289">
        <v>1300.7140000000002</v>
      </c>
      <c r="O3" s="174">
        <v>2.5356073664156762</v>
      </c>
      <c r="P3" s="180">
        <v>46139</v>
      </c>
      <c r="Q3" s="174">
        <v>5.16</v>
      </c>
      <c r="R3" s="205">
        <v>0.05</v>
      </c>
      <c r="S3" s="165" t="s">
        <v>35</v>
      </c>
      <c r="T3" s="129" t="s">
        <v>36</v>
      </c>
      <c r="U3" s="147" t="s">
        <v>37</v>
      </c>
      <c r="V3" s="129"/>
      <c r="W3" s="147" t="s">
        <v>2213</v>
      </c>
      <c r="X3" s="215" t="s">
        <v>1009</v>
      </c>
      <c r="Y3" s="216">
        <v>151.59375000000003</v>
      </c>
      <c r="Z3" s="216">
        <v>192.93750000000003</v>
      </c>
      <c r="AA3" s="263"/>
      <c r="AB3" s="305"/>
    </row>
    <row r="4" spans="1:29" ht="24" hidden="1" x14ac:dyDescent="0.25">
      <c r="A4" s="131">
        <v>1</v>
      </c>
      <c r="B4" s="129">
        <v>1101043</v>
      </c>
      <c r="C4" s="127" t="s">
        <v>30</v>
      </c>
      <c r="D4" s="127" t="s">
        <v>42</v>
      </c>
      <c r="E4" s="151" t="s">
        <v>259</v>
      </c>
      <c r="F4" s="129" t="s">
        <v>33</v>
      </c>
      <c r="G4" s="147" t="s">
        <v>34</v>
      </c>
      <c r="H4" s="191">
        <f t="shared" si="0"/>
        <v>2.585</v>
      </c>
      <c r="I4" s="222" t="s">
        <v>2228</v>
      </c>
      <c r="J4" s="146">
        <v>0</v>
      </c>
      <c r="K4" s="147">
        <v>5</v>
      </c>
      <c r="L4" s="147">
        <v>1</v>
      </c>
      <c r="M4" s="147">
        <v>6</v>
      </c>
      <c r="N4" s="289">
        <v>8994.768</v>
      </c>
      <c r="O4" s="196">
        <v>2.2669999999999999</v>
      </c>
      <c r="P4" s="180">
        <v>44974</v>
      </c>
      <c r="Q4" s="174">
        <v>2.585</v>
      </c>
      <c r="R4" s="205">
        <v>0</v>
      </c>
      <c r="S4" s="165"/>
      <c r="T4" s="129" t="s">
        <v>44</v>
      </c>
      <c r="U4" s="147" t="s">
        <v>37</v>
      </c>
      <c r="V4" s="129"/>
      <c r="W4" s="177" t="s">
        <v>54</v>
      </c>
      <c r="X4" s="215"/>
      <c r="Y4" s="216">
        <v>0</v>
      </c>
      <c r="Z4" s="216">
        <v>0</v>
      </c>
      <c r="AA4" s="263"/>
      <c r="AB4" s="305"/>
    </row>
    <row r="5" spans="1:29" ht="24" x14ac:dyDescent="0.25">
      <c r="A5" s="131">
        <v>1</v>
      </c>
      <c r="B5" s="129">
        <v>1101044</v>
      </c>
      <c r="C5" s="127" t="s">
        <v>30</v>
      </c>
      <c r="D5" s="129" t="s">
        <v>45</v>
      </c>
      <c r="E5" s="151" t="s">
        <v>46</v>
      </c>
      <c r="F5" s="129" t="s">
        <v>47</v>
      </c>
      <c r="G5" s="147" t="s">
        <v>34</v>
      </c>
      <c r="H5" s="191">
        <f t="shared" si="0"/>
        <v>2.66</v>
      </c>
      <c r="I5" s="222" t="s">
        <v>2228</v>
      </c>
      <c r="J5" s="146">
        <v>30</v>
      </c>
      <c r="K5" s="147">
        <v>9</v>
      </c>
      <c r="L5" s="147">
        <v>1</v>
      </c>
      <c r="M5" s="147">
        <v>10</v>
      </c>
      <c r="N5" s="289">
        <v>6400</v>
      </c>
      <c r="O5" s="195">
        <v>2.66</v>
      </c>
      <c r="P5" s="180">
        <v>45947</v>
      </c>
      <c r="Q5" s="174">
        <v>2.66</v>
      </c>
      <c r="R5" s="207">
        <v>0</v>
      </c>
      <c r="S5" s="165" t="s">
        <v>35</v>
      </c>
      <c r="T5" s="129" t="s">
        <v>36</v>
      </c>
      <c r="U5" s="147" t="s">
        <v>37</v>
      </c>
      <c r="V5" s="129"/>
      <c r="W5" s="147" t="s">
        <v>2213</v>
      </c>
      <c r="X5" s="215" t="s">
        <v>1905</v>
      </c>
      <c r="Y5" s="216">
        <v>14147.71350416667</v>
      </c>
      <c r="Z5" s="216">
        <v>17412.570466666672</v>
      </c>
      <c r="AA5" s="263"/>
      <c r="AB5" s="305"/>
      <c r="AC5" s="285"/>
    </row>
    <row r="6" spans="1:29" ht="36" x14ac:dyDescent="0.25">
      <c r="A6" s="131">
        <v>1</v>
      </c>
      <c r="B6" s="129">
        <v>1101045</v>
      </c>
      <c r="C6" s="127" t="s">
        <v>30</v>
      </c>
      <c r="D6" s="127" t="s">
        <v>2412</v>
      </c>
      <c r="E6" s="147" t="s">
        <v>545</v>
      </c>
      <c r="F6" s="129" t="s">
        <v>1888</v>
      </c>
      <c r="G6" s="147" t="s">
        <v>34</v>
      </c>
      <c r="H6" s="191">
        <f t="shared" si="0"/>
        <v>5.75</v>
      </c>
      <c r="I6" s="222" t="s">
        <v>2354</v>
      </c>
      <c r="J6" s="146">
        <v>0</v>
      </c>
      <c r="K6" s="147">
        <v>8</v>
      </c>
      <c r="L6" s="147">
        <v>2</v>
      </c>
      <c r="M6" s="147">
        <v>10</v>
      </c>
      <c r="N6" s="289">
        <v>220</v>
      </c>
      <c r="O6" s="195">
        <v>7.77</v>
      </c>
      <c r="P6" s="180">
        <v>45434</v>
      </c>
      <c r="Q6" s="174">
        <v>5.7</v>
      </c>
      <c r="R6" s="205">
        <v>0.05</v>
      </c>
      <c r="S6" s="165"/>
      <c r="T6" s="129" t="s">
        <v>36</v>
      </c>
      <c r="U6" s="147" t="s">
        <v>37</v>
      </c>
      <c r="V6" s="129"/>
      <c r="W6" s="147" t="s">
        <v>2213</v>
      </c>
      <c r="X6" s="215" t="s">
        <v>1914</v>
      </c>
      <c r="Y6" s="216">
        <v>179.51429166666662</v>
      </c>
      <c r="Z6" s="216">
        <v>220.94066666666663</v>
      </c>
      <c r="AA6" s="263"/>
      <c r="AB6" s="305"/>
    </row>
    <row r="7" spans="1:29" ht="24" hidden="1" x14ac:dyDescent="0.25">
      <c r="A7" s="131">
        <v>1</v>
      </c>
      <c r="B7" s="129">
        <v>1101046</v>
      </c>
      <c r="C7" s="127" t="s">
        <v>30</v>
      </c>
      <c r="D7" s="127" t="s">
        <v>53</v>
      </c>
      <c r="E7" s="151" t="s">
        <v>32</v>
      </c>
      <c r="F7" s="129" t="s">
        <v>33</v>
      </c>
      <c r="G7" s="147" t="s">
        <v>34</v>
      </c>
      <c r="H7" s="191">
        <f t="shared" si="0"/>
        <v>0</v>
      </c>
      <c r="I7" s="222" t="s">
        <v>2228</v>
      </c>
      <c r="J7" s="146">
        <v>0</v>
      </c>
      <c r="K7" s="147">
        <v>5</v>
      </c>
      <c r="L7" s="147">
        <v>1</v>
      </c>
      <c r="M7" s="147">
        <v>6</v>
      </c>
      <c r="N7" s="289"/>
      <c r="O7" s="196"/>
      <c r="P7" s="180"/>
      <c r="Q7" s="174"/>
      <c r="R7" s="206">
        <v>0</v>
      </c>
      <c r="S7" s="165"/>
      <c r="T7" s="129" t="s">
        <v>55</v>
      </c>
      <c r="U7" s="147" t="s">
        <v>37</v>
      </c>
      <c r="V7" s="129"/>
      <c r="W7" s="163" t="s">
        <v>54</v>
      </c>
      <c r="X7" s="215"/>
      <c r="Y7" s="216">
        <v>0</v>
      </c>
      <c r="Z7" s="216">
        <v>0</v>
      </c>
      <c r="AA7" s="263"/>
      <c r="AB7" s="305"/>
    </row>
    <row r="8" spans="1:29" s="182" customFormat="1" hidden="1" x14ac:dyDescent="0.25">
      <c r="A8" s="131">
        <v>1</v>
      </c>
      <c r="B8" s="129">
        <v>1101047</v>
      </c>
      <c r="C8" s="127" t="s">
        <v>30</v>
      </c>
      <c r="D8" s="127" t="s">
        <v>56</v>
      </c>
      <c r="E8" s="151" t="s">
        <v>32</v>
      </c>
      <c r="F8" s="138" t="s">
        <v>57</v>
      </c>
      <c r="G8" s="147" t="s">
        <v>34</v>
      </c>
      <c r="H8" s="191">
        <f t="shared" si="0"/>
        <v>0</v>
      </c>
      <c r="I8" s="225"/>
      <c r="J8" s="149"/>
      <c r="K8" s="147">
        <v>12</v>
      </c>
      <c r="L8" s="147">
        <v>1</v>
      </c>
      <c r="M8" s="147">
        <v>13</v>
      </c>
      <c r="N8" s="289"/>
      <c r="O8" s="196"/>
      <c r="P8" s="180"/>
      <c r="Q8" s="174"/>
      <c r="R8" s="206">
        <v>0</v>
      </c>
      <c r="S8" s="165"/>
      <c r="T8" s="129" t="s">
        <v>58</v>
      </c>
      <c r="U8" s="147" t="s">
        <v>35</v>
      </c>
      <c r="V8" s="129"/>
      <c r="W8" s="163" t="s">
        <v>54</v>
      </c>
      <c r="X8" s="215"/>
      <c r="Y8" s="216">
        <v>0</v>
      </c>
      <c r="Z8" s="216">
        <v>0</v>
      </c>
      <c r="AA8" s="263"/>
      <c r="AB8" s="305"/>
      <c r="AC8" s="214"/>
    </row>
    <row r="9" spans="1:29" s="182" customFormat="1" hidden="1" x14ac:dyDescent="0.25">
      <c r="A9" s="131">
        <v>1</v>
      </c>
      <c r="B9" s="129">
        <v>1101049</v>
      </c>
      <c r="C9" s="127" t="s">
        <v>30</v>
      </c>
      <c r="D9" s="127" t="s">
        <v>59</v>
      </c>
      <c r="E9" s="151" t="s">
        <v>32</v>
      </c>
      <c r="F9" s="138" t="s">
        <v>57</v>
      </c>
      <c r="G9" s="147" t="s">
        <v>34</v>
      </c>
      <c r="H9" s="191">
        <f t="shared" si="0"/>
        <v>0</v>
      </c>
      <c r="I9" s="225"/>
      <c r="J9" s="149"/>
      <c r="K9" s="147">
        <v>12</v>
      </c>
      <c r="L9" s="147">
        <v>1</v>
      </c>
      <c r="M9" s="147">
        <v>13</v>
      </c>
      <c r="N9" s="289"/>
      <c r="O9" s="196"/>
      <c r="P9" s="180"/>
      <c r="Q9" s="174"/>
      <c r="R9" s="206">
        <v>0</v>
      </c>
      <c r="S9" s="165"/>
      <c r="T9" s="129" t="s">
        <v>58</v>
      </c>
      <c r="U9" s="147" t="s">
        <v>35</v>
      </c>
      <c r="V9" s="129"/>
      <c r="W9" s="163" t="s">
        <v>54</v>
      </c>
      <c r="X9" s="215"/>
      <c r="Y9" s="216">
        <v>0</v>
      </c>
      <c r="Z9" s="216">
        <v>0</v>
      </c>
      <c r="AA9" s="263"/>
      <c r="AB9" s="305"/>
      <c r="AC9" s="214"/>
    </row>
    <row r="10" spans="1:29" s="182" customFormat="1" hidden="1" x14ac:dyDescent="0.25">
      <c r="A10" s="131">
        <v>1</v>
      </c>
      <c r="B10" s="129">
        <v>1101050</v>
      </c>
      <c r="C10" s="127" t="s">
        <v>30</v>
      </c>
      <c r="D10" s="127" t="s">
        <v>60</v>
      </c>
      <c r="E10" s="151" t="s">
        <v>32</v>
      </c>
      <c r="F10" s="138" t="s">
        <v>57</v>
      </c>
      <c r="G10" s="147" t="s">
        <v>34</v>
      </c>
      <c r="H10" s="191">
        <f t="shared" si="0"/>
        <v>0</v>
      </c>
      <c r="I10" s="225"/>
      <c r="J10" s="149"/>
      <c r="K10" s="147">
        <v>12</v>
      </c>
      <c r="L10" s="147">
        <v>1</v>
      </c>
      <c r="M10" s="147">
        <v>13</v>
      </c>
      <c r="N10" s="289"/>
      <c r="O10" s="196"/>
      <c r="P10" s="180"/>
      <c r="Q10" s="174"/>
      <c r="R10" s="206">
        <v>0</v>
      </c>
      <c r="S10" s="165"/>
      <c r="T10" s="129" t="s">
        <v>58</v>
      </c>
      <c r="U10" s="147" t="s">
        <v>35</v>
      </c>
      <c r="V10" s="129"/>
      <c r="W10" s="163" t="s">
        <v>54</v>
      </c>
      <c r="X10" s="215"/>
      <c r="Y10" s="216">
        <v>0</v>
      </c>
      <c r="Z10" s="216">
        <v>0</v>
      </c>
      <c r="AA10" s="263"/>
      <c r="AB10" s="305"/>
      <c r="AC10" s="214"/>
    </row>
    <row r="11" spans="1:29" x14ac:dyDescent="0.25">
      <c r="A11" s="131">
        <v>1</v>
      </c>
      <c r="B11" s="129">
        <v>1101051</v>
      </c>
      <c r="C11" s="127" t="s">
        <v>30</v>
      </c>
      <c r="D11" s="127" t="s">
        <v>1684</v>
      </c>
      <c r="E11" s="151" t="s">
        <v>259</v>
      </c>
      <c r="F11" s="129" t="s">
        <v>307</v>
      </c>
      <c r="G11" s="147" t="s">
        <v>34</v>
      </c>
      <c r="H11" s="191">
        <f t="shared" si="0"/>
        <v>6.49</v>
      </c>
      <c r="I11" s="222" t="s">
        <v>2084</v>
      </c>
      <c r="J11" s="146">
        <v>0</v>
      </c>
      <c r="K11" s="147">
        <v>8</v>
      </c>
      <c r="L11" s="147">
        <v>2</v>
      </c>
      <c r="M11" s="147">
        <v>10</v>
      </c>
      <c r="N11" s="289">
        <v>400</v>
      </c>
      <c r="O11" s="195">
        <v>6.87</v>
      </c>
      <c r="P11" s="180">
        <v>45072</v>
      </c>
      <c r="Q11" s="174">
        <v>6.44</v>
      </c>
      <c r="R11" s="205">
        <v>0.05</v>
      </c>
      <c r="S11" s="165"/>
      <c r="T11" s="129" t="s">
        <v>284</v>
      </c>
      <c r="U11" s="147" t="s">
        <v>35</v>
      </c>
      <c r="V11" s="129"/>
      <c r="W11" s="147" t="s">
        <v>2213</v>
      </c>
      <c r="X11" s="215" t="s">
        <v>1009</v>
      </c>
      <c r="Y11" s="216">
        <v>136.21481249999997</v>
      </c>
      <c r="Z11" s="216">
        <v>167.64899999999997</v>
      </c>
      <c r="AA11" s="265" t="s">
        <v>2134</v>
      </c>
      <c r="AB11" s="305"/>
    </row>
    <row r="12" spans="1:29" ht="24" hidden="1" x14ac:dyDescent="0.25">
      <c r="A12" s="131">
        <v>1</v>
      </c>
      <c r="B12" s="129">
        <v>1101052</v>
      </c>
      <c r="C12" s="127" t="s">
        <v>30</v>
      </c>
      <c r="D12" s="127" t="s">
        <v>63</v>
      </c>
      <c r="E12" s="151" t="s">
        <v>259</v>
      </c>
      <c r="F12" s="129" t="s">
        <v>33</v>
      </c>
      <c r="G12" s="147" t="s">
        <v>34</v>
      </c>
      <c r="H12" s="191">
        <f t="shared" si="0"/>
        <v>0</v>
      </c>
      <c r="I12" s="222" t="s">
        <v>2228</v>
      </c>
      <c r="J12" s="146">
        <v>0</v>
      </c>
      <c r="K12" s="147">
        <v>5</v>
      </c>
      <c r="L12" s="147">
        <v>1</v>
      </c>
      <c r="M12" s="147">
        <v>6</v>
      </c>
      <c r="N12" s="289"/>
      <c r="O12" s="196"/>
      <c r="P12" s="180"/>
      <c r="Q12" s="174"/>
      <c r="R12" s="206">
        <v>0</v>
      </c>
      <c r="S12" s="165"/>
      <c r="T12" s="129" t="s">
        <v>64</v>
      </c>
      <c r="U12" s="147" t="s">
        <v>37</v>
      </c>
      <c r="V12" s="129"/>
      <c r="W12" s="163" t="s">
        <v>54</v>
      </c>
      <c r="X12" s="215"/>
      <c r="Y12" s="216">
        <v>0</v>
      </c>
      <c r="Z12" s="216">
        <v>0</v>
      </c>
      <c r="AA12" s="263"/>
      <c r="AB12" s="305"/>
    </row>
    <row r="13" spans="1:29" hidden="1" x14ac:dyDescent="0.25">
      <c r="A13" s="131">
        <v>1</v>
      </c>
      <c r="B13" s="129">
        <v>1101053</v>
      </c>
      <c r="C13" s="127" t="s">
        <v>30</v>
      </c>
      <c r="D13" s="127" t="s">
        <v>65</v>
      </c>
      <c r="E13" s="151" t="s">
        <v>66</v>
      </c>
      <c r="F13" s="129" t="s">
        <v>1791</v>
      </c>
      <c r="G13" s="147" t="s">
        <v>34</v>
      </c>
      <c r="H13" s="191">
        <f t="shared" si="0"/>
        <v>0</v>
      </c>
      <c r="I13" s="181" t="s">
        <v>2084</v>
      </c>
      <c r="J13" s="148">
        <v>30</v>
      </c>
      <c r="K13" s="147">
        <v>5</v>
      </c>
      <c r="L13" s="147">
        <v>2</v>
      </c>
      <c r="M13" s="147">
        <v>7</v>
      </c>
      <c r="N13" s="289"/>
      <c r="O13" s="196"/>
      <c r="P13" s="180"/>
      <c r="Q13" s="174"/>
      <c r="R13" s="206">
        <v>0</v>
      </c>
      <c r="S13" s="165"/>
      <c r="T13" s="129" t="s">
        <v>36</v>
      </c>
      <c r="U13" s="147" t="s">
        <v>37</v>
      </c>
      <c r="V13" s="129"/>
      <c r="W13" s="163" t="s">
        <v>54</v>
      </c>
      <c r="X13" s="215"/>
      <c r="Y13" s="216">
        <v>0</v>
      </c>
      <c r="Z13" s="216">
        <v>0</v>
      </c>
      <c r="AA13" s="263"/>
      <c r="AB13" s="305"/>
    </row>
    <row r="14" spans="1:29" s="182" customFormat="1" hidden="1" x14ac:dyDescent="0.25">
      <c r="A14" s="131">
        <v>1</v>
      </c>
      <c r="B14" s="129">
        <v>1101054</v>
      </c>
      <c r="C14" s="127" t="s">
        <v>30</v>
      </c>
      <c r="D14" s="127" t="s">
        <v>70</v>
      </c>
      <c r="E14" s="151" t="s">
        <v>32</v>
      </c>
      <c r="F14" s="129" t="s">
        <v>71</v>
      </c>
      <c r="G14" s="147" t="s">
        <v>34</v>
      </c>
      <c r="H14" s="191">
        <f t="shared" si="0"/>
        <v>0</v>
      </c>
      <c r="I14" s="134"/>
      <c r="J14" s="150"/>
      <c r="K14" s="147"/>
      <c r="L14" s="147"/>
      <c r="M14" s="147">
        <v>6</v>
      </c>
      <c r="N14" s="289"/>
      <c r="O14" s="196"/>
      <c r="P14" s="180"/>
      <c r="Q14" s="174"/>
      <c r="R14" s="205"/>
      <c r="S14" s="165"/>
      <c r="T14" s="129" t="s">
        <v>58</v>
      </c>
      <c r="U14" s="147" t="s">
        <v>35</v>
      </c>
      <c r="V14" s="129"/>
      <c r="W14" s="177" t="s">
        <v>54</v>
      </c>
      <c r="X14" s="215"/>
      <c r="Y14" s="216">
        <v>0</v>
      </c>
      <c r="Z14" s="216">
        <v>0</v>
      </c>
      <c r="AA14" s="263"/>
      <c r="AB14" s="305"/>
      <c r="AC14" s="212"/>
    </row>
    <row r="15" spans="1:29" s="182" customFormat="1" hidden="1" x14ac:dyDescent="0.25">
      <c r="A15" s="131">
        <v>1</v>
      </c>
      <c r="B15" s="129">
        <v>1101055</v>
      </c>
      <c r="C15" s="127" t="s">
        <v>30</v>
      </c>
      <c r="D15" s="127" t="s">
        <v>72</v>
      </c>
      <c r="E15" s="151" t="s">
        <v>66</v>
      </c>
      <c r="F15" s="129" t="s">
        <v>73</v>
      </c>
      <c r="G15" s="147" t="s">
        <v>34</v>
      </c>
      <c r="H15" s="191">
        <f t="shared" si="0"/>
        <v>0</v>
      </c>
      <c r="I15" s="225"/>
      <c r="J15" s="149"/>
      <c r="K15" s="147">
        <v>12</v>
      </c>
      <c r="L15" s="147">
        <v>1</v>
      </c>
      <c r="M15" s="147">
        <v>13</v>
      </c>
      <c r="N15" s="289"/>
      <c r="O15" s="196"/>
      <c r="P15" s="180"/>
      <c r="Q15" s="174"/>
      <c r="R15" s="206">
        <v>0</v>
      </c>
      <c r="S15" s="166"/>
      <c r="T15" s="129" t="s">
        <v>74</v>
      </c>
      <c r="U15" s="147" t="s">
        <v>37</v>
      </c>
      <c r="V15" s="129"/>
      <c r="W15" s="163" t="s">
        <v>54</v>
      </c>
      <c r="X15" s="215"/>
      <c r="Y15" s="216">
        <v>0</v>
      </c>
      <c r="Z15" s="216">
        <v>0</v>
      </c>
      <c r="AA15" s="263"/>
      <c r="AB15" s="305"/>
      <c r="AC15" s="214"/>
    </row>
    <row r="16" spans="1:29" s="182" customFormat="1" hidden="1" x14ac:dyDescent="0.25">
      <c r="A16" s="131">
        <v>1</v>
      </c>
      <c r="B16" s="129">
        <v>1101056</v>
      </c>
      <c r="C16" s="127" t="s">
        <v>30</v>
      </c>
      <c r="D16" s="127" t="s">
        <v>75</v>
      </c>
      <c r="E16" s="151" t="s">
        <v>66</v>
      </c>
      <c r="F16" s="129" t="s">
        <v>74</v>
      </c>
      <c r="G16" s="147" t="s">
        <v>34</v>
      </c>
      <c r="H16" s="191">
        <f t="shared" si="0"/>
        <v>0</v>
      </c>
      <c r="I16" s="225"/>
      <c r="J16" s="149"/>
      <c r="K16" s="147">
        <v>12</v>
      </c>
      <c r="L16" s="147">
        <v>1</v>
      </c>
      <c r="M16" s="147">
        <v>13</v>
      </c>
      <c r="N16" s="289"/>
      <c r="O16" s="196"/>
      <c r="P16" s="180"/>
      <c r="Q16" s="174"/>
      <c r="R16" s="206">
        <v>0</v>
      </c>
      <c r="S16" s="166"/>
      <c r="T16" s="129" t="s">
        <v>74</v>
      </c>
      <c r="U16" s="147" t="s">
        <v>37</v>
      </c>
      <c r="V16" s="129"/>
      <c r="W16" s="163" t="s">
        <v>54</v>
      </c>
      <c r="X16" s="215"/>
      <c r="Y16" s="216">
        <v>0</v>
      </c>
      <c r="Z16" s="216">
        <v>0</v>
      </c>
      <c r="AA16" s="263"/>
      <c r="AB16" s="305"/>
      <c r="AC16" s="214"/>
    </row>
    <row r="17" spans="1:29" s="182" customFormat="1" hidden="1" x14ac:dyDescent="0.25">
      <c r="A17" s="131">
        <v>1</v>
      </c>
      <c r="B17" s="129">
        <v>1101057</v>
      </c>
      <c r="C17" s="127" t="s">
        <v>30</v>
      </c>
      <c r="D17" s="127" t="s">
        <v>76</v>
      </c>
      <c r="E17" s="151" t="s">
        <v>77</v>
      </c>
      <c r="F17" s="129" t="s">
        <v>78</v>
      </c>
      <c r="G17" s="147" t="s">
        <v>34</v>
      </c>
      <c r="H17" s="191">
        <f t="shared" si="0"/>
        <v>0</v>
      </c>
      <c r="I17" s="225"/>
      <c r="J17" s="149"/>
      <c r="K17" s="147">
        <v>12</v>
      </c>
      <c r="L17" s="147">
        <v>1</v>
      </c>
      <c r="M17" s="147">
        <v>13</v>
      </c>
      <c r="N17" s="289"/>
      <c r="O17" s="196"/>
      <c r="P17" s="180"/>
      <c r="Q17" s="174"/>
      <c r="R17" s="206">
        <v>0</v>
      </c>
      <c r="S17" s="166"/>
      <c r="T17" s="129" t="s">
        <v>74</v>
      </c>
      <c r="U17" s="147" t="s">
        <v>37</v>
      </c>
      <c r="V17" s="129"/>
      <c r="W17" s="163" t="s">
        <v>54</v>
      </c>
      <c r="X17" s="215"/>
      <c r="Y17" s="216">
        <v>0</v>
      </c>
      <c r="Z17" s="216">
        <v>0</v>
      </c>
      <c r="AA17" s="263"/>
      <c r="AB17" s="305"/>
      <c r="AC17" s="214"/>
    </row>
    <row r="18" spans="1:29" s="182" customFormat="1" hidden="1" x14ac:dyDescent="0.25">
      <c r="A18" s="131">
        <v>1</v>
      </c>
      <c r="B18" s="129">
        <v>1101058</v>
      </c>
      <c r="C18" s="127" t="s">
        <v>30</v>
      </c>
      <c r="D18" s="127" t="s">
        <v>79</v>
      </c>
      <c r="E18" s="151" t="s">
        <v>80</v>
      </c>
      <c r="F18" s="129" t="s">
        <v>81</v>
      </c>
      <c r="G18" s="147" t="s">
        <v>34</v>
      </c>
      <c r="H18" s="191">
        <f t="shared" si="0"/>
        <v>0</v>
      </c>
      <c r="I18" s="225"/>
      <c r="J18" s="149"/>
      <c r="K18" s="147">
        <v>12</v>
      </c>
      <c r="L18" s="147">
        <v>1</v>
      </c>
      <c r="M18" s="147">
        <v>13</v>
      </c>
      <c r="N18" s="289"/>
      <c r="O18" s="196"/>
      <c r="P18" s="180"/>
      <c r="Q18" s="174"/>
      <c r="R18" s="206">
        <v>0</v>
      </c>
      <c r="S18" s="166"/>
      <c r="T18" s="129" t="s">
        <v>74</v>
      </c>
      <c r="U18" s="147" t="s">
        <v>37</v>
      </c>
      <c r="V18" s="129"/>
      <c r="W18" s="163" t="s">
        <v>54</v>
      </c>
      <c r="X18" s="215"/>
      <c r="Y18" s="216">
        <v>0</v>
      </c>
      <c r="Z18" s="216">
        <v>0</v>
      </c>
      <c r="AA18" s="263"/>
      <c r="AB18" s="305"/>
      <c r="AC18" s="214"/>
    </row>
    <row r="19" spans="1:29" s="182" customFormat="1" hidden="1" x14ac:dyDescent="0.25">
      <c r="A19" s="131">
        <v>1</v>
      </c>
      <c r="B19" s="129">
        <v>1101059</v>
      </c>
      <c r="C19" s="127" t="s">
        <v>30</v>
      </c>
      <c r="D19" s="127" t="s">
        <v>82</v>
      </c>
      <c r="E19" s="151" t="s">
        <v>32</v>
      </c>
      <c r="F19" s="129" t="s">
        <v>71</v>
      </c>
      <c r="G19" s="147" t="s">
        <v>34</v>
      </c>
      <c r="H19" s="191">
        <f t="shared" si="0"/>
        <v>0</v>
      </c>
      <c r="I19" s="134"/>
      <c r="J19" s="150"/>
      <c r="K19" s="147"/>
      <c r="L19" s="147"/>
      <c r="M19" s="147">
        <v>6</v>
      </c>
      <c r="N19" s="289"/>
      <c r="O19" s="196"/>
      <c r="P19" s="180"/>
      <c r="Q19" s="174"/>
      <c r="R19" s="205"/>
      <c r="S19" s="166"/>
      <c r="T19" s="129" t="s">
        <v>58</v>
      </c>
      <c r="U19" s="147" t="s">
        <v>35</v>
      </c>
      <c r="V19" s="129"/>
      <c r="W19" s="177" t="s">
        <v>54</v>
      </c>
      <c r="X19" s="215"/>
      <c r="Y19" s="216">
        <v>0</v>
      </c>
      <c r="Z19" s="216">
        <v>0</v>
      </c>
      <c r="AA19" s="263"/>
      <c r="AB19" s="305"/>
      <c r="AC19" s="212"/>
    </row>
    <row r="20" spans="1:29" ht="24" hidden="1" x14ac:dyDescent="0.25">
      <c r="A20" s="131">
        <v>1</v>
      </c>
      <c r="B20" s="129">
        <v>1101060</v>
      </c>
      <c r="C20" s="127" t="s">
        <v>30</v>
      </c>
      <c r="D20" s="127" t="s">
        <v>83</v>
      </c>
      <c r="E20" s="151" t="s">
        <v>84</v>
      </c>
      <c r="F20" s="129" t="s">
        <v>47</v>
      </c>
      <c r="G20" s="147" t="s">
        <v>34</v>
      </c>
      <c r="H20" s="191">
        <f t="shared" si="0"/>
        <v>2.4700000000000002</v>
      </c>
      <c r="I20" s="222" t="s">
        <v>2228</v>
      </c>
      <c r="J20" s="146">
        <v>30</v>
      </c>
      <c r="K20" s="147">
        <v>9</v>
      </c>
      <c r="L20" s="147">
        <v>1</v>
      </c>
      <c r="M20" s="147">
        <v>10</v>
      </c>
      <c r="N20" s="289">
        <v>6400</v>
      </c>
      <c r="O20" s="196"/>
      <c r="P20" s="180"/>
      <c r="Q20" s="174">
        <v>2.4700000000000002</v>
      </c>
      <c r="R20" s="205">
        <v>0</v>
      </c>
      <c r="S20" s="165" t="s">
        <v>35</v>
      </c>
      <c r="T20" s="129" t="s">
        <v>36</v>
      </c>
      <c r="U20" s="147" t="s">
        <v>37</v>
      </c>
      <c r="V20" s="129"/>
      <c r="W20" s="177" t="s">
        <v>54</v>
      </c>
      <c r="X20" s="215"/>
      <c r="Y20" s="216">
        <v>0</v>
      </c>
      <c r="Z20" s="216">
        <v>0</v>
      </c>
      <c r="AA20" s="263"/>
      <c r="AB20" s="305"/>
    </row>
    <row r="21" spans="1:29" ht="24" hidden="1" x14ac:dyDescent="0.25">
      <c r="A21" s="131">
        <v>1</v>
      </c>
      <c r="B21" s="129">
        <v>1101061</v>
      </c>
      <c r="C21" s="127" t="s">
        <v>30</v>
      </c>
      <c r="D21" s="127" t="s">
        <v>85</v>
      </c>
      <c r="E21" s="151" t="s">
        <v>86</v>
      </c>
      <c r="F21" s="129" t="s">
        <v>33</v>
      </c>
      <c r="G21" s="147" t="s">
        <v>607</v>
      </c>
      <c r="H21" s="191">
        <f t="shared" si="0"/>
        <v>0</v>
      </c>
      <c r="I21" s="222" t="s">
        <v>2228</v>
      </c>
      <c r="J21" s="146">
        <v>0</v>
      </c>
      <c r="K21" s="147">
        <v>11</v>
      </c>
      <c r="L21" s="147">
        <v>1</v>
      </c>
      <c r="M21" s="147">
        <v>12</v>
      </c>
      <c r="N21" s="289"/>
      <c r="O21" s="196"/>
      <c r="P21" s="180"/>
      <c r="Q21" s="174"/>
      <c r="R21" s="206">
        <v>0</v>
      </c>
      <c r="S21" s="165"/>
      <c r="T21" s="129" t="s">
        <v>89</v>
      </c>
      <c r="U21" s="147" t="s">
        <v>37</v>
      </c>
      <c r="V21" s="129"/>
      <c r="W21" s="163" t="s">
        <v>54</v>
      </c>
      <c r="X21" s="215"/>
      <c r="Y21" s="216">
        <v>0</v>
      </c>
      <c r="Z21" s="216">
        <v>0</v>
      </c>
      <c r="AA21" s="263"/>
      <c r="AB21" s="305"/>
    </row>
    <row r="22" spans="1:29" ht="24" hidden="1" x14ac:dyDescent="0.25">
      <c r="A22" s="131">
        <v>1</v>
      </c>
      <c r="B22" s="129">
        <v>1101062</v>
      </c>
      <c r="C22" s="127" t="s">
        <v>30</v>
      </c>
      <c r="D22" s="127" t="s">
        <v>90</v>
      </c>
      <c r="E22" s="151" t="s">
        <v>86</v>
      </c>
      <c r="F22" s="129" t="s">
        <v>33</v>
      </c>
      <c r="G22" s="147" t="s">
        <v>34</v>
      </c>
      <c r="H22" s="191">
        <f t="shared" si="0"/>
        <v>0</v>
      </c>
      <c r="I22" s="222" t="s">
        <v>2228</v>
      </c>
      <c r="J22" s="146">
        <v>0</v>
      </c>
      <c r="K22" s="147">
        <v>11</v>
      </c>
      <c r="L22" s="147">
        <v>1</v>
      </c>
      <c r="M22" s="147">
        <v>12</v>
      </c>
      <c r="N22" s="289"/>
      <c r="O22" s="196"/>
      <c r="P22" s="180"/>
      <c r="Q22" s="174"/>
      <c r="R22" s="206">
        <v>0</v>
      </c>
      <c r="S22" s="165"/>
      <c r="T22" s="129" t="s">
        <v>89</v>
      </c>
      <c r="U22" s="147" t="s">
        <v>37</v>
      </c>
      <c r="V22" s="129"/>
      <c r="W22" s="163" t="s">
        <v>54</v>
      </c>
      <c r="X22" s="215"/>
      <c r="Y22" s="216">
        <v>0</v>
      </c>
      <c r="Z22" s="216">
        <v>0</v>
      </c>
      <c r="AA22" s="263"/>
      <c r="AB22" s="305"/>
    </row>
    <row r="23" spans="1:29" ht="24" hidden="1" x14ac:dyDescent="0.25">
      <c r="A23" s="131">
        <v>1</v>
      </c>
      <c r="B23" s="129">
        <v>1101063</v>
      </c>
      <c r="C23" s="127" t="s">
        <v>30</v>
      </c>
      <c r="D23" s="127" t="s">
        <v>91</v>
      </c>
      <c r="E23" s="151" t="s">
        <v>86</v>
      </c>
      <c r="F23" s="129" t="s">
        <v>33</v>
      </c>
      <c r="G23" s="147" t="s">
        <v>34</v>
      </c>
      <c r="H23" s="191">
        <f t="shared" si="0"/>
        <v>0</v>
      </c>
      <c r="I23" s="222" t="s">
        <v>2228</v>
      </c>
      <c r="J23" s="146">
        <v>0</v>
      </c>
      <c r="K23" s="147">
        <v>11</v>
      </c>
      <c r="L23" s="147">
        <v>1</v>
      </c>
      <c r="M23" s="147">
        <v>12</v>
      </c>
      <c r="N23" s="289"/>
      <c r="O23" s="196"/>
      <c r="P23" s="180"/>
      <c r="Q23" s="174"/>
      <c r="R23" s="206">
        <v>0</v>
      </c>
      <c r="S23" s="165"/>
      <c r="T23" s="129" t="s">
        <v>89</v>
      </c>
      <c r="U23" s="147" t="s">
        <v>37</v>
      </c>
      <c r="V23" s="129"/>
      <c r="W23" s="163" t="s">
        <v>54</v>
      </c>
      <c r="X23" s="215"/>
      <c r="Y23" s="216">
        <v>0</v>
      </c>
      <c r="Z23" s="216">
        <v>0</v>
      </c>
      <c r="AA23" s="263"/>
      <c r="AB23" s="305"/>
    </row>
    <row r="24" spans="1:29" s="182" customFormat="1" hidden="1" x14ac:dyDescent="0.25">
      <c r="A24" s="131">
        <v>1</v>
      </c>
      <c r="B24" s="129">
        <v>1101064</v>
      </c>
      <c r="C24" s="127" t="s">
        <v>30</v>
      </c>
      <c r="D24" s="127" t="s">
        <v>93</v>
      </c>
      <c r="E24" s="151" t="s">
        <v>32</v>
      </c>
      <c r="F24" s="129" t="s">
        <v>71</v>
      </c>
      <c r="G24" s="147" t="s">
        <v>34</v>
      </c>
      <c r="H24" s="191">
        <f t="shared" si="0"/>
        <v>0</v>
      </c>
      <c r="I24" s="134"/>
      <c r="J24" s="150"/>
      <c r="K24" s="147"/>
      <c r="L24" s="147"/>
      <c r="M24" s="147">
        <v>6</v>
      </c>
      <c r="N24" s="289"/>
      <c r="O24" s="196"/>
      <c r="P24" s="180"/>
      <c r="Q24" s="174"/>
      <c r="R24" s="205"/>
      <c r="S24" s="165"/>
      <c r="T24" s="129" t="s">
        <v>58</v>
      </c>
      <c r="U24" s="147" t="s">
        <v>35</v>
      </c>
      <c r="V24" s="129"/>
      <c r="W24" s="177" t="s">
        <v>54</v>
      </c>
      <c r="X24" s="215"/>
      <c r="Y24" s="216">
        <v>0</v>
      </c>
      <c r="Z24" s="216">
        <v>0</v>
      </c>
      <c r="AA24" s="263"/>
      <c r="AB24" s="305"/>
      <c r="AC24" s="212"/>
    </row>
    <row r="25" spans="1:29" s="182" customFormat="1" hidden="1" x14ac:dyDescent="0.25">
      <c r="A25" s="131">
        <v>1</v>
      </c>
      <c r="B25" s="129">
        <v>1101065</v>
      </c>
      <c r="C25" s="127" t="s">
        <v>30</v>
      </c>
      <c r="D25" s="129" t="s">
        <v>94</v>
      </c>
      <c r="E25" s="151" t="s">
        <v>32</v>
      </c>
      <c r="F25" s="129" t="s">
        <v>71</v>
      </c>
      <c r="G25" s="147" t="s">
        <v>34</v>
      </c>
      <c r="H25" s="191">
        <f t="shared" si="0"/>
        <v>0</v>
      </c>
      <c r="I25" s="134"/>
      <c r="J25" s="150"/>
      <c r="K25" s="147"/>
      <c r="L25" s="147"/>
      <c r="M25" s="147">
        <v>6</v>
      </c>
      <c r="N25" s="289"/>
      <c r="O25" s="196"/>
      <c r="P25" s="180"/>
      <c r="Q25" s="174"/>
      <c r="R25" s="205"/>
      <c r="S25" s="165"/>
      <c r="T25" s="129" t="s">
        <v>58</v>
      </c>
      <c r="U25" s="147" t="s">
        <v>35</v>
      </c>
      <c r="V25" s="129"/>
      <c r="W25" s="177" t="s">
        <v>54</v>
      </c>
      <c r="X25" s="215"/>
      <c r="Y25" s="216">
        <v>0</v>
      </c>
      <c r="Z25" s="216">
        <v>0</v>
      </c>
      <c r="AA25" s="263"/>
      <c r="AB25" s="305"/>
      <c r="AC25" s="212"/>
    </row>
    <row r="26" spans="1:29" s="182" customFormat="1" hidden="1" x14ac:dyDescent="0.25">
      <c r="A26" s="131">
        <v>1</v>
      </c>
      <c r="B26" s="129">
        <v>1101066</v>
      </c>
      <c r="C26" s="127" t="s">
        <v>30</v>
      </c>
      <c r="D26" s="129" t="s">
        <v>95</v>
      </c>
      <c r="E26" s="151" t="s">
        <v>32</v>
      </c>
      <c r="F26" s="129" t="s">
        <v>71</v>
      </c>
      <c r="G26" s="147" t="s">
        <v>34</v>
      </c>
      <c r="H26" s="191">
        <f t="shared" si="0"/>
        <v>0</v>
      </c>
      <c r="I26" s="134"/>
      <c r="J26" s="150"/>
      <c r="K26" s="147"/>
      <c r="L26" s="147"/>
      <c r="M26" s="147">
        <v>6</v>
      </c>
      <c r="N26" s="289"/>
      <c r="O26" s="196"/>
      <c r="P26" s="180"/>
      <c r="Q26" s="174"/>
      <c r="R26" s="205"/>
      <c r="S26" s="165"/>
      <c r="T26" s="129" t="s">
        <v>58</v>
      </c>
      <c r="U26" s="147" t="s">
        <v>35</v>
      </c>
      <c r="V26" s="129"/>
      <c r="W26" s="177" t="s">
        <v>54</v>
      </c>
      <c r="X26" s="215"/>
      <c r="Y26" s="216">
        <v>0</v>
      </c>
      <c r="Z26" s="216">
        <v>0</v>
      </c>
      <c r="AA26" s="263"/>
      <c r="AB26" s="305"/>
      <c r="AC26" s="212"/>
    </row>
    <row r="27" spans="1:29" s="182" customFormat="1" hidden="1" x14ac:dyDescent="0.25">
      <c r="A27" s="131">
        <v>1</v>
      </c>
      <c r="B27" s="129">
        <v>1101067</v>
      </c>
      <c r="C27" s="127" t="s">
        <v>30</v>
      </c>
      <c r="D27" s="129" t="s">
        <v>96</v>
      </c>
      <c r="E27" s="151" t="s">
        <v>32</v>
      </c>
      <c r="F27" s="129" t="s">
        <v>71</v>
      </c>
      <c r="G27" s="147" t="s">
        <v>34</v>
      </c>
      <c r="H27" s="191">
        <f t="shared" si="0"/>
        <v>0</v>
      </c>
      <c r="I27" s="134"/>
      <c r="J27" s="150"/>
      <c r="K27" s="147"/>
      <c r="L27" s="147"/>
      <c r="M27" s="147">
        <v>6</v>
      </c>
      <c r="N27" s="289"/>
      <c r="O27" s="196"/>
      <c r="P27" s="180"/>
      <c r="Q27" s="174"/>
      <c r="R27" s="205"/>
      <c r="S27" s="165"/>
      <c r="T27" s="129" t="s">
        <v>58</v>
      </c>
      <c r="U27" s="147" t="s">
        <v>35</v>
      </c>
      <c r="V27" s="129"/>
      <c r="W27" s="177" t="s">
        <v>54</v>
      </c>
      <c r="X27" s="215"/>
      <c r="Y27" s="216">
        <v>0</v>
      </c>
      <c r="Z27" s="216">
        <v>0</v>
      </c>
      <c r="AA27" s="263"/>
      <c r="AB27" s="305"/>
      <c r="AC27" s="212"/>
    </row>
    <row r="28" spans="1:29" s="182" customFormat="1" hidden="1" x14ac:dyDescent="0.25">
      <c r="A28" s="131">
        <v>1</v>
      </c>
      <c r="B28" s="129">
        <v>1101068</v>
      </c>
      <c r="C28" s="127" t="s">
        <v>30</v>
      </c>
      <c r="D28" s="129" t="s">
        <v>97</v>
      </c>
      <c r="E28" s="151" t="s">
        <v>32</v>
      </c>
      <c r="F28" s="129" t="s">
        <v>71</v>
      </c>
      <c r="G28" s="147" t="s">
        <v>34</v>
      </c>
      <c r="H28" s="191">
        <f t="shared" si="0"/>
        <v>0</v>
      </c>
      <c r="I28" s="134"/>
      <c r="J28" s="150"/>
      <c r="K28" s="147"/>
      <c r="L28" s="147"/>
      <c r="M28" s="147">
        <v>6</v>
      </c>
      <c r="N28" s="289"/>
      <c r="O28" s="196"/>
      <c r="P28" s="180"/>
      <c r="Q28" s="174"/>
      <c r="R28" s="205"/>
      <c r="S28" s="165"/>
      <c r="T28" s="129" t="s">
        <v>58</v>
      </c>
      <c r="U28" s="147" t="s">
        <v>35</v>
      </c>
      <c r="V28" s="129"/>
      <c r="W28" s="177" t="s">
        <v>54</v>
      </c>
      <c r="X28" s="215"/>
      <c r="Y28" s="216">
        <v>0</v>
      </c>
      <c r="Z28" s="216">
        <v>0</v>
      </c>
      <c r="AA28" s="263"/>
      <c r="AB28" s="305"/>
      <c r="AC28" s="212"/>
    </row>
    <row r="29" spans="1:29" ht="24" hidden="1" x14ac:dyDescent="0.25">
      <c r="A29" s="131">
        <v>1</v>
      </c>
      <c r="B29" s="129">
        <v>1101069</v>
      </c>
      <c r="C29" s="127" t="s">
        <v>30</v>
      </c>
      <c r="D29" s="129" t="s">
        <v>98</v>
      </c>
      <c r="E29" s="151" t="s">
        <v>32</v>
      </c>
      <c r="F29" s="129" t="s">
        <v>33</v>
      </c>
      <c r="G29" s="147" t="s">
        <v>34</v>
      </c>
      <c r="H29" s="191">
        <f t="shared" si="0"/>
        <v>17.82</v>
      </c>
      <c r="I29" s="222" t="s">
        <v>2228</v>
      </c>
      <c r="J29" s="146">
        <v>0</v>
      </c>
      <c r="K29" s="147">
        <v>5</v>
      </c>
      <c r="L29" s="147">
        <v>1</v>
      </c>
      <c r="M29" s="147">
        <v>6</v>
      </c>
      <c r="N29" s="289">
        <v>55</v>
      </c>
      <c r="O29" s="196"/>
      <c r="P29" s="180"/>
      <c r="Q29" s="174">
        <v>17.82</v>
      </c>
      <c r="R29" s="205">
        <v>0</v>
      </c>
      <c r="S29" s="165"/>
      <c r="T29" s="129" t="s">
        <v>58</v>
      </c>
      <c r="U29" s="147" t="s">
        <v>35</v>
      </c>
      <c r="V29" s="129"/>
      <c r="W29" s="177" t="s">
        <v>54</v>
      </c>
      <c r="X29" s="215"/>
      <c r="Y29" s="216">
        <v>0</v>
      </c>
      <c r="Z29" s="216">
        <v>0</v>
      </c>
      <c r="AA29" s="263"/>
      <c r="AB29" s="305"/>
    </row>
    <row r="30" spans="1:29" ht="24" hidden="1" x14ac:dyDescent="0.25">
      <c r="A30" s="131">
        <v>1</v>
      </c>
      <c r="B30" s="129">
        <v>1101070</v>
      </c>
      <c r="C30" s="127" t="s">
        <v>30</v>
      </c>
      <c r="D30" s="129" t="s">
        <v>99</v>
      </c>
      <c r="E30" s="151" t="s">
        <v>32</v>
      </c>
      <c r="F30" s="129" t="s">
        <v>33</v>
      </c>
      <c r="G30" s="147" t="s">
        <v>34</v>
      </c>
      <c r="H30" s="191">
        <f t="shared" si="0"/>
        <v>0</v>
      </c>
      <c r="I30" s="222" t="s">
        <v>2228</v>
      </c>
      <c r="J30" s="146">
        <v>0</v>
      </c>
      <c r="K30" s="147">
        <v>11</v>
      </c>
      <c r="L30" s="147">
        <v>1</v>
      </c>
      <c r="M30" s="147">
        <v>12</v>
      </c>
      <c r="N30" s="289"/>
      <c r="O30" s="196"/>
      <c r="P30" s="180"/>
      <c r="Q30" s="174"/>
      <c r="R30" s="206">
        <v>0</v>
      </c>
      <c r="S30" s="165"/>
      <c r="T30" s="129"/>
      <c r="U30" s="147" t="s">
        <v>37</v>
      </c>
      <c r="V30" s="129"/>
      <c r="W30" s="163" t="s">
        <v>54</v>
      </c>
      <c r="X30" s="215"/>
      <c r="Y30" s="216">
        <v>0</v>
      </c>
      <c r="Z30" s="216">
        <v>0</v>
      </c>
      <c r="AA30" s="263"/>
      <c r="AB30" s="305"/>
    </row>
    <row r="31" spans="1:29" hidden="1" x14ac:dyDescent="0.25">
      <c r="A31" s="131">
        <v>1</v>
      </c>
      <c r="B31" s="129">
        <v>1101071</v>
      </c>
      <c r="C31" s="127" t="s">
        <v>30</v>
      </c>
      <c r="D31" s="129" t="s">
        <v>100</v>
      </c>
      <c r="E31" s="151" t="s">
        <v>32</v>
      </c>
      <c r="F31" s="129" t="s">
        <v>1748</v>
      </c>
      <c r="G31" s="147" t="s">
        <v>34</v>
      </c>
      <c r="H31" s="191">
        <f t="shared" si="0"/>
        <v>17.5</v>
      </c>
      <c r="I31" s="134" t="s">
        <v>2084</v>
      </c>
      <c r="J31" s="146">
        <v>0</v>
      </c>
      <c r="K31" s="147">
        <v>2</v>
      </c>
      <c r="L31" s="147">
        <v>2</v>
      </c>
      <c r="M31" s="147">
        <v>4</v>
      </c>
      <c r="N31" s="289">
        <v>110</v>
      </c>
      <c r="O31" s="196"/>
      <c r="P31" s="180"/>
      <c r="Q31" s="174">
        <v>17.5</v>
      </c>
      <c r="R31" s="205">
        <v>0</v>
      </c>
      <c r="S31" s="165"/>
      <c r="T31" s="129" t="s">
        <v>102</v>
      </c>
      <c r="U31" s="147" t="s">
        <v>35</v>
      </c>
      <c r="V31" s="129"/>
      <c r="W31" s="177" t="s">
        <v>54</v>
      </c>
      <c r="X31" s="215"/>
      <c r="Y31" s="216">
        <v>0</v>
      </c>
      <c r="Z31" s="216">
        <v>0</v>
      </c>
      <c r="AA31" s="263"/>
      <c r="AB31" s="305"/>
    </row>
    <row r="32" spans="1:29" ht="24" hidden="1" x14ac:dyDescent="0.25">
      <c r="A32" s="131">
        <v>1</v>
      </c>
      <c r="B32" s="129">
        <v>1101072</v>
      </c>
      <c r="C32" s="127" t="s">
        <v>30</v>
      </c>
      <c r="D32" s="129" t="s">
        <v>106</v>
      </c>
      <c r="E32" s="151" t="s">
        <v>32</v>
      </c>
      <c r="F32" s="129" t="s">
        <v>33</v>
      </c>
      <c r="G32" s="147" t="s">
        <v>34</v>
      </c>
      <c r="H32" s="191">
        <f t="shared" si="0"/>
        <v>0</v>
      </c>
      <c r="I32" s="222" t="s">
        <v>2228</v>
      </c>
      <c r="J32" s="146">
        <v>0</v>
      </c>
      <c r="K32" s="147">
        <v>5</v>
      </c>
      <c r="L32" s="147">
        <v>1</v>
      </c>
      <c r="M32" s="147">
        <v>6</v>
      </c>
      <c r="N32" s="289">
        <v>55</v>
      </c>
      <c r="O32" s="196"/>
      <c r="P32" s="180"/>
      <c r="Q32" s="174"/>
      <c r="R32" s="205">
        <v>0</v>
      </c>
      <c r="S32" s="165"/>
      <c r="T32" s="129" t="s">
        <v>58</v>
      </c>
      <c r="U32" s="147" t="s">
        <v>35</v>
      </c>
      <c r="V32" s="129"/>
      <c r="W32" s="177" t="s">
        <v>54</v>
      </c>
      <c r="X32" s="215"/>
      <c r="Y32" s="216">
        <v>0</v>
      </c>
      <c r="Z32" s="216">
        <v>0</v>
      </c>
      <c r="AA32" s="263"/>
      <c r="AB32" s="305"/>
    </row>
    <row r="33" spans="1:29" ht="24" hidden="1" x14ac:dyDescent="0.25">
      <c r="A33" s="131">
        <v>1</v>
      </c>
      <c r="B33" s="129">
        <v>1101073</v>
      </c>
      <c r="C33" s="127" t="s">
        <v>30</v>
      </c>
      <c r="D33" s="129" t="s">
        <v>107</v>
      </c>
      <c r="E33" s="151" t="s">
        <v>32</v>
      </c>
      <c r="F33" s="129" t="s">
        <v>33</v>
      </c>
      <c r="G33" s="147" t="s">
        <v>34</v>
      </c>
      <c r="H33" s="191">
        <f t="shared" si="0"/>
        <v>0</v>
      </c>
      <c r="I33" s="222" t="s">
        <v>2228</v>
      </c>
      <c r="J33" s="146">
        <v>0</v>
      </c>
      <c r="K33" s="147">
        <v>5</v>
      </c>
      <c r="L33" s="147">
        <v>1</v>
      </c>
      <c r="M33" s="147">
        <v>6</v>
      </c>
      <c r="N33" s="289"/>
      <c r="O33" s="196"/>
      <c r="P33" s="180"/>
      <c r="Q33" s="174"/>
      <c r="R33" s="205">
        <v>0</v>
      </c>
      <c r="S33" s="165"/>
      <c r="T33" s="129" t="s">
        <v>58</v>
      </c>
      <c r="U33" s="147" t="s">
        <v>35</v>
      </c>
      <c r="V33" s="129"/>
      <c r="W33" s="177" t="s">
        <v>54</v>
      </c>
      <c r="X33" s="215"/>
      <c r="Y33" s="216">
        <v>0</v>
      </c>
      <c r="Z33" s="216">
        <v>0</v>
      </c>
      <c r="AA33" s="263"/>
      <c r="AB33" s="305"/>
    </row>
    <row r="34" spans="1:29" ht="24" hidden="1" x14ac:dyDescent="0.25">
      <c r="A34" s="131">
        <v>1</v>
      </c>
      <c r="B34" s="129">
        <v>1101074</v>
      </c>
      <c r="C34" s="127" t="s">
        <v>30</v>
      </c>
      <c r="D34" s="129" t="s">
        <v>108</v>
      </c>
      <c r="E34" s="151" t="s">
        <v>32</v>
      </c>
      <c r="F34" s="129" t="s">
        <v>33</v>
      </c>
      <c r="G34" s="147" t="s">
        <v>34</v>
      </c>
      <c r="H34" s="191">
        <f t="shared" si="0"/>
        <v>0</v>
      </c>
      <c r="I34" s="222" t="s">
        <v>2228</v>
      </c>
      <c r="J34" s="146">
        <v>0</v>
      </c>
      <c r="K34" s="147">
        <v>5</v>
      </c>
      <c r="L34" s="147">
        <v>1</v>
      </c>
      <c r="M34" s="147">
        <v>6</v>
      </c>
      <c r="N34" s="289"/>
      <c r="O34" s="196"/>
      <c r="P34" s="180"/>
      <c r="Q34" s="174"/>
      <c r="R34" s="205">
        <v>0</v>
      </c>
      <c r="S34" s="165"/>
      <c r="T34" s="129" t="s">
        <v>58</v>
      </c>
      <c r="U34" s="147" t="s">
        <v>35</v>
      </c>
      <c r="V34" s="129"/>
      <c r="W34" s="177" t="s">
        <v>54</v>
      </c>
      <c r="X34" s="215"/>
      <c r="Y34" s="216">
        <v>0</v>
      </c>
      <c r="Z34" s="216">
        <v>0</v>
      </c>
      <c r="AA34" s="263"/>
      <c r="AB34" s="305"/>
    </row>
    <row r="35" spans="1:29" ht="24" hidden="1" x14ac:dyDescent="0.25">
      <c r="A35" s="131">
        <v>1</v>
      </c>
      <c r="B35" s="129">
        <v>1101075</v>
      </c>
      <c r="C35" s="127" t="s">
        <v>30</v>
      </c>
      <c r="D35" s="129" t="s">
        <v>109</v>
      </c>
      <c r="E35" s="151" t="s">
        <v>32</v>
      </c>
      <c r="F35" s="129" t="s">
        <v>33</v>
      </c>
      <c r="G35" s="147" t="s">
        <v>34</v>
      </c>
      <c r="H35" s="191">
        <f t="shared" si="0"/>
        <v>0</v>
      </c>
      <c r="I35" s="222" t="s">
        <v>2228</v>
      </c>
      <c r="J35" s="146">
        <v>0</v>
      </c>
      <c r="K35" s="147">
        <v>5</v>
      </c>
      <c r="L35" s="147">
        <v>1</v>
      </c>
      <c r="M35" s="147">
        <v>6</v>
      </c>
      <c r="N35" s="289"/>
      <c r="O35" s="196"/>
      <c r="P35" s="180"/>
      <c r="Q35" s="174"/>
      <c r="R35" s="205">
        <v>0</v>
      </c>
      <c r="S35" s="165"/>
      <c r="T35" s="129" t="s">
        <v>58</v>
      </c>
      <c r="U35" s="147" t="s">
        <v>35</v>
      </c>
      <c r="V35" s="129"/>
      <c r="W35" s="177" t="s">
        <v>54</v>
      </c>
      <c r="X35" s="215"/>
      <c r="Y35" s="216">
        <v>0</v>
      </c>
      <c r="Z35" s="216">
        <v>0</v>
      </c>
      <c r="AA35" s="263"/>
      <c r="AB35" s="305"/>
    </row>
    <row r="36" spans="1:29" ht="24" hidden="1" x14ac:dyDescent="0.25">
      <c r="A36" s="131">
        <v>1</v>
      </c>
      <c r="B36" s="129">
        <v>1101076</v>
      </c>
      <c r="C36" s="127" t="s">
        <v>30</v>
      </c>
      <c r="D36" s="129" t="s">
        <v>110</v>
      </c>
      <c r="E36" s="151" t="s">
        <v>32</v>
      </c>
      <c r="F36" s="129" t="s">
        <v>33</v>
      </c>
      <c r="G36" s="147" t="s">
        <v>34</v>
      </c>
      <c r="H36" s="191">
        <f t="shared" si="0"/>
        <v>0</v>
      </c>
      <c r="I36" s="222" t="s">
        <v>2228</v>
      </c>
      <c r="J36" s="146">
        <v>0</v>
      </c>
      <c r="K36" s="147">
        <v>5</v>
      </c>
      <c r="L36" s="147">
        <v>1</v>
      </c>
      <c r="M36" s="147">
        <v>6</v>
      </c>
      <c r="N36" s="289"/>
      <c r="O36" s="196"/>
      <c r="P36" s="180"/>
      <c r="Q36" s="174"/>
      <c r="R36" s="205">
        <v>0</v>
      </c>
      <c r="S36" s="165"/>
      <c r="T36" s="129" t="s">
        <v>58</v>
      </c>
      <c r="U36" s="147" t="s">
        <v>35</v>
      </c>
      <c r="V36" s="129"/>
      <c r="W36" s="177" t="s">
        <v>54</v>
      </c>
      <c r="X36" s="215"/>
      <c r="Y36" s="216">
        <v>0</v>
      </c>
      <c r="Z36" s="216">
        <v>0</v>
      </c>
      <c r="AA36" s="263"/>
      <c r="AB36" s="305"/>
    </row>
    <row r="37" spans="1:29" ht="24" hidden="1" x14ac:dyDescent="0.25">
      <c r="A37" s="131">
        <v>1</v>
      </c>
      <c r="B37" s="129">
        <v>1101077</v>
      </c>
      <c r="C37" s="127" t="s">
        <v>30</v>
      </c>
      <c r="D37" s="129" t="s">
        <v>111</v>
      </c>
      <c r="E37" s="151" t="s">
        <v>32</v>
      </c>
      <c r="F37" s="129" t="s">
        <v>33</v>
      </c>
      <c r="G37" s="147" t="s">
        <v>34</v>
      </c>
      <c r="H37" s="191">
        <f t="shared" si="0"/>
        <v>0</v>
      </c>
      <c r="I37" s="222" t="s">
        <v>2228</v>
      </c>
      <c r="J37" s="146">
        <v>0</v>
      </c>
      <c r="K37" s="147">
        <v>5</v>
      </c>
      <c r="L37" s="147">
        <v>1</v>
      </c>
      <c r="M37" s="147">
        <v>6</v>
      </c>
      <c r="N37" s="289"/>
      <c r="O37" s="196"/>
      <c r="P37" s="180"/>
      <c r="Q37" s="174"/>
      <c r="R37" s="205">
        <v>0</v>
      </c>
      <c r="S37" s="165"/>
      <c r="T37" s="129" t="s">
        <v>58</v>
      </c>
      <c r="U37" s="147" t="s">
        <v>35</v>
      </c>
      <c r="V37" s="129"/>
      <c r="W37" s="177" t="s">
        <v>54</v>
      </c>
      <c r="X37" s="215"/>
      <c r="Y37" s="216">
        <v>0</v>
      </c>
      <c r="Z37" s="216">
        <v>0</v>
      </c>
      <c r="AA37" s="263"/>
      <c r="AB37" s="305"/>
    </row>
    <row r="38" spans="1:29" ht="24" hidden="1" x14ac:dyDescent="0.25">
      <c r="A38" s="131">
        <v>1</v>
      </c>
      <c r="B38" s="129">
        <v>1101078</v>
      </c>
      <c r="C38" s="127" t="s">
        <v>30</v>
      </c>
      <c r="D38" s="129" t="s">
        <v>112</v>
      </c>
      <c r="E38" s="151" t="s">
        <v>32</v>
      </c>
      <c r="F38" s="129" t="s">
        <v>33</v>
      </c>
      <c r="G38" s="147" t="s">
        <v>34</v>
      </c>
      <c r="H38" s="191">
        <f t="shared" si="0"/>
        <v>0</v>
      </c>
      <c r="I38" s="222" t="s">
        <v>2228</v>
      </c>
      <c r="J38" s="146">
        <v>0</v>
      </c>
      <c r="K38" s="147">
        <v>5</v>
      </c>
      <c r="L38" s="147">
        <v>1</v>
      </c>
      <c r="M38" s="147">
        <v>6</v>
      </c>
      <c r="N38" s="289"/>
      <c r="O38" s="196"/>
      <c r="P38" s="180"/>
      <c r="Q38" s="174"/>
      <c r="R38" s="205">
        <v>0</v>
      </c>
      <c r="S38" s="165"/>
      <c r="T38" s="129" t="s">
        <v>58</v>
      </c>
      <c r="U38" s="147" t="s">
        <v>35</v>
      </c>
      <c r="V38" s="129"/>
      <c r="W38" s="177" t="s">
        <v>54</v>
      </c>
      <c r="X38" s="215"/>
      <c r="Y38" s="216">
        <v>0</v>
      </c>
      <c r="Z38" s="216">
        <v>0</v>
      </c>
      <c r="AA38" s="263"/>
      <c r="AB38" s="305"/>
    </row>
    <row r="39" spans="1:29" ht="24" hidden="1" x14ac:dyDescent="0.25">
      <c r="A39" s="131">
        <v>1</v>
      </c>
      <c r="B39" s="129">
        <v>1101079</v>
      </c>
      <c r="C39" s="127" t="s">
        <v>30</v>
      </c>
      <c r="D39" s="129" t="s">
        <v>113</v>
      </c>
      <c r="E39" s="151" t="s">
        <v>32</v>
      </c>
      <c r="F39" s="129" t="s">
        <v>33</v>
      </c>
      <c r="G39" s="147" t="s">
        <v>34</v>
      </c>
      <c r="H39" s="191">
        <f t="shared" si="0"/>
        <v>0</v>
      </c>
      <c r="I39" s="222" t="s">
        <v>2228</v>
      </c>
      <c r="J39" s="146">
        <v>0</v>
      </c>
      <c r="K39" s="147">
        <v>5</v>
      </c>
      <c r="L39" s="147">
        <v>1</v>
      </c>
      <c r="M39" s="147">
        <v>6</v>
      </c>
      <c r="N39" s="289"/>
      <c r="O39" s="196"/>
      <c r="P39" s="180"/>
      <c r="Q39" s="174"/>
      <c r="R39" s="205">
        <v>0</v>
      </c>
      <c r="S39" s="165"/>
      <c r="T39" s="129" t="s">
        <v>58</v>
      </c>
      <c r="U39" s="147" t="s">
        <v>35</v>
      </c>
      <c r="V39" s="129"/>
      <c r="W39" s="177" t="s">
        <v>54</v>
      </c>
      <c r="X39" s="215"/>
      <c r="Y39" s="216">
        <v>0</v>
      </c>
      <c r="Z39" s="216">
        <v>0</v>
      </c>
      <c r="AA39" s="263"/>
      <c r="AB39" s="305"/>
    </row>
    <row r="40" spans="1:29" x14ac:dyDescent="0.25">
      <c r="A40" s="131">
        <v>1</v>
      </c>
      <c r="B40" s="129">
        <v>1101080</v>
      </c>
      <c r="C40" s="127" t="s">
        <v>30</v>
      </c>
      <c r="D40" s="127" t="s">
        <v>114</v>
      </c>
      <c r="E40" s="151" t="s">
        <v>66</v>
      </c>
      <c r="F40" s="129" t="s">
        <v>307</v>
      </c>
      <c r="G40" s="147" t="s">
        <v>34</v>
      </c>
      <c r="H40" s="191">
        <f t="shared" si="0"/>
        <v>3.9349999999999996</v>
      </c>
      <c r="I40" s="222" t="s">
        <v>2084</v>
      </c>
      <c r="J40" s="146">
        <v>0</v>
      </c>
      <c r="K40" s="147">
        <v>1</v>
      </c>
      <c r="L40" s="147">
        <v>1</v>
      </c>
      <c r="M40" s="147">
        <v>10</v>
      </c>
      <c r="N40" s="289">
        <v>4409</v>
      </c>
      <c r="O40" s="195">
        <v>1.6329</v>
      </c>
      <c r="P40" s="180">
        <v>45484</v>
      </c>
      <c r="Q40" s="174">
        <v>3.8849999999999998</v>
      </c>
      <c r="R40" s="205">
        <v>0.05</v>
      </c>
      <c r="S40" s="165" t="s">
        <v>35</v>
      </c>
      <c r="T40" s="129" t="s">
        <v>36</v>
      </c>
      <c r="U40" s="147" t="s">
        <v>37</v>
      </c>
      <c r="V40" s="129"/>
      <c r="W40" s="147" t="s">
        <v>2213</v>
      </c>
      <c r="X40" s="215" t="s">
        <v>1903</v>
      </c>
      <c r="Y40" s="216">
        <v>1645.9896520833333</v>
      </c>
      <c r="Z40" s="216">
        <v>2094.8959208333335</v>
      </c>
      <c r="AA40" s="263"/>
      <c r="AB40" s="305"/>
    </row>
    <row r="41" spans="1:29" ht="24" hidden="1" x14ac:dyDescent="0.25">
      <c r="A41" s="131">
        <v>1</v>
      </c>
      <c r="B41" s="129">
        <v>1101081</v>
      </c>
      <c r="C41" s="127" t="s">
        <v>30</v>
      </c>
      <c r="D41" s="127" t="s">
        <v>115</v>
      </c>
      <c r="E41" s="151" t="s">
        <v>66</v>
      </c>
      <c r="F41" s="129" t="s">
        <v>33</v>
      </c>
      <c r="G41" s="147" t="s">
        <v>34</v>
      </c>
      <c r="H41" s="191">
        <f t="shared" si="0"/>
        <v>1.89</v>
      </c>
      <c r="I41" s="222" t="s">
        <v>2228</v>
      </c>
      <c r="J41" s="146">
        <v>0</v>
      </c>
      <c r="K41" s="147">
        <v>5</v>
      </c>
      <c r="L41" s="147">
        <v>1</v>
      </c>
      <c r="M41" s="147">
        <v>6</v>
      </c>
      <c r="N41" s="289">
        <v>8800</v>
      </c>
      <c r="O41" s="196"/>
      <c r="P41" s="180"/>
      <c r="Q41" s="174">
        <v>1.89</v>
      </c>
      <c r="R41" s="205">
        <v>0</v>
      </c>
      <c r="S41" s="165"/>
      <c r="T41" s="129" t="s">
        <v>116</v>
      </c>
      <c r="U41" s="147" t="s">
        <v>35</v>
      </c>
      <c r="V41" s="129"/>
      <c r="W41" s="177" t="s">
        <v>54</v>
      </c>
      <c r="X41" s="215"/>
      <c r="Y41" s="216">
        <v>0</v>
      </c>
      <c r="Z41" s="216">
        <v>0</v>
      </c>
      <c r="AA41" s="263"/>
      <c r="AB41" s="305"/>
    </row>
    <row r="42" spans="1:29" ht="24" hidden="1" x14ac:dyDescent="0.25">
      <c r="A42" s="131">
        <v>1</v>
      </c>
      <c r="B42" s="129">
        <v>1101082</v>
      </c>
      <c r="C42" s="127" t="s">
        <v>30</v>
      </c>
      <c r="D42" s="127" t="s">
        <v>117</v>
      </c>
      <c r="E42" s="151" t="s">
        <v>66</v>
      </c>
      <c r="F42" s="129" t="s">
        <v>33</v>
      </c>
      <c r="G42" s="147" t="s">
        <v>34</v>
      </c>
      <c r="H42" s="191">
        <f t="shared" si="0"/>
        <v>1.89</v>
      </c>
      <c r="I42" s="222" t="s">
        <v>2228</v>
      </c>
      <c r="J42" s="146">
        <v>0</v>
      </c>
      <c r="K42" s="147">
        <v>5</v>
      </c>
      <c r="L42" s="147">
        <v>1</v>
      </c>
      <c r="M42" s="147">
        <v>6</v>
      </c>
      <c r="N42" s="289">
        <v>8800</v>
      </c>
      <c r="O42" s="196"/>
      <c r="P42" s="180"/>
      <c r="Q42" s="174">
        <v>1.89</v>
      </c>
      <c r="R42" s="205">
        <v>0</v>
      </c>
      <c r="S42" s="165"/>
      <c r="T42" s="129" t="s">
        <v>116</v>
      </c>
      <c r="U42" s="147" t="s">
        <v>35</v>
      </c>
      <c r="V42" s="129"/>
      <c r="W42" s="177" t="s">
        <v>54</v>
      </c>
      <c r="X42" s="215"/>
      <c r="Y42" s="216">
        <v>0</v>
      </c>
      <c r="Z42" s="216">
        <v>0</v>
      </c>
      <c r="AA42" s="263"/>
      <c r="AB42" s="305"/>
    </row>
    <row r="43" spans="1:29" x14ac:dyDescent="0.25">
      <c r="A43" s="131">
        <v>1</v>
      </c>
      <c r="B43" s="129">
        <v>1101083</v>
      </c>
      <c r="C43" s="127" t="s">
        <v>30</v>
      </c>
      <c r="D43" s="127" t="s">
        <v>118</v>
      </c>
      <c r="E43" s="151" t="s">
        <v>119</v>
      </c>
      <c r="F43" s="129" t="s">
        <v>1797</v>
      </c>
      <c r="G43" s="147" t="s">
        <v>34</v>
      </c>
      <c r="H43" s="191">
        <f t="shared" si="0"/>
        <v>2.73</v>
      </c>
      <c r="I43" s="222" t="s">
        <v>2084</v>
      </c>
      <c r="J43" s="146">
        <v>0</v>
      </c>
      <c r="K43" s="147">
        <v>4</v>
      </c>
      <c r="L43" s="147">
        <v>2</v>
      </c>
      <c r="M43" s="147">
        <v>6</v>
      </c>
      <c r="N43" s="289">
        <v>4500</v>
      </c>
      <c r="O43" s="195">
        <v>2.7250000000000001</v>
      </c>
      <c r="P43" s="180">
        <v>45049</v>
      </c>
      <c r="Q43" s="174">
        <v>2.68</v>
      </c>
      <c r="R43" s="205">
        <v>0.05</v>
      </c>
      <c r="S43" s="165"/>
      <c r="T43" s="129" t="s">
        <v>2091</v>
      </c>
      <c r="U43" s="147" t="s">
        <v>37</v>
      </c>
      <c r="V43" s="129"/>
      <c r="W43" s="147" t="s">
        <v>2213</v>
      </c>
      <c r="X43" s="215" t="s">
        <v>1009</v>
      </c>
      <c r="Y43" s="216">
        <v>0</v>
      </c>
      <c r="Z43" s="216">
        <v>0</v>
      </c>
      <c r="AA43" s="263"/>
      <c r="AB43" s="305"/>
    </row>
    <row r="44" spans="1:29" ht="24" hidden="1" x14ac:dyDescent="0.25">
      <c r="A44" s="131">
        <v>1</v>
      </c>
      <c r="B44" s="129">
        <v>1101084</v>
      </c>
      <c r="C44" s="127" t="s">
        <v>30</v>
      </c>
      <c r="D44" s="127" t="s">
        <v>1508</v>
      </c>
      <c r="E44" s="151" t="s">
        <v>32</v>
      </c>
      <c r="F44" s="129" t="s">
        <v>33</v>
      </c>
      <c r="G44" s="147" t="s">
        <v>34</v>
      </c>
      <c r="H44" s="191">
        <f t="shared" si="0"/>
        <v>0</v>
      </c>
      <c r="I44" s="222" t="s">
        <v>2228</v>
      </c>
      <c r="J44" s="146">
        <v>0</v>
      </c>
      <c r="K44" s="147">
        <v>5</v>
      </c>
      <c r="L44" s="147">
        <v>1</v>
      </c>
      <c r="M44" s="147">
        <v>6</v>
      </c>
      <c r="N44" s="289">
        <v>55</v>
      </c>
      <c r="O44" s="196"/>
      <c r="P44" s="180"/>
      <c r="Q44" s="174"/>
      <c r="R44" s="205">
        <v>0</v>
      </c>
      <c r="S44" s="165"/>
      <c r="T44" s="129"/>
      <c r="U44" s="147" t="s">
        <v>37</v>
      </c>
      <c r="V44" s="129"/>
      <c r="W44" s="177" t="s">
        <v>54</v>
      </c>
      <c r="X44" s="215"/>
      <c r="Y44" s="216">
        <v>0</v>
      </c>
      <c r="Z44" s="216">
        <v>0</v>
      </c>
      <c r="AA44" s="263"/>
      <c r="AB44" s="305"/>
    </row>
    <row r="45" spans="1:29" ht="24" hidden="1" x14ac:dyDescent="0.25">
      <c r="A45" s="131">
        <v>1</v>
      </c>
      <c r="B45" s="129">
        <v>1101090</v>
      </c>
      <c r="C45" s="127" t="s">
        <v>30</v>
      </c>
      <c r="D45" s="127" t="s">
        <v>125</v>
      </c>
      <c r="E45" s="151" t="s">
        <v>46</v>
      </c>
      <c r="F45" s="129" t="s">
        <v>47</v>
      </c>
      <c r="G45" s="147" t="s">
        <v>34</v>
      </c>
      <c r="H45" s="191">
        <f t="shared" si="0"/>
        <v>0</v>
      </c>
      <c r="I45" s="222" t="s">
        <v>2228</v>
      </c>
      <c r="J45" s="148">
        <v>30</v>
      </c>
      <c r="K45" s="147">
        <v>9</v>
      </c>
      <c r="L45" s="147">
        <v>1</v>
      </c>
      <c r="M45" s="147">
        <v>10</v>
      </c>
      <c r="N45" s="289">
        <v>6400</v>
      </c>
      <c r="O45" s="196"/>
      <c r="P45" s="180"/>
      <c r="Q45" s="174"/>
      <c r="R45" s="206">
        <v>0</v>
      </c>
      <c r="S45" s="167" t="s">
        <v>35</v>
      </c>
      <c r="T45" s="129" t="s">
        <v>36</v>
      </c>
      <c r="U45" s="147" t="s">
        <v>37</v>
      </c>
      <c r="V45" s="129"/>
      <c r="W45" s="163" t="s">
        <v>54</v>
      </c>
      <c r="X45" s="215"/>
      <c r="Y45" s="216">
        <v>0</v>
      </c>
      <c r="Z45" s="216">
        <v>0</v>
      </c>
      <c r="AA45" s="263"/>
      <c r="AB45" s="305"/>
    </row>
    <row r="46" spans="1:29" hidden="1" x14ac:dyDescent="0.25">
      <c r="A46" s="131">
        <v>1</v>
      </c>
      <c r="B46" s="129">
        <v>1101200</v>
      </c>
      <c r="C46" s="127" t="s">
        <v>30</v>
      </c>
      <c r="D46" s="127" t="s">
        <v>126</v>
      </c>
      <c r="E46" s="151" t="s">
        <v>127</v>
      </c>
      <c r="F46" s="129" t="s">
        <v>1791</v>
      </c>
      <c r="G46" s="147" t="s">
        <v>34</v>
      </c>
      <c r="H46" s="191">
        <f t="shared" si="0"/>
        <v>6.8400000000000007</v>
      </c>
      <c r="I46" s="181" t="s">
        <v>2084</v>
      </c>
      <c r="J46" s="146">
        <v>30</v>
      </c>
      <c r="K46" s="147">
        <v>8</v>
      </c>
      <c r="L46" s="147">
        <v>2</v>
      </c>
      <c r="M46" s="147">
        <v>10</v>
      </c>
      <c r="N46" s="289">
        <v>2204</v>
      </c>
      <c r="O46" s="196"/>
      <c r="P46" s="180">
        <v>44684</v>
      </c>
      <c r="Q46" s="174">
        <v>6.48</v>
      </c>
      <c r="R46" s="205">
        <v>0.36</v>
      </c>
      <c r="S46" s="165"/>
      <c r="T46" s="129" t="s">
        <v>36</v>
      </c>
      <c r="U46" s="147" t="s">
        <v>37</v>
      </c>
      <c r="V46" s="129"/>
      <c r="W46" s="177" t="s">
        <v>54</v>
      </c>
      <c r="X46" s="215"/>
      <c r="Y46" s="216">
        <v>0</v>
      </c>
      <c r="Z46" s="216">
        <v>0</v>
      </c>
      <c r="AA46" s="263"/>
      <c r="AB46" s="305"/>
    </row>
    <row r="47" spans="1:29" ht="24" hidden="1" x14ac:dyDescent="0.25">
      <c r="A47" s="131">
        <v>1</v>
      </c>
      <c r="B47" s="129">
        <v>1101210</v>
      </c>
      <c r="C47" s="127" t="s">
        <v>30</v>
      </c>
      <c r="D47" s="127" t="s">
        <v>128</v>
      </c>
      <c r="E47" s="151" t="s">
        <v>46</v>
      </c>
      <c r="F47" s="129" t="s">
        <v>47</v>
      </c>
      <c r="G47" s="147" t="s">
        <v>34</v>
      </c>
      <c r="H47" s="191">
        <f t="shared" si="0"/>
        <v>0</v>
      </c>
      <c r="I47" s="222" t="s">
        <v>2228</v>
      </c>
      <c r="J47" s="148">
        <v>30</v>
      </c>
      <c r="K47" s="147">
        <v>9</v>
      </c>
      <c r="L47" s="147">
        <v>1</v>
      </c>
      <c r="M47" s="147">
        <v>10</v>
      </c>
      <c r="N47" s="289">
        <v>6400</v>
      </c>
      <c r="O47" s="196"/>
      <c r="P47" s="180"/>
      <c r="Q47" s="174"/>
      <c r="R47" s="206">
        <v>0</v>
      </c>
      <c r="S47" s="167" t="s">
        <v>35</v>
      </c>
      <c r="T47" s="129" t="s">
        <v>36</v>
      </c>
      <c r="U47" s="147" t="s">
        <v>37</v>
      </c>
      <c r="V47" s="129"/>
      <c r="W47" s="163" t="s">
        <v>54</v>
      </c>
      <c r="X47" s="215"/>
      <c r="Y47" s="216">
        <v>0</v>
      </c>
      <c r="Z47" s="216">
        <v>0</v>
      </c>
      <c r="AA47" s="263"/>
      <c r="AB47" s="305"/>
    </row>
    <row r="48" spans="1:29" ht="24" x14ac:dyDescent="0.25">
      <c r="A48" s="131">
        <v>1</v>
      </c>
      <c r="B48" s="129">
        <v>1101220</v>
      </c>
      <c r="C48" s="127" t="s">
        <v>30</v>
      </c>
      <c r="D48" s="127" t="s">
        <v>129</v>
      </c>
      <c r="E48" s="151" t="s">
        <v>46</v>
      </c>
      <c r="F48" s="129" t="s">
        <v>47</v>
      </c>
      <c r="G48" s="147" t="s">
        <v>34</v>
      </c>
      <c r="H48" s="191">
        <f t="shared" si="0"/>
        <v>3.0118842420393719</v>
      </c>
      <c r="I48" s="222" t="s">
        <v>2228</v>
      </c>
      <c r="J48" s="146">
        <v>30</v>
      </c>
      <c r="K48" s="147">
        <v>9</v>
      </c>
      <c r="L48" s="147">
        <v>1</v>
      </c>
      <c r="M48" s="147">
        <v>10</v>
      </c>
      <c r="N48" s="289">
        <v>6400</v>
      </c>
      <c r="O48" s="331">
        <v>3.01</v>
      </c>
      <c r="P48" s="180">
        <v>46107</v>
      </c>
      <c r="Q48" s="272">
        <f>6.64/2.2046</f>
        <v>3.0118842420393719</v>
      </c>
      <c r="R48" s="207">
        <v>0</v>
      </c>
      <c r="S48" s="165" t="s">
        <v>35</v>
      </c>
      <c r="T48" s="129" t="s">
        <v>36</v>
      </c>
      <c r="U48" s="147" t="s">
        <v>37</v>
      </c>
      <c r="V48" s="129"/>
      <c r="W48" s="147" t="s">
        <v>2213</v>
      </c>
      <c r="X48" s="215" t="s">
        <v>1009</v>
      </c>
      <c r="Y48" s="216">
        <v>12584.157381249999</v>
      </c>
      <c r="Z48" s="216">
        <v>15488.193699999998</v>
      </c>
      <c r="AA48" s="263"/>
      <c r="AB48" s="305"/>
      <c r="AC48" s="285"/>
    </row>
    <row r="49" spans="1:29" s="182" customFormat="1" ht="24" hidden="1" x14ac:dyDescent="0.25">
      <c r="A49" s="131">
        <v>1</v>
      </c>
      <c r="B49" s="129">
        <v>1101223</v>
      </c>
      <c r="C49" s="127" t="s">
        <v>30</v>
      </c>
      <c r="D49" s="127" t="s">
        <v>130</v>
      </c>
      <c r="E49" s="151" t="s">
        <v>131</v>
      </c>
      <c r="F49" s="136" t="s">
        <v>1791</v>
      </c>
      <c r="G49" s="147" t="s">
        <v>34</v>
      </c>
      <c r="H49" s="191">
        <f t="shared" si="0"/>
        <v>6.16</v>
      </c>
      <c r="I49" s="222" t="s">
        <v>2228</v>
      </c>
      <c r="J49" s="146">
        <v>30</v>
      </c>
      <c r="K49" s="147">
        <v>8</v>
      </c>
      <c r="L49" s="147">
        <v>1</v>
      </c>
      <c r="M49" s="147">
        <v>9</v>
      </c>
      <c r="N49" s="289">
        <v>55</v>
      </c>
      <c r="O49" s="174">
        <v>6.08</v>
      </c>
      <c r="P49" s="180">
        <v>46120</v>
      </c>
      <c r="Q49" s="174">
        <v>6.11</v>
      </c>
      <c r="R49" s="206">
        <v>0.05</v>
      </c>
      <c r="S49" s="167" t="s">
        <v>37</v>
      </c>
      <c r="T49" s="129" t="s">
        <v>36</v>
      </c>
      <c r="U49" s="147" t="s">
        <v>37</v>
      </c>
      <c r="V49" s="129"/>
      <c r="W49" s="330" t="s">
        <v>2214</v>
      </c>
      <c r="X49" s="215" t="s">
        <v>1009</v>
      </c>
      <c r="Y49" s="216">
        <v>0</v>
      </c>
      <c r="Z49" s="216">
        <v>0</v>
      </c>
      <c r="AA49" s="263"/>
      <c r="AB49" s="305"/>
      <c r="AC49" s="214"/>
    </row>
    <row r="50" spans="1:29" x14ac:dyDescent="0.25">
      <c r="A50" s="131">
        <v>1</v>
      </c>
      <c r="B50" s="129">
        <v>1101224</v>
      </c>
      <c r="C50" s="127" t="s">
        <v>30</v>
      </c>
      <c r="D50" s="127" t="s">
        <v>136</v>
      </c>
      <c r="E50" s="151" t="s">
        <v>131</v>
      </c>
      <c r="F50" s="129" t="s">
        <v>1791</v>
      </c>
      <c r="G50" s="147" t="s">
        <v>34</v>
      </c>
      <c r="H50" s="191">
        <f t="shared" si="0"/>
        <v>3.86</v>
      </c>
      <c r="I50" s="235" t="s">
        <v>2084</v>
      </c>
      <c r="J50" s="146">
        <v>30</v>
      </c>
      <c r="K50" s="147">
        <v>8</v>
      </c>
      <c r="L50" s="147">
        <v>2</v>
      </c>
      <c r="M50" s="147">
        <v>10</v>
      </c>
      <c r="N50" s="289">
        <v>2204</v>
      </c>
      <c r="O50" s="195">
        <v>1.99</v>
      </c>
      <c r="P50" s="180">
        <v>44974</v>
      </c>
      <c r="Q50" s="174">
        <v>3.81</v>
      </c>
      <c r="R50" s="205">
        <v>0.05</v>
      </c>
      <c r="S50" s="165"/>
      <c r="T50" s="129" t="s">
        <v>36</v>
      </c>
      <c r="U50" s="147" t="s">
        <v>37</v>
      </c>
      <c r="V50" s="129"/>
      <c r="W50" s="147" t="s">
        <v>2213</v>
      </c>
      <c r="X50" s="215" t="s">
        <v>1009</v>
      </c>
      <c r="Y50" s="216">
        <v>273.42249999999996</v>
      </c>
      <c r="Z50" s="216">
        <v>336.51999999999992</v>
      </c>
      <c r="AA50" s="263"/>
      <c r="AB50" s="305"/>
    </row>
    <row r="51" spans="1:29" ht="24" hidden="1" x14ac:dyDescent="0.25">
      <c r="A51" s="131">
        <v>1</v>
      </c>
      <c r="B51" s="129">
        <v>1101225</v>
      </c>
      <c r="C51" s="127" t="s">
        <v>30</v>
      </c>
      <c r="D51" s="127" t="s">
        <v>137</v>
      </c>
      <c r="E51" s="151" t="s">
        <v>138</v>
      </c>
      <c r="F51" s="129" t="s">
        <v>33</v>
      </c>
      <c r="G51" s="147" t="s">
        <v>34</v>
      </c>
      <c r="H51" s="191">
        <f t="shared" si="0"/>
        <v>19.079999999999998</v>
      </c>
      <c r="I51" s="222" t="s">
        <v>2228</v>
      </c>
      <c r="J51" s="146">
        <v>0</v>
      </c>
      <c r="K51" s="147">
        <v>5</v>
      </c>
      <c r="L51" s="147">
        <v>1</v>
      </c>
      <c r="M51" s="147">
        <v>6</v>
      </c>
      <c r="N51" s="289">
        <v>110</v>
      </c>
      <c r="O51" s="196"/>
      <c r="P51" s="180"/>
      <c r="Q51" s="174">
        <v>19.079999999999998</v>
      </c>
      <c r="R51" s="205">
        <v>0</v>
      </c>
      <c r="S51" s="165" t="s">
        <v>35</v>
      </c>
      <c r="T51" s="129" t="s">
        <v>36</v>
      </c>
      <c r="U51" s="147" t="s">
        <v>37</v>
      </c>
      <c r="V51" s="129"/>
      <c r="W51" s="177" t="s">
        <v>54</v>
      </c>
      <c r="X51" s="215"/>
      <c r="Y51" s="216">
        <v>0</v>
      </c>
      <c r="Z51" s="216">
        <v>0</v>
      </c>
      <c r="AA51" s="263"/>
      <c r="AB51" s="305"/>
    </row>
    <row r="52" spans="1:29" ht="24" hidden="1" x14ac:dyDescent="0.25">
      <c r="A52" s="131">
        <v>1</v>
      </c>
      <c r="B52" s="129">
        <v>1101226</v>
      </c>
      <c r="C52" s="127" t="s">
        <v>30</v>
      </c>
      <c r="D52" s="127" t="s">
        <v>139</v>
      </c>
      <c r="E52" s="151" t="s">
        <v>140</v>
      </c>
      <c r="F52" s="129" t="s">
        <v>47</v>
      </c>
      <c r="G52" s="147" t="s">
        <v>34</v>
      </c>
      <c r="H52" s="191">
        <f t="shared" si="0"/>
        <v>0</v>
      </c>
      <c r="I52" s="222" t="s">
        <v>2228</v>
      </c>
      <c r="J52" s="148">
        <v>30</v>
      </c>
      <c r="K52" s="147">
        <v>9</v>
      </c>
      <c r="L52" s="147">
        <v>1</v>
      </c>
      <c r="M52" s="147">
        <v>10</v>
      </c>
      <c r="N52" s="289">
        <v>6400</v>
      </c>
      <c r="O52" s="196"/>
      <c r="P52" s="180"/>
      <c r="Q52" s="174"/>
      <c r="R52" s="206">
        <v>0</v>
      </c>
      <c r="S52" s="167" t="s">
        <v>35</v>
      </c>
      <c r="T52" s="129" t="s">
        <v>36</v>
      </c>
      <c r="U52" s="147" t="s">
        <v>37</v>
      </c>
      <c r="V52" s="129"/>
      <c r="W52" s="163" t="s">
        <v>54</v>
      </c>
      <c r="X52" s="215"/>
      <c r="Y52" s="216">
        <v>0</v>
      </c>
      <c r="Z52" s="216">
        <v>0</v>
      </c>
      <c r="AA52" s="263"/>
      <c r="AB52" s="305"/>
    </row>
    <row r="53" spans="1:29" ht="24" hidden="1" x14ac:dyDescent="0.25">
      <c r="A53" s="131">
        <v>1</v>
      </c>
      <c r="B53" s="129">
        <v>1101227</v>
      </c>
      <c r="C53" s="127" t="s">
        <v>30</v>
      </c>
      <c r="D53" s="127" t="s">
        <v>142</v>
      </c>
      <c r="E53" s="151" t="s">
        <v>143</v>
      </c>
      <c r="F53" s="129" t="s">
        <v>33</v>
      </c>
      <c r="G53" s="147" t="s">
        <v>34</v>
      </c>
      <c r="H53" s="191">
        <f t="shared" si="0"/>
        <v>0</v>
      </c>
      <c r="I53" s="222" t="s">
        <v>2228</v>
      </c>
      <c r="J53" s="146">
        <v>0</v>
      </c>
      <c r="K53" s="147">
        <v>5</v>
      </c>
      <c r="L53" s="147">
        <v>1</v>
      </c>
      <c r="M53" s="147">
        <v>6</v>
      </c>
      <c r="N53" s="289"/>
      <c r="O53" s="196"/>
      <c r="P53" s="180"/>
      <c r="Q53" s="174"/>
      <c r="R53" s="206">
        <v>0</v>
      </c>
      <c r="S53" s="165" t="s">
        <v>35</v>
      </c>
      <c r="T53" s="129" t="s">
        <v>36</v>
      </c>
      <c r="U53" s="147" t="s">
        <v>37</v>
      </c>
      <c r="V53" s="129"/>
      <c r="W53" s="163" t="s">
        <v>54</v>
      </c>
      <c r="X53" s="215"/>
      <c r="Y53" s="216">
        <v>0</v>
      </c>
      <c r="Z53" s="216">
        <v>0</v>
      </c>
      <c r="AA53" s="263"/>
      <c r="AB53" s="305"/>
    </row>
    <row r="54" spans="1:29" ht="24" x14ac:dyDescent="0.25">
      <c r="A54" s="131">
        <v>1</v>
      </c>
      <c r="B54" s="129">
        <v>1101228</v>
      </c>
      <c r="C54" s="127" t="s">
        <v>30</v>
      </c>
      <c r="D54" s="127" t="s">
        <v>144</v>
      </c>
      <c r="E54" s="151" t="s">
        <v>143</v>
      </c>
      <c r="F54" s="129" t="s">
        <v>33</v>
      </c>
      <c r="G54" s="147" t="s">
        <v>34</v>
      </c>
      <c r="H54" s="191">
        <f t="shared" si="0"/>
        <v>3.0480999999999998</v>
      </c>
      <c r="I54" s="222" t="s">
        <v>2228</v>
      </c>
      <c r="J54" s="146">
        <v>0</v>
      </c>
      <c r="K54" s="147">
        <v>11</v>
      </c>
      <c r="L54" s="147">
        <v>1</v>
      </c>
      <c r="M54" s="147">
        <v>12</v>
      </c>
      <c r="N54" s="289">
        <v>4500</v>
      </c>
      <c r="O54" s="195">
        <v>3.266</v>
      </c>
      <c r="P54" s="180">
        <v>45189</v>
      </c>
      <c r="Q54" s="174">
        <v>3.0480999999999998</v>
      </c>
      <c r="R54" s="205">
        <v>0</v>
      </c>
      <c r="S54" s="165" t="s">
        <v>35</v>
      </c>
      <c r="T54" s="129" t="s">
        <v>36</v>
      </c>
      <c r="U54" s="147" t="s">
        <v>37</v>
      </c>
      <c r="V54" s="129"/>
      <c r="W54" s="147" t="s">
        <v>2213</v>
      </c>
      <c r="X54" s="215" t="s">
        <v>1009</v>
      </c>
      <c r="Y54" s="216">
        <v>0</v>
      </c>
      <c r="Z54" s="216">
        <v>0</v>
      </c>
      <c r="AA54" s="263"/>
      <c r="AB54" s="305"/>
    </row>
    <row r="55" spans="1:29" hidden="1" x14ac:dyDescent="0.25">
      <c r="A55" s="131">
        <v>1</v>
      </c>
      <c r="B55" s="129">
        <v>1101229</v>
      </c>
      <c r="C55" s="127" t="s">
        <v>30</v>
      </c>
      <c r="D55" s="127" t="s">
        <v>145</v>
      </c>
      <c r="E55" s="151" t="s">
        <v>146</v>
      </c>
      <c r="F55" s="129" t="s">
        <v>1791</v>
      </c>
      <c r="G55" s="147" t="s">
        <v>34</v>
      </c>
      <c r="H55" s="191">
        <f t="shared" si="0"/>
        <v>2.7457000000000003</v>
      </c>
      <c r="I55" s="181" t="s">
        <v>2084</v>
      </c>
      <c r="J55" s="146">
        <v>30</v>
      </c>
      <c r="K55" s="147">
        <v>2</v>
      </c>
      <c r="L55" s="147">
        <v>2</v>
      </c>
      <c r="M55" s="147">
        <v>4</v>
      </c>
      <c r="N55" s="289">
        <v>1100</v>
      </c>
      <c r="O55" s="196"/>
      <c r="P55" s="180"/>
      <c r="Q55" s="174">
        <v>2.35</v>
      </c>
      <c r="R55" s="205">
        <v>0.3957</v>
      </c>
      <c r="S55" s="165"/>
      <c r="T55" s="129" t="s">
        <v>36</v>
      </c>
      <c r="U55" s="147" t="s">
        <v>37</v>
      </c>
      <c r="V55" s="129"/>
      <c r="W55" s="177" t="s">
        <v>54</v>
      </c>
      <c r="X55" s="215"/>
      <c r="Y55" s="216">
        <v>0</v>
      </c>
      <c r="Z55" s="216">
        <v>0</v>
      </c>
      <c r="AA55" s="263"/>
      <c r="AB55" s="305"/>
    </row>
    <row r="56" spans="1:29" ht="24" hidden="1" x14ac:dyDescent="0.25">
      <c r="A56" s="131">
        <v>1</v>
      </c>
      <c r="B56" s="129">
        <v>1101230</v>
      </c>
      <c r="C56" s="127" t="s">
        <v>30</v>
      </c>
      <c r="D56" s="127" t="s">
        <v>150</v>
      </c>
      <c r="E56" s="151" t="s">
        <v>151</v>
      </c>
      <c r="F56" s="129" t="s">
        <v>33</v>
      </c>
      <c r="G56" s="147" t="s">
        <v>34</v>
      </c>
      <c r="H56" s="191">
        <f t="shared" si="0"/>
        <v>5.6835707157761037</v>
      </c>
      <c r="I56" s="222" t="s">
        <v>2228</v>
      </c>
      <c r="J56" s="146">
        <v>0</v>
      </c>
      <c r="K56" s="147">
        <v>11</v>
      </c>
      <c r="L56" s="147">
        <v>1</v>
      </c>
      <c r="M56" s="147">
        <v>12</v>
      </c>
      <c r="N56" s="289"/>
      <c r="O56" s="196"/>
      <c r="P56" s="180"/>
      <c r="Q56" s="282">
        <f>12.53/2.2046</f>
        <v>5.6835707157761037</v>
      </c>
      <c r="R56" s="206">
        <v>0</v>
      </c>
      <c r="S56" s="165" t="s">
        <v>35</v>
      </c>
      <c r="T56" s="129" t="s">
        <v>36</v>
      </c>
      <c r="U56" s="147" t="s">
        <v>37</v>
      </c>
      <c r="V56" s="129"/>
      <c r="W56" s="163" t="s">
        <v>54</v>
      </c>
      <c r="X56" s="215"/>
      <c r="Y56" s="216">
        <v>0</v>
      </c>
      <c r="Z56" s="216">
        <v>0</v>
      </c>
      <c r="AA56" s="263"/>
      <c r="AB56" s="305"/>
    </row>
    <row r="57" spans="1:29" x14ac:dyDescent="0.25">
      <c r="A57" s="131">
        <v>1</v>
      </c>
      <c r="B57" s="129">
        <v>1101231</v>
      </c>
      <c r="C57" s="127" t="s">
        <v>30</v>
      </c>
      <c r="D57" s="127" t="s">
        <v>152</v>
      </c>
      <c r="E57" s="151" t="s">
        <v>66</v>
      </c>
      <c r="F57" s="129" t="s">
        <v>1791</v>
      </c>
      <c r="G57" s="147" t="s">
        <v>34</v>
      </c>
      <c r="H57" s="191">
        <f t="shared" si="0"/>
        <v>2.7449999999999997</v>
      </c>
      <c r="I57" s="235" t="s">
        <v>2084</v>
      </c>
      <c r="J57" s="146">
        <v>30</v>
      </c>
      <c r="K57" s="147">
        <v>10</v>
      </c>
      <c r="L57" s="147">
        <v>2</v>
      </c>
      <c r="M57" s="147">
        <v>12</v>
      </c>
      <c r="N57" s="289">
        <v>1500</v>
      </c>
      <c r="O57" s="195">
        <v>2.74</v>
      </c>
      <c r="P57" s="180">
        <v>45490</v>
      </c>
      <c r="Q57" s="174">
        <v>2.6949999999999998</v>
      </c>
      <c r="R57" s="205">
        <v>0.05</v>
      </c>
      <c r="S57" s="165"/>
      <c r="T57" s="129" t="s">
        <v>36</v>
      </c>
      <c r="U57" s="147" t="s">
        <v>37</v>
      </c>
      <c r="V57" s="129"/>
      <c r="W57" s="147" t="s">
        <v>2213</v>
      </c>
      <c r="X57" s="215" t="s">
        <v>1009</v>
      </c>
      <c r="Y57" s="216">
        <v>79.06665624999998</v>
      </c>
      <c r="Z57" s="216">
        <v>94.87998749999997</v>
      </c>
      <c r="AA57" s="263"/>
      <c r="AB57" s="305"/>
    </row>
    <row r="58" spans="1:29" x14ac:dyDescent="0.25">
      <c r="A58" s="131">
        <v>1</v>
      </c>
      <c r="B58" s="129">
        <v>1101232</v>
      </c>
      <c r="C58" s="127" t="s">
        <v>30</v>
      </c>
      <c r="D58" s="127" t="s">
        <v>153</v>
      </c>
      <c r="E58" s="151" t="s">
        <v>143</v>
      </c>
      <c r="F58" s="129" t="s">
        <v>307</v>
      </c>
      <c r="G58" s="147" t="s">
        <v>34</v>
      </c>
      <c r="H58" s="191">
        <f t="shared" si="0"/>
        <v>3.0713999999999997</v>
      </c>
      <c r="I58" s="222" t="s">
        <v>2084</v>
      </c>
      <c r="J58" s="146">
        <v>0</v>
      </c>
      <c r="K58" s="147">
        <v>8</v>
      </c>
      <c r="L58" s="147">
        <v>2</v>
      </c>
      <c r="M58" s="147">
        <v>10</v>
      </c>
      <c r="N58" s="289">
        <v>8994</v>
      </c>
      <c r="O58" s="174">
        <f>3.785+0.0278</f>
        <v>3.8128000000000002</v>
      </c>
      <c r="P58" s="180">
        <v>46146</v>
      </c>
      <c r="Q58" s="174">
        <f>2.83+0.1914</f>
        <v>3.0213999999999999</v>
      </c>
      <c r="R58" s="205">
        <v>0.05</v>
      </c>
      <c r="S58" s="165"/>
      <c r="T58" s="129" t="s">
        <v>36</v>
      </c>
      <c r="U58" s="147" t="s">
        <v>37</v>
      </c>
      <c r="V58" s="129"/>
      <c r="W58" s="147" t="s">
        <v>2213</v>
      </c>
      <c r="X58" s="215" t="s">
        <v>1009</v>
      </c>
      <c r="Y58" s="216">
        <v>10587.637829166662</v>
      </c>
      <c r="Z58" s="216">
        <v>13030.938866666662</v>
      </c>
      <c r="AA58" s="263"/>
      <c r="AB58" s="305"/>
    </row>
    <row r="59" spans="1:29" hidden="1" x14ac:dyDescent="0.25">
      <c r="A59" s="131">
        <v>1</v>
      </c>
      <c r="B59" s="129">
        <v>1101233</v>
      </c>
      <c r="C59" s="127" t="s">
        <v>30</v>
      </c>
      <c r="D59" s="127" t="s">
        <v>154</v>
      </c>
      <c r="E59" s="151" t="s">
        <v>155</v>
      </c>
      <c r="F59" s="129" t="s">
        <v>1791</v>
      </c>
      <c r="G59" s="147" t="s">
        <v>34</v>
      </c>
      <c r="H59" s="191">
        <f t="shared" si="0"/>
        <v>6.6</v>
      </c>
      <c r="I59" s="181" t="s">
        <v>2084</v>
      </c>
      <c r="J59" s="146">
        <v>30</v>
      </c>
      <c r="K59" s="147">
        <v>8</v>
      </c>
      <c r="L59" s="147">
        <v>2</v>
      </c>
      <c r="M59" s="147">
        <v>10</v>
      </c>
      <c r="N59" s="289">
        <v>1102</v>
      </c>
      <c r="O59" s="196">
        <v>6.5949999999999998</v>
      </c>
      <c r="P59" s="180">
        <v>45055</v>
      </c>
      <c r="Q59" s="174">
        <v>6.55</v>
      </c>
      <c r="R59" s="205">
        <v>0.05</v>
      </c>
      <c r="S59" s="165"/>
      <c r="T59" s="129" t="s">
        <v>36</v>
      </c>
      <c r="U59" s="147" t="s">
        <v>37</v>
      </c>
      <c r="V59" s="129"/>
      <c r="W59" s="177" t="s">
        <v>54</v>
      </c>
      <c r="X59" s="215"/>
      <c r="Y59" s="216">
        <v>0</v>
      </c>
      <c r="Z59" s="216">
        <v>0</v>
      </c>
      <c r="AA59" s="263"/>
      <c r="AB59" s="305"/>
    </row>
    <row r="60" spans="1:29" hidden="1" x14ac:dyDescent="0.25">
      <c r="A60" s="131">
        <v>1</v>
      </c>
      <c r="B60" s="129">
        <v>1101234</v>
      </c>
      <c r="C60" s="127" t="s">
        <v>30</v>
      </c>
      <c r="D60" s="127" t="s">
        <v>156</v>
      </c>
      <c r="E60" s="151" t="s">
        <v>49</v>
      </c>
      <c r="F60" s="129" t="s">
        <v>1791</v>
      </c>
      <c r="G60" s="147" t="s">
        <v>34</v>
      </c>
      <c r="H60" s="191">
        <f t="shared" si="0"/>
        <v>6.4</v>
      </c>
      <c r="I60" s="181" t="s">
        <v>2084</v>
      </c>
      <c r="J60" s="146">
        <v>30</v>
      </c>
      <c r="K60" s="147">
        <v>8</v>
      </c>
      <c r="L60" s="147">
        <v>2</v>
      </c>
      <c r="M60" s="147">
        <v>10</v>
      </c>
      <c r="N60" s="289">
        <v>1102</v>
      </c>
      <c r="O60" s="196">
        <v>3.9350000000000001</v>
      </c>
      <c r="P60" s="180">
        <v>44684</v>
      </c>
      <c r="Q60" s="174">
        <v>6.4</v>
      </c>
      <c r="R60" s="205">
        <v>0</v>
      </c>
      <c r="S60" s="165"/>
      <c r="T60" s="129" t="s">
        <v>36</v>
      </c>
      <c r="U60" s="147" t="s">
        <v>37</v>
      </c>
      <c r="V60" s="129"/>
      <c r="W60" s="177" t="s">
        <v>54</v>
      </c>
      <c r="X60" s="215"/>
      <c r="Y60" s="216">
        <v>0</v>
      </c>
      <c r="Z60" s="216">
        <v>0</v>
      </c>
      <c r="AA60" s="263"/>
      <c r="AB60" s="305"/>
    </row>
    <row r="61" spans="1:29" ht="24" hidden="1" x14ac:dyDescent="0.25">
      <c r="A61" s="131">
        <v>1</v>
      </c>
      <c r="B61" s="129">
        <v>1101235</v>
      </c>
      <c r="C61" s="127" t="s">
        <v>30</v>
      </c>
      <c r="D61" s="129" t="s">
        <v>157</v>
      </c>
      <c r="E61" s="151" t="s">
        <v>1937</v>
      </c>
      <c r="F61" s="129" t="s">
        <v>33</v>
      </c>
      <c r="G61" s="147" t="s">
        <v>34</v>
      </c>
      <c r="H61" s="191">
        <f t="shared" si="0"/>
        <v>0</v>
      </c>
      <c r="I61" s="222" t="s">
        <v>2228</v>
      </c>
      <c r="J61" s="146">
        <v>0</v>
      </c>
      <c r="K61" s="147">
        <v>8</v>
      </c>
      <c r="L61" s="147">
        <v>1</v>
      </c>
      <c r="M61" s="147">
        <v>9</v>
      </c>
      <c r="N61" s="289" t="s">
        <v>158</v>
      </c>
      <c r="O61" s="196"/>
      <c r="P61" s="180"/>
      <c r="Q61" s="174"/>
      <c r="R61" s="206">
        <v>0</v>
      </c>
      <c r="S61" s="165" t="s">
        <v>35</v>
      </c>
      <c r="T61" s="129" t="s">
        <v>36</v>
      </c>
      <c r="U61" s="147" t="s">
        <v>37</v>
      </c>
      <c r="V61" s="129"/>
      <c r="W61" s="163" t="s">
        <v>54</v>
      </c>
      <c r="X61" s="215"/>
      <c r="Y61" s="216">
        <v>0</v>
      </c>
      <c r="Z61" s="216">
        <v>0</v>
      </c>
      <c r="AA61" s="263"/>
      <c r="AB61" s="305"/>
    </row>
    <row r="62" spans="1:29" ht="24" hidden="1" x14ac:dyDescent="0.25">
      <c r="A62" s="131">
        <v>1</v>
      </c>
      <c r="B62" s="129">
        <v>1101236</v>
      </c>
      <c r="C62" s="127" t="s">
        <v>30</v>
      </c>
      <c r="D62" s="127" t="s">
        <v>159</v>
      </c>
      <c r="E62" s="151" t="s">
        <v>143</v>
      </c>
      <c r="F62" s="129" t="s">
        <v>33</v>
      </c>
      <c r="G62" s="147" t="s">
        <v>34</v>
      </c>
      <c r="H62" s="191">
        <f t="shared" si="0"/>
        <v>0</v>
      </c>
      <c r="I62" s="222" t="s">
        <v>2228</v>
      </c>
      <c r="J62" s="146">
        <v>0</v>
      </c>
      <c r="K62" s="147">
        <v>8</v>
      </c>
      <c r="L62" s="147">
        <v>1</v>
      </c>
      <c r="M62" s="147">
        <v>9</v>
      </c>
      <c r="N62" s="289"/>
      <c r="O62" s="196"/>
      <c r="P62" s="180"/>
      <c r="Q62" s="174"/>
      <c r="R62" s="206">
        <v>0</v>
      </c>
      <c r="S62" s="165" t="s">
        <v>35</v>
      </c>
      <c r="T62" s="129" t="s">
        <v>36</v>
      </c>
      <c r="U62" s="147" t="s">
        <v>37</v>
      </c>
      <c r="V62" s="129"/>
      <c r="W62" s="163" t="s">
        <v>54</v>
      </c>
      <c r="X62" s="215"/>
      <c r="Y62" s="216">
        <v>0</v>
      </c>
      <c r="Z62" s="216">
        <v>0</v>
      </c>
      <c r="AA62" s="263"/>
      <c r="AB62" s="305"/>
    </row>
    <row r="63" spans="1:29" ht="24" hidden="1" x14ac:dyDescent="0.25">
      <c r="A63" s="131">
        <v>1</v>
      </c>
      <c r="B63" s="129">
        <v>1101237</v>
      </c>
      <c r="C63" s="127" t="s">
        <v>30</v>
      </c>
      <c r="D63" s="127" t="s">
        <v>160</v>
      </c>
      <c r="E63" s="151" t="s">
        <v>143</v>
      </c>
      <c r="F63" s="129" t="s">
        <v>33</v>
      </c>
      <c r="G63" s="147" t="s">
        <v>34</v>
      </c>
      <c r="H63" s="191">
        <f t="shared" si="0"/>
        <v>0</v>
      </c>
      <c r="I63" s="222" t="s">
        <v>2228</v>
      </c>
      <c r="J63" s="146">
        <v>0</v>
      </c>
      <c r="K63" s="147">
        <v>8</v>
      </c>
      <c r="L63" s="147">
        <v>1</v>
      </c>
      <c r="M63" s="147">
        <v>9</v>
      </c>
      <c r="N63" s="289">
        <v>1500</v>
      </c>
      <c r="O63" s="196"/>
      <c r="P63" s="180"/>
      <c r="Q63" s="174"/>
      <c r="R63" s="206">
        <v>0</v>
      </c>
      <c r="S63" s="165" t="s">
        <v>35</v>
      </c>
      <c r="T63" s="129" t="s">
        <v>36</v>
      </c>
      <c r="U63" s="147" t="s">
        <v>37</v>
      </c>
      <c r="V63" s="129"/>
      <c r="W63" s="163" t="s">
        <v>54</v>
      </c>
      <c r="X63" s="215"/>
      <c r="Y63" s="216">
        <v>0</v>
      </c>
      <c r="Z63" s="216">
        <v>0</v>
      </c>
      <c r="AA63" s="263"/>
      <c r="AB63" s="305"/>
    </row>
    <row r="64" spans="1:29" ht="24" hidden="1" x14ac:dyDescent="0.25">
      <c r="A64" s="131">
        <v>1</v>
      </c>
      <c r="B64" s="129">
        <v>1101238</v>
      </c>
      <c r="C64" s="127" t="s">
        <v>30</v>
      </c>
      <c r="D64" s="127" t="s">
        <v>161</v>
      </c>
      <c r="E64" s="151" t="s">
        <v>143</v>
      </c>
      <c r="F64" s="129" t="s">
        <v>33</v>
      </c>
      <c r="G64" s="147" t="s">
        <v>34</v>
      </c>
      <c r="H64" s="191">
        <f t="shared" si="0"/>
        <v>3.33</v>
      </c>
      <c r="I64" s="222" t="s">
        <v>2228</v>
      </c>
      <c r="J64" s="146">
        <v>0</v>
      </c>
      <c r="K64" s="147">
        <v>7</v>
      </c>
      <c r="L64" s="147">
        <v>1</v>
      </c>
      <c r="M64" s="147">
        <v>8</v>
      </c>
      <c r="N64" s="289">
        <v>1100</v>
      </c>
      <c r="O64" s="196"/>
      <c r="P64" s="180"/>
      <c r="Q64" s="174">
        <v>3.33</v>
      </c>
      <c r="R64" s="205">
        <v>0</v>
      </c>
      <c r="S64" s="165"/>
      <c r="T64" s="129" t="s">
        <v>162</v>
      </c>
      <c r="U64" s="147" t="s">
        <v>35</v>
      </c>
      <c r="V64" s="129"/>
      <c r="W64" s="177" t="s">
        <v>54</v>
      </c>
      <c r="X64" s="215"/>
      <c r="Y64" s="216">
        <v>0</v>
      </c>
      <c r="Z64" s="216">
        <v>0</v>
      </c>
      <c r="AA64" s="263"/>
      <c r="AB64" s="305"/>
    </row>
    <row r="65" spans="1:29" ht="24" hidden="1" x14ac:dyDescent="0.25">
      <c r="A65" s="131">
        <v>1</v>
      </c>
      <c r="B65" s="136">
        <v>1101239</v>
      </c>
      <c r="C65" s="127" t="s">
        <v>30</v>
      </c>
      <c r="D65" s="129" t="s">
        <v>163</v>
      </c>
      <c r="E65" s="147" t="s">
        <v>143</v>
      </c>
      <c r="F65" s="129" t="s">
        <v>164</v>
      </c>
      <c r="G65" s="147" t="s">
        <v>34</v>
      </c>
      <c r="H65" s="191">
        <f t="shared" si="0"/>
        <v>1.7976000000000001</v>
      </c>
      <c r="I65" s="222" t="s">
        <v>2216</v>
      </c>
      <c r="J65" s="146">
        <v>0</v>
      </c>
      <c r="K65" s="147">
        <v>8</v>
      </c>
      <c r="L65" s="147">
        <v>6</v>
      </c>
      <c r="M65" s="147">
        <v>14</v>
      </c>
      <c r="N65" s="289">
        <v>10000</v>
      </c>
      <c r="O65" s="178">
        <v>1.4932000000000001</v>
      </c>
      <c r="P65" s="180">
        <v>46126</v>
      </c>
      <c r="Q65" s="178">
        <v>1.7976000000000001</v>
      </c>
      <c r="R65" s="205"/>
      <c r="S65" s="165" t="s">
        <v>35</v>
      </c>
      <c r="T65" s="129" t="s">
        <v>36</v>
      </c>
      <c r="U65" s="147" t="s">
        <v>37</v>
      </c>
      <c r="V65" s="129"/>
      <c r="W65" s="177" t="s">
        <v>54</v>
      </c>
      <c r="X65" s="215" t="s">
        <v>1920</v>
      </c>
      <c r="Y65" s="216">
        <v>0</v>
      </c>
      <c r="Z65" s="216">
        <v>0</v>
      </c>
      <c r="AA65" s="263"/>
      <c r="AB65" s="305"/>
    </row>
    <row r="66" spans="1:29" ht="24" hidden="1" x14ac:dyDescent="0.25">
      <c r="A66" s="131">
        <v>1</v>
      </c>
      <c r="B66" s="129">
        <v>1101240</v>
      </c>
      <c r="C66" s="127" t="s">
        <v>30</v>
      </c>
      <c r="D66" s="129" t="s">
        <v>168</v>
      </c>
      <c r="E66" s="147" t="s">
        <v>143</v>
      </c>
      <c r="F66" s="129" t="s">
        <v>164</v>
      </c>
      <c r="G66" s="147" t="s">
        <v>34</v>
      </c>
      <c r="H66" s="191">
        <f t="shared" si="0"/>
        <v>1.4932000000000001</v>
      </c>
      <c r="I66" s="222" t="s">
        <v>2216</v>
      </c>
      <c r="J66" s="146">
        <v>30</v>
      </c>
      <c r="K66" s="147">
        <v>8</v>
      </c>
      <c r="L66" s="147">
        <v>6</v>
      </c>
      <c r="M66" s="147">
        <v>14</v>
      </c>
      <c r="N66" s="289">
        <v>10000</v>
      </c>
      <c r="O66" s="195">
        <v>1.6519999999999999</v>
      </c>
      <c r="P66" s="180">
        <v>45363</v>
      </c>
      <c r="Q66" s="178">
        <v>1.4932000000000001</v>
      </c>
      <c r="R66" s="205"/>
      <c r="S66" s="165" t="s">
        <v>35</v>
      </c>
      <c r="T66" s="129" t="s">
        <v>36</v>
      </c>
      <c r="U66" s="147" t="s">
        <v>37</v>
      </c>
      <c r="V66" s="129"/>
      <c r="W66" s="177" t="s">
        <v>54</v>
      </c>
      <c r="X66" s="215" t="s">
        <v>1920</v>
      </c>
      <c r="Y66" s="216">
        <v>0</v>
      </c>
      <c r="Z66" s="216">
        <v>0</v>
      </c>
      <c r="AA66" s="263"/>
      <c r="AB66" s="305"/>
    </row>
    <row r="67" spans="1:29" x14ac:dyDescent="0.25">
      <c r="A67" s="131">
        <v>1</v>
      </c>
      <c r="B67" s="129">
        <v>1101241</v>
      </c>
      <c r="C67" s="127" t="s">
        <v>30</v>
      </c>
      <c r="D67" s="129" t="s">
        <v>171</v>
      </c>
      <c r="E67" s="147" t="s">
        <v>143</v>
      </c>
      <c r="F67" s="129" t="s">
        <v>2000</v>
      </c>
      <c r="G67" s="147" t="s">
        <v>34</v>
      </c>
      <c r="H67" s="191">
        <f t="shared" ref="H67:H130" si="1">Q67+R67</f>
        <v>2.44</v>
      </c>
      <c r="I67" s="222" t="s">
        <v>2084</v>
      </c>
      <c r="J67" s="146">
        <v>60</v>
      </c>
      <c r="K67" s="147">
        <v>4</v>
      </c>
      <c r="L67" s="147">
        <v>8</v>
      </c>
      <c r="M67" s="147">
        <v>12</v>
      </c>
      <c r="N67" s="289">
        <v>35274</v>
      </c>
      <c r="O67" s="195">
        <v>1.66</v>
      </c>
      <c r="P67" s="180">
        <v>44888</v>
      </c>
      <c r="Q67" s="174">
        <v>2.39</v>
      </c>
      <c r="R67" s="205">
        <v>0.05</v>
      </c>
      <c r="S67" s="165"/>
      <c r="T67" s="129" t="s">
        <v>36</v>
      </c>
      <c r="U67" s="147" t="s">
        <v>37</v>
      </c>
      <c r="V67" s="129"/>
      <c r="W67" s="147" t="s">
        <v>2213</v>
      </c>
      <c r="X67" s="215" t="s">
        <v>1917</v>
      </c>
      <c r="Y67" s="216">
        <v>0</v>
      </c>
      <c r="Z67" s="216">
        <v>0</v>
      </c>
      <c r="AA67" s="263"/>
      <c r="AB67" s="305"/>
    </row>
    <row r="68" spans="1:29" ht="24" hidden="1" x14ac:dyDescent="0.25">
      <c r="A68" s="131">
        <v>1</v>
      </c>
      <c r="B68" s="129">
        <v>1101242</v>
      </c>
      <c r="C68" s="127" t="s">
        <v>30</v>
      </c>
      <c r="D68" s="129" t="s">
        <v>176</v>
      </c>
      <c r="E68" s="147" t="s">
        <v>143</v>
      </c>
      <c r="F68" s="129" t="s">
        <v>33</v>
      </c>
      <c r="G68" s="147" t="s">
        <v>34</v>
      </c>
      <c r="H68" s="191">
        <f t="shared" si="1"/>
        <v>0</v>
      </c>
      <c r="I68" s="222" t="s">
        <v>2228</v>
      </c>
      <c r="J68" s="146">
        <v>0</v>
      </c>
      <c r="K68" s="147">
        <v>11</v>
      </c>
      <c r="L68" s="147">
        <v>1</v>
      </c>
      <c r="M68" s="147">
        <v>12</v>
      </c>
      <c r="N68" s="289"/>
      <c r="O68" s="196"/>
      <c r="P68" s="180"/>
      <c r="Q68" s="174"/>
      <c r="R68" s="205">
        <v>0</v>
      </c>
      <c r="S68" s="165"/>
      <c r="T68" s="129"/>
      <c r="U68" s="147" t="s">
        <v>37</v>
      </c>
      <c r="V68" s="129"/>
      <c r="W68" s="177" t="s">
        <v>54</v>
      </c>
      <c r="X68" s="215"/>
      <c r="Y68" s="216">
        <v>0</v>
      </c>
      <c r="Z68" s="216">
        <v>0</v>
      </c>
      <c r="AA68" s="263"/>
      <c r="AB68" s="305"/>
    </row>
    <row r="69" spans="1:29" x14ac:dyDescent="0.25">
      <c r="A69" s="131">
        <v>1</v>
      </c>
      <c r="B69" s="129">
        <v>1101260</v>
      </c>
      <c r="C69" s="127" t="s">
        <v>30</v>
      </c>
      <c r="D69" s="127" t="s">
        <v>177</v>
      </c>
      <c r="E69" s="151" t="s">
        <v>46</v>
      </c>
      <c r="F69" s="129" t="s">
        <v>1642</v>
      </c>
      <c r="G69" s="147" t="s">
        <v>34</v>
      </c>
      <c r="H69" s="191">
        <f t="shared" si="1"/>
        <v>4.3999999999999995</v>
      </c>
      <c r="I69" s="235" t="s">
        <v>2084</v>
      </c>
      <c r="J69" s="146">
        <v>45</v>
      </c>
      <c r="K69" s="147">
        <v>8</v>
      </c>
      <c r="L69" s="147">
        <v>2</v>
      </c>
      <c r="M69" s="147">
        <v>10</v>
      </c>
      <c r="N69" s="289">
        <v>2200</v>
      </c>
      <c r="O69" s="195">
        <v>4.8600000000000003</v>
      </c>
      <c r="P69" s="180">
        <v>46098</v>
      </c>
      <c r="Q69" s="174">
        <v>4.3499999999999996</v>
      </c>
      <c r="R69" s="205">
        <v>0.05</v>
      </c>
      <c r="S69" s="165"/>
      <c r="T69" s="129" t="s">
        <v>36</v>
      </c>
      <c r="U69" s="147" t="s">
        <v>37</v>
      </c>
      <c r="V69" s="129"/>
      <c r="W69" s="147" t="s">
        <v>2213</v>
      </c>
      <c r="X69" s="215" t="s">
        <v>1009</v>
      </c>
      <c r="Y69" s="216">
        <v>2097.2308499999999</v>
      </c>
      <c r="Z69" s="216">
        <v>2581.2071999999998</v>
      </c>
      <c r="AA69" s="263"/>
      <c r="AB69" s="305"/>
    </row>
    <row r="70" spans="1:29" hidden="1" x14ac:dyDescent="0.25">
      <c r="A70" s="131">
        <v>1</v>
      </c>
      <c r="B70" s="129">
        <v>1101261</v>
      </c>
      <c r="C70" s="127" t="s">
        <v>30</v>
      </c>
      <c r="D70" s="127" t="s">
        <v>178</v>
      </c>
      <c r="E70" s="151" t="s">
        <v>179</v>
      </c>
      <c r="F70" s="129" t="s">
        <v>1791</v>
      </c>
      <c r="G70" s="147" t="s">
        <v>34</v>
      </c>
      <c r="H70" s="191">
        <f t="shared" si="1"/>
        <v>6.8000000000000007</v>
      </c>
      <c r="I70" s="181" t="s">
        <v>2084</v>
      </c>
      <c r="J70" s="146">
        <v>30</v>
      </c>
      <c r="K70" s="147">
        <v>7</v>
      </c>
      <c r="L70" s="147">
        <v>2</v>
      </c>
      <c r="M70" s="147">
        <v>9</v>
      </c>
      <c r="N70" s="289">
        <v>1102</v>
      </c>
      <c r="O70" s="196"/>
      <c r="P70" s="180">
        <v>44684</v>
      </c>
      <c r="Q70" s="174">
        <v>6.44</v>
      </c>
      <c r="R70" s="205">
        <v>0.36</v>
      </c>
      <c r="S70" s="165"/>
      <c r="T70" s="129" t="s">
        <v>36</v>
      </c>
      <c r="U70" s="147" t="s">
        <v>37</v>
      </c>
      <c r="V70" s="129"/>
      <c r="W70" s="177" t="s">
        <v>54</v>
      </c>
      <c r="X70" s="215"/>
      <c r="Y70" s="216">
        <v>0</v>
      </c>
      <c r="Z70" s="216">
        <v>0</v>
      </c>
      <c r="AA70" s="263"/>
      <c r="AB70" s="305"/>
    </row>
    <row r="71" spans="1:29" x14ac:dyDescent="0.25">
      <c r="A71" s="131">
        <v>1</v>
      </c>
      <c r="B71" s="136">
        <v>1101265</v>
      </c>
      <c r="C71" s="127" t="s">
        <v>30</v>
      </c>
      <c r="D71" s="127" t="s">
        <v>180</v>
      </c>
      <c r="E71" s="297" t="s">
        <v>181</v>
      </c>
      <c r="F71" s="129" t="s">
        <v>1616</v>
      </c>
      <c r="G71" s="147" t="s">
        <v>34</v>
      </c>
      <c r="H71" s="191">
        <f t="shared" si="1"/>
        <v>6.93</v>
      </c>
      <c r="I71" s="222" t="s">
        <v>2084</v>
      </c>
      <c r="J71" s="146">
        <v>0</v>
      </c>
      <c r="K71" s="147">
        <v>4</v>
      </c>
      <c r="L71" s="147">
        <v>2</v>
      </c>
      <c r="M71" s="147">
        <v>6</v>
      </c>
      <c r="N71" s="289">
        <v>250</v>
      </c>
      <c r="O71" s="195">
        <v>2.76</v>
      </c>
      <c r="P71" s="180">
        <v>45940</v>
      </c>
      <c r="Q71" s="174">
        <v>6.88</v>
      </c>
      <c r="R71" s="205">
        <v>0.05</v>
      </c>
      <c r="S71" s="165"/>
      <c r="T71" s="129" t="s">
        <v>36</v>
      </c>
      <c r="U71" s="147" t="s">
        <v>37</v>
      </c>
      <c r="V71" s="129"/>
      <c r="W71" s="147" t="s">
        <v>2213</v>
      </c>
      <c r="X71" s="215" t="s">
        <v>1009</v>
      </c>
      <c r="Y71" s="216">
        <v>1001.0968499999999</v>
      </c>
      <c r="Z71" s="216">
        <v>1334.7957999999999</v>
      </c>
      <c r="AA71" s="263"/>
      <c r="AB71" s="305"/>
    </row>
    <row r="72" spans="1:29" x14ac:dyDescent="0.25">
      <c r="A72" s="131">
        <v>1</v>
      </c>
      <c r="B72" s="136">
        <v>1101266</v>
      </c>
      <c r="C72" s="127" t="s">
        <v>30</v>
      </c>
      <c r="D72" s="127" t="s">
        <v>185</v>
      </c>
      <c r="E72" s="297" t="s">
        <v>181</v>
      </c>
      <c r="F72" s="129" t="s">
        <v>1616</v>
      </c>
      <c r="G72" s="147" t="s">
        <v>34</v>
      </c>
      <c r="H72" s="191">
        <f t="shared" si="1"/>
        <v>2.86</v>
      </c>
      <c r="I72" s="222" t="s">
        <v>2084</v>
      </c>
      <c r="J72" s="146">
        <v>0</v>
      </c>
      <c r="K72" s="147">
        <v>2</v>
      </c>
      <c r="L72" s="147">
        <v>2</v>
      </c>
      <c r="M72" s="147">
        <v>4</v>
      </c>
      <c r="N72" s="289">
        <v>1650</v>
      </c>
      <c r="O72" s="195">
        <v>2.5568</v>
      </c>
      <c r="P72" s="180">
        <v>44974</v>
      </c>
      <c r="Q72" s="174">
        <v>2.81</v>
      </c>
      <c r="R72" s="205">
        <v>0.05</v>
      </c>
      <c r="S72" s="165"/>
      <c r="T72" s="137" t="s">
        <v>36</v>
      </c>
      <c r="U72" s="147" t="s">
        <v>37</v>
      </c>
      <c r="V72" s="136"/>
      <c r="W72" s="147" t="s">
        <v>2213</v>
      </c>
      <c r="X72" s="215" t="s">
        <v>1009</v>
      </c>
      <c r="Y72" s="216">
        <v>0</v>
      </c>
      <c r="Z72" s="216">
        <v>0</v>
      </c>
      <c r="AA72" s="263"/>
      <c r="AB72" s="305"/>
    </row>
    <row r="73" spans="1:29" s="182" customFormat="1" hidden="1" x14ac:dyDescent="0.25">
      <c r="A73" s="131">
        <v>1</v>
      </c>
      <c r="B73" s="129">
        <v>1101267</v>
      </c>
      <c r="C73" s="127" t="s">
        <v>30</v>
      </c>
      <c r="D73" s="129" t="s">
        <v>187</v>
      </c>
      <c r="E73" s="147" t="s">
        <v>32</v>
      </c>
      <c r="F73" s="129" t="s">
        <v>188</v>
      </c>
      <c r="G73" s="147" t="s">
        <v>34</v>
      </c>
      <c r="H73" s="191">
        <f t="shared" si="1"/>
        <v>0</v>
      </c>
      <c r="I73" s="225"/>
      <c r="J73" s="149"/>
      <c r="K73" s="147"/>
      <c r="L73" s="147"/>
      <c r="M73" s="147">
        <v>1</v>
      </c>
      <c r="N73" s="289"/>
      <c r="O73" s="196"/>
      <c r="P73" s="180"/>
      <c r="Q73" s="174"/>
      <c r="R73" s="206">
        <v>0</v>
      </c>
      <c r="S73" s="165"/>
      <c r="T73" s="129" t="s">
        <v>189</v>
      </c>
      <c r="U73" s="147" t="s">
        <v>35</v>
      </c>
      <c r="V73" s="136"/>
      <c r="W73" s="163" t="s">
        <v>54</v>
      </c>
      <c r="X73" s="215"/>
      <c r="Y73" s="216">
        <v>0</v>
      </c>
      <c r="Z73" s="216">
        <v>0</v>
      </c>
      <c r="AA73" s="263"/>
      <c r="AB73" s="305"/>
      <c r="AC73" s="214"/>
    </row>
    <row r="74" spans="1:29" ht="24" hidden="1" x14ac:dyDescent="0.25">
      <c r="A74" s="131">
        <v>1</v>
      </c>
      <c r="B74" s="129">
        <v>1102003</v>
      </c>
      <c r="C74" s="127" t="s">
        <v>30</v>
      </c>
      <c r="D74" s="127" t="s">
        <v>193</v>
      </c>
      <c r="E74" s="151" t="s">
        <v>66</v>
      </c>
      <c r="F74" s="129" t="s">
        <v>1788</v>
      </c>
      <c r="G74" s="147" t="s">
        <v>34</v>
      </c>
      <c r="H74" s="191">
        <f t="shared" si="1"/>
        <v>1.02</v>
      </c>
      <c r="I74" s="222" t="s">
        <v>2217</v>
      </c>
      <c r="J74" s="146">
        <v>0</v>
      </c>
      <c r="K74" s="147">
        <v>6</v>
      </c>
      <c r="L74" s="147">
        <v>2</v>
      </c>
      <c r="M74" s="147">
        <v>8</v>
      </c>
      <c r="N74" s="289">
        <v>1650</v>
      </c>
      <c r="O74" s="196"/>
      <c r="P74" s="180"/>
      <c r="Q74" s="174">
        <v>1.01</v>
      </c>
      <c r="R74" s="205">
        <v>0.01</v>
      </c>
      <c r="S74" s="167"/>
      <c r="T74" s="129" t="s">
        <v>36</v>
      </c>
      <c r="U74" s="147" t="s">
        <v>37</v>
      </c>
      <c r="V74" s="136"/>
      <c r="W74" s="177" t="s">
        <v>54</v>
      </c>
      <c r="X74" s="215"/>
      <c r="Y74" s="216">
        <v>0</v>
      </c>
      <c r="Z74" s="216">
        <v>0</v>
      </c>
      <c r="AA74" s="263"/>
      <c r="AB74" s="305"/>
    </row>
    <row r="75" spans="1:29" hidden="1" x14ac:dyDescent="0.25">
      <c r="A75" s="131">
        <v>1</v>
      </c>
      <c r="B75" s="136">
        <v>1102004</v>
      </c>
      <c r="C75" s="127" t="s">
        <v>30</v>
      </c>
      <c r="D75" s="127" t="s">
        <v>198</v>
      </c>
      <c r="E75" s="297" t="s">
        <v>66</v>
      </c>
      <c r="F75" s="129" t="s">
        <v>36</v>
      </c>
      <c r="G75" s="147" t="s">
        <v>34</v>
      </c>
      <c r="H75" s="191">
        <f t="shared" si="1"/>
        <v>0</v>
      </c>
      <c r="I75" s="134" t="s">
        <v>2218</v>
      </c>
      <c r="J75" s="149"/>
      <c r="K75" s="147"/>
      <c r="L75" s="147"/>
      <c r="M75" s="147">
        <v>7</v>
      </c>
      <c r="N75" s="289">
        <v>1100</v>
      </c>
      <c r="O75" s="196"/>
      <c r="P75" s="180"/>
      <c r="Q75" s="174"/>
      <c r="R75" s="206">
        <v>0</v>
      </c>
      <c r="S75" s="167"/>
      <c r="T75" s="129" t="s">
        <v>36</v>
      </c>
      <c r="U75" s="147" t="s">
        <v>37</v>
      </c>
      <c r="V75" s="136"/>
      <c r="W75" s="163" t="s">
        <v>2531</v>
      </c>
      <c r="X75" s="215"/>
      <c r="Y75" s="216">
        <v>0</v>
      </c>
      <c r="Z75" s="216">
        <v>0</v>
      </c>
      <c r="AA75" s="263"/>
      <c r="AB75" s="305"/>
    </row>
    <row r="76" spans="1:29" ht="24" hidden="1" x14ac:dyDescent="0.25">
      <c r="A76" s="131">
        <v>1</v>
      </c>
      <c r="B76" s="136">
        <v>1102005</v>
      </c>
      <c r="C76" s="127" t="s">
        <v>30</v>
      </c>
      <c r="D76" s="127" t="s">
        <v>199</v>
      </c>
      <c r="E76" s="297" t="s">
        <v>66</v>
      </c>
      <c r="F76" s="129" t="s">
        <v>33</v>
      </c>
      <c r="G76" s="147" t="s">
        <v>34</v>
      </c>
      <c r="H76" s="191">
        <f t="shared" si="1"/>
        <v>0</v>
      </c>
      <c r="I76" s="222" t="s">
        <v>2228</v>
      </c>
      <c r="J76" s="146">
        <v>0</v>
      </c>
      <c r="K76" s="147">
        <v>5</v>
      </c>
      <c r="L76" s="147">
        <v>1</v>
      </c>
      <c r="M76" s="147">
        <v>6</v>
      </c>
      <c r="N76" s="289"/>
      <c r="O76" s="196"/>
      <c r="P76" s="180"/>
      <c r="Q76" s="174"/>
      <c r="R76" s="206">
        <v>0</v>
      </c>
      <c r="S76" s="165"/>
      <c r="T76" s="129" t="s">
        <v>189</v>
      </c>
      <c r="U76" s="147" t="s">
        <v>37</v>
      </c>
      <c r="V76" s="136"/>
      <c r="W76" s="163" t="s">
        <v>54</v>
      </c>
      <c r="X76" s="215"/>
      <c r="Y76" s="216">
        <v>0</v>
      </c>
      <c r="Z76" s="216">
        <v>0</v>
      </c>
      <c r="AA76" s="263"/>
      <c r="AB76" s="305"/>
    </row>
    <row r="77" spans="1:29" hidden="1" x14ac:dyDescent="0.25">
      <c r="A77" s="131">
        <v>1</v>
      </c>
      <c r="B77" s="136">
        <v>1102006</v>
      </c>
      <c r="C77" s="127" t="s">
        <v>30</v>
      </c>
      <c r="D77" s="127" t="s">
        <v>200</v>
      </c>
      <c r="E77" s="297" t="s">
        <v>66</v>
      </c>
      <c r="F77" s="129" t="s">
        <v>1788</v>
      </c>
      <c r="G77" s="147" t="s">
        <v>34</v>
      </c>
      <c r="H77" s="191">
        <f t="shared" si="1"/>
        <v>0</v>
      </c>
      <c r="I77" s="181" t="s">
        <v>2084</v>
      </c>
      <c r="J77" s="146">
        <v>0</v>
      </c>
      <c r="K77" s="147">
        <v>8</v>
      </c>
      <c r="L77" s="147">
        <v>2</v>
      </c>
      <c r="M77" s="147">
        <v>10</v>
      </c>
      <c r="N77" s="289">
        <v>1650</v>
      </c>
      <c r="O77" s="196"/>
      <c r="P77" s="180"/>
      <c r="Q77" s="174"/>
      <c r="R77" s="206">
        <v>0</v>
      </c>
      <c r="S77" s="168"/>
      <c r="T77" s="129" t="s">
        <v>36</v>
      </c>
      <c r="U77" s="147" t="s">
        <v>37</v>
      </c>
      <c r="V77" s="136"/>
      <c r="W77" s="163" t="s">
        <v>54</v>
      </c>
      <c r="X77" s="215"/>
      <c r="Y77" s="216">
        <v>0</v>
      </c>
      <c r="Z77" s="216">
        <v>0</v>
      </c>
      <c r="AA77" s="263"/>
      <c r="AB77" s="305"/>
    </row>
    <row r="78" spans="1:29" s="182" customFormat="1" hidden="1" x14ac:dyDescent="0.25">
      <c r="A78" s="131">
        <v>1</v>
      </c>
      <c r="B78" s="136">
        <v>1102007</v>
      </c>
      <c r="C78" s="127" t="s">
        <v>30</v>
      </c>
      <c r="D78" s="127" t="s">
        <v>204</v>
      </c>
      <c r="E78" s="297" t="s">
        <v>66</v>
      </c>
      <c r="F78" s="129" t="s">
        <v>205</v>
      </c>
      <c r="G78" s="147" t="s">
        <v>34</v>
      </c>
      <c r="H78" s="191">
        <f t="shared" si="1"/>
        <v>0</v>
      </c>
      <c r="I78" s="225"/>
      <c r="J78" s="149"/>
      <c r="K78" s="147">
        <v>11</v>
      </c>
      <c r="L78" s="147">
        <v>1</v>
      </c>
      <c r="M78" s="147">
        <v>12</v>
      </c>
      <c r="N78" s="289">
        <v>10000</v>
      </c>
      <c r="O78" s="196"/>
      <c r="P78" s="180"/>
      <c r="Q78" s="174"/>
      <c r="R78" s="206">
        <v>0</v>
      </c>
      <c r="S78" s="168"/>
      <c r="T78" s="129" t="s">
        <v>206</v>
      </c>
      <c r="U78" s="147" t="s">
        <v>37</v>
      </c>
      <c r="V78" s="129"/>
      <c r="W78" s="163" t="s">
        <v>54</v>
      </c>
      <c r="X78" s="215"/>
      <c r="Y78" s="216">
        <v>0</v>
      </c>
      <c r="Z78" s="216">
        <v>0</v>
      </c>
      <c r="AA78" s="263"/>
      <c r="AB78" s="305"/>
      <c r="AC78" s="214"/>
    </row>
    <row r="79" spans="1:29" hidden="1" x14ac:dyDescent="0.25">
      <c r="A79" s="131">
        <v>1</v>
      </c>
      <c r="B79" s="136">
        <v>1102008</v>
      </c>
      <c r="C79" s="127" t="s">
        <v>30</v>
      </c>
      <c r="D79" s="127" t="s">
        <v>210</v>
      </c>
      <c r="E79" s="297" t="s">
        <v>66</v>
      </c>
      <c r="F79" s="129" t="s">
        <v>1788</v>
      </c>
      <c r="G79" s="147" t="s">
        <v>34</v>
      </c>
      <c r="H79" s="191">
        <f t="shared" si="1"/>
        <v>0</v>
      </c>
      <c r="I79" s="181" t="s">
        <v>2084</v>
      </c>
      <c r="J79" s="146">
        <v>0</v>
      </c>
      <c r="K79" s="147">
        <v>8</v>
      </c>
      <c r="L79" s="147">
        <v>2</v>
      </c>
      <c r="M79" s="147">
        <v>10</v>
      </c>
      <c r="N79" s="289">
        <v>55</v>
      </c>
      <c r="O79" s="196"/>
      <c r="P79" s="180"/>
      <c r="Q79" s="174"/>
      <c r="R79" s="206">
        <v>0</v>
      </c>
      <c r="S79" s="168"/>
      <c r="T79" s="129" t="s">
        <v>206</v>
      </c>
      <c r="U79" s="147" t="s">
        <v>37</v>
      </c>
      <c r="V79" s="129"/>
      <c r="W79" s="163" t="s">
        <v>54</v>
      </c>
      <c r="X79" s="215"/>
      <c r="Y79" s="216">
        <v>0</v>
      </c>
      <c r="Z79" s="216">
        <v>0</v>
      </c>
      <c r="AA79" s="263"/>
      <c r="AB79" s="305"/>
    </row>
    <row r="80" spans="1:29" s="182" customFormat="1" ht="24" hidden="1" x14ac:dyDescent="0.25">
      <c r="A80" s="131">
        <v>1</v>
      </c>
      <c r="B80" s="136">
        <v>1102009</v>
      </c>
      <c r="C80" s="127" t="s">
        <v>30</v>
      </c>
      <c r="D80" s="127" t="s">
        <v>211</v>
      </c>
      <c r="E80" s="297" t="s">
        <v>66</v>
      </c>
      <c r="F80" s="136" t="s">
        <v>1981</v>
      </c>
      <c r="G80" s="147" t="s">
        <v>34</v>
      </c>
      <c r="H80" s="191">
        <f t="shared" si="1"/>
        <v>1.45</v>
      </c>
      <c r="I80" s="222" t="s">
        <v>2228</v>
      </c>
      <c r="J80" s="150"/>
      <c r="K80" s="147"/>
      <c r="L80" s="147"/>
      <c r="M80" s="147">
        <v>10</v>
      </c>
      <c r="N80" s="289">
        <v>55</v>
      </c>
      <c r="O80" s="196"/>
      <c r="P80" s="180"/>
      <c r="Q80" s="174">
        <v>1.45</v>
      </c>
      <c r="R80" s="205">
        <v>0</v>
      </c>
      <c r="S80" s="165"/>
      <c r="T80" s="129" t="s">
        <v>36</v>
      </c>
      <c r="U80" s="147" t="s">
        <v>37</v>
      </c>
      <c r="V80" s="129"/>
      <c r="W80" s="177" t="s">
        <v>54</v>
      </c>
      <c r="X80" s="215"/>
      <c r="Y80" s="216">
        <v>0</v>
      </c>
      <c r="Z80" s="216">
        <v>0</v>
      </c>
      <c r="AA80" s="263"/>
      <c r="AB80" s="305"/>
      <c r="AC80" s="214"/>
    </row>
    <row r="81" spans="1:29" x14ac:dyDescent="0.25">
      <c r="A81" s="131">
        <v>1</v>
      </c>
      <c r="B81" s="136">
        <v>1102010</v>
      </c>
      <c r="C81" s="127" t="s">
        <v>30</v>
      </c>
      <c r="D81" s="127" t="s">
        <v>1671</v>
      </c>
      <c r="E81" s="297" t="s">
        <v>66</v>
      </c>
      <c r="F81" s="129" t="s">
        <v>2000</v>
      </c>
      <c r="G81" s="147" t="s">
        <v>34</v>
      </c>
      <c r="H81" s="191">
        <f t="shared" si="1"/>
        <v>1.1400000000000001</v>
      </c>
      <c r="I81" s="222" t="s">
        <v>2084</v>
      </c>
      <c r="J81" s="146">
        <v>60</v>
      </c>
      <c r="K81" s="147">
        <v>4</v>
      </c>
      <c r="L81" s="147">
        <v>8</v>
      </c>
      <c r="M81" s="147">
        <v>12</v>
      </c>
      <c r="N81" s="289">
        <v>35724</v>
      </c>
      <c r="O81" s="195">
        <v>1</v>
      </c>
      <c r="P81" s="180">
        <v>45498</v>
      </c>
      <c r="Q81" s="174">
        <v>1.0900000000000001</v>
      </c>
      <c r="R81" s="205">
        <v>0.05</v>
      </c>
      <c r="S81" s="165"/>
      <c r="T81" s="129" t="s">
        <v>2450</v>
      </c>
      <c r="U81" s="147" t="s">
        <v>37</v>
      </c>
      <c r="V81" s="129"/>
      <c r="W81" s="147" t="s">
        <v>2213</v>
      </c>
      <c r="X81" s="215" t="s">
        <v>1917</v>
      </c>
      <c r="Y81" s="216">
        <v>181907.35225000003</v>
      </c>
      <c r="Z81" s="216">
        <v>218288.82270000002</v>
      </c>
      <c r="AA81" s="263"/>
      <c r="AB81" s="305"/>
    </row>
    <row r="82" spans="1:29" ht="24" x14ac:dyDescent="0.25">
      <c r="B82" s="136">
        <v>1102011</v>
      </c>
      <c r="C82" s="127" t="s">
        <v>30</v>
      </c>
      <c r="D82" s="127" t="s">
        <v>213</v>
      </c>
      <c r="E82" s="297" t="s">
        <v>66</v>
      </c>
      <c r="F82" s="129" t="s">
        <v>2513</v>
      </c>
      <c r="G82" s="147" t="s">
        <v>34</v>
      </c>
      <c r="H82" s="191">
        <f t="shared" si="1"/>
        <v>1.0791999999999999</v>
      </c>
      <c r="I82" s="222" t="s">
        <v>2663</v>
      </c>
      <c r="J82" s="146">
        <v>0</v>
      </c>
      <c r="K82" s="147">
        <v>4</v>
      </c>
      <c r="L82" s="147">
        <v>8</v>
      </c>
      <c r="M82" s="147">
        <v>12</v>
      </c>
      <c r="N82" s="289">
        <v>35000</v>
      </c>
      <c r="O82" s="174">
        <f>0.83+0.2571+0.05</f>
        <v>1.1371</v>
      </c>
      <c r="P82" s="180">
        <v>46118</v>
      </c>
      <c r="Q82" s="174">
        <v>1.069</v>
      </c>
      <c r="R82" s="312">
        <f>357/35000</f>
        <v>1.0200000000000001E-2</v>
      </c>
      <c r="S82" s="165"/>
      <c r="T82" s="129" t="s">
        <v>2450</v>
      </c>
      <c r="U82" s="147" t="s">
        <v>37</v>
      </c>
      <c r="V82" s="129"/>
      <c r="W82" s="147" t="s">
        <v>2213</v>
      </c>
      <c r="X82" s="217" t="s">
        <v>1856</v>
      </c>
      <c r="Y82" s="216">
        <v>0</v>
      </c>
      <c r="Z82" s="216">
        <v>0</v>
      </c>
      <c r="AA82" s="263"/>
      <c r="AB82" s="305"/>
    </row>
    <row r="83" spans="1:29" hidden="1" x14ac:dyDescent="0.25">
      <c r="A83" s="131">
        <v>1</v>
      </c>
      <c r="B83" s="136">
        <v>1102012</v>
      </c>
      <c r="C83" s="127" t="s">
        <v>30</v>
      </c>
      <c r="D83" s="127" t="s">
        <v>216</v>
      </c>
      <c r="E83" s="297" t="s">
        <v>66</v>
      </c>
      <c r="F83" s="129" t="s">
        <v>2000</v>
      </c>
      <c r="G83" s="147" t="s">
        <v>34</v>
      </c>
      <c r="H83" s="191">
        <f t="shared" si="1"/>
        <v>1.07</v>
      </c>
      <c r="I83" s="134" t="s">
        <v>2084</v>
      </c>
      <c r="J83" s="146">
        <v>60</v>
      </c>
      <c r="K83" s="147">
        <v>4</v>
      </c>
      <c r="L83" s="147">
        <v>8</v>
      </c>
      <c r="M83" s="147">
        <v>12</v>
      </c>
      <c r="N83" s="289">
        <v>35724</v>
      </c>
      <c r="O83" s="196">
        <v>1.7783977158212967</v>
      </c>
      <c r="P83" s="180">
        <v>44974</v>
      </c>
      <c r="Q83" s="174">
        <v>1.02</v>
      </c>
      <c r="R83" s="205">
        <v>0.05</v>
      </c>
      <c r="S83" s="165"/>
      <c r="T83" s="129" t="s">
        <v>468</v>
      </c>
      <c r="U83" s="147" t="s">
        <v>37</v>
      </c>
      <c r="V83" s="129"/>
      <c r="W83" s="177" t="s">
        <v>54</v>
      </c>
      <c r="X83" s="215" t="s">
        <v>1917</v>
      </c>
      <c r="Y83" s="216">
        <v>0</v>
      </c>
      <c r="Z83" s="216">
        <v>0</v>
      </c>
      <c r="AA83" s="263"/>
      <c r="AB83" s="305"/>
    </row>
    <row r="84" spans="1:29" ht="24" x14ac:dyDescent="0.25">
      <c r="A84" s="131">
        <v>1</v>
      </c>
      <c r="B84" s="136">
        <v>1102013</v>
      </c>
      <c r="C84" s="127" t="s">
        <v>30</v>
      </c>
      <c r="D84" s="127" t="s">
        <v>217</v>
      </c>
      <c r="E84" s="297" t="s">
        <v>66</v>
      </c>
      <c r="F84" s="129" t="s">
        <v>2513</v>
      </c>
      <c r="G84" s="147" t="s">
        <v>34</v>
      </c>
      <c r="H84" s="191">
        <f t="shared" si="1"/>
        <v>1.2961722857142857</v>
      </c>
      <c r="I84" s="222" t="s">
        <v>2663</v>
      </c>
      <c r="J84" s="146">
        <v>0</v>
      </c>
      <c r="K84" s="147">
        <v>4</v>
      </c>
      <c r="L84" s="147">
        <v>8</v>
      </c>
      <c r="M84" s="147">
        <v>12</v>
      </c>
      <c r="N84" s="289">
        <v>35000</v>
      </c>
      <c r="O84" s="195">
        <f>1.5271+0.05</f>
        <v>1.5770999999999999</v>
      </c>
      <c r="P84" s="180">
        <v>46161</v>
      </c>
      <c r="Q84" s="174">
        <v>1.286</v>
      </c>
      <c r="R84" s="205">
        <f>356.03/N84</f>
        <v>1.0172285714285714E-2</v>
      </c>
      <c r="S84" s="165"/>
      <c r="T84" s="129" t="s">
        <v>2450</v>
      </c>
      <c r="U84" s="147" t="s">
        <v>37</v>
      </c>
      <c r="V84" s="129"/>
      <c r="W84" s="147" t="s">
        <v>2213</v>
      </c>
      <c r="X84" s="215" t="s">
        <v>1856</v>
      </c>
      <c r="Y84" s="216">
        <v>0</v>
      </c>
      <c r="Z84" s="216">
        <v>0</v>
      </c>
      <c r="AA84" s="263"/>
      <c r="AB84" s="305"/>
    </row>
    <row r="85" spans="1:29" x14ac:dyDescent="0.25">
      <c r="A85" s="131">
        <v>1</v>
      </c>
      <c r="B85" s="136">
        <v>1102014</v>
      </c>
      <c r="C85" s="127" t="s">
        <v>30</v>
      </c>
      <c r="D85" s="127" t="s">
        <v>218</v>
      </c>
      <c r="E85" s="297" t="s">
        <v>66</v>
      </c>
      <c r="F85" s="129" t="s">
        <v>1545</v>
      </c>
      <c r="G85" s="147" t="s">
        <v>34</v>
      </c>
      <c r="H85" s="191">
        <f t="shared" si="1"/>
        <v>4.7</v>
      </c>
      <c r="I85" s="222" t="s">
        <v>2084</v>
      </c>
      <c r="J85" s="146">
        <v>0</v>
      </c>
      <c r="K85" s="147">
        <v>6</v>
      </c>
      <c r="L85" s="147">
        <v>2</v>
      </c>
      <c r="M85" s="147">
        <v>8</v>
      </c>
      <c r="N85" s="289">
        <v>3000</v>
      </c>
      <c r="O85" s="195">
        <v>3.43</v>
      </c>
      <c r="P85" s="180">
        <v>46111</v>
      </c>
      <c r="Q85" s="174">
        <v>4.6500000000000004</v>
      </c>
      <c r="R85" s="205">
        <v>0.05</v>
      </c>
      <c r="S85" s="165"/>
      <c r="T85" s="129" t="s">
        <v>2450</v>
      </c>
      <c r="U85" s="147" t="s">
        <v>37</v>
      </c>
      <c r="V85" s="129"/>
      <c r="W85" s="147" t="s">
        <v>2213</v>
      </c>
      <c r="X85" s="215" t="s">
        <v>1903</v>
      </c>
      <c r="Y85" s="216">
        <v>1483.1600666666673</v>
      </c>
      <c r="Z85" s="216">
        <v>1887.6582666666673</v>
      </c>
      <c r="AA85" s="263"/>
      <c r="AB85" s="305"/>
    </row>
    <row r="86" spans="1:29" hidden="1" x14ac:dyDescent="0.25">
      <c r="A86" s="131">
        <v>1</v>
      </c>
      <c r="B86" s="136">
        <v>1102015</v>
      </c>
      <c r="C86" s="127" t="s">
        <v>30</v>
      </c>
      <c r="D86" s="127" t="s">
        <v>1501</v>
      </c>
      <c r="E86" s="297" t="s">
        <v>66</v>
      </c>
      <c r="F86" s="129" t="s">
        <v>2000</v>
      </c>
      <c r="G86" s="147" t="s">
        <v>34</v>
      </c>
      <c r="H86" s="191">
        <f t="shared" si="1"/>
        <v>0.05</v>
      </c>
      <c r="I86" s="134" t="s">
        <v>2084</v>
      </c>
      <c r="J86" s="146">
        <v>60</v>
      </c>
      <c r="K86" s="147">
        <v>4</v>
      </c>
      <c r="L86" s="147">
        <v>8</v>
      </c>
      <c r="M86" s="147">
        <v>12</v>
      </c>
      <c r="N86" s="289">
        <v>35724</v>
      </c>
      <c r="O86" s="196"/>
      <c r="P86" s="180"/>
      <c r="Q86" s="174"/>
      <c r="R86" s="205">
        <v>0.05</v>
      </c>
      <c r="S86" s="165"/>
      <c r="T86" s="129" t="s">
        <v>468</v>
      </c>
      <c r="U86" s="147" t="s">
        <v>37</v>
      </c>
      <c r="V86" s="129"/>
      <c r="W86" s="177" t="s">
        <v>54</v>
      </c>
      <c r="X86" s="215" t="s">
        <v>1917</v>
      </c>
      <c r="Y86" s="216">
        <v>0</v>
      </c>
      <c r="Z86" s="216">
        <v>0</v>
      </c>
      <c r="AA86" s="263"/>
      <c r="AB86" s="305"/>
    </row>
    <row r="87" spans="1:29" ht="24" x14ac:dyDescent="0.25">
      <c r="A87" s="131">
        <v>1</v>
      </c>
      <c r="B87" s="136">
        <v>1102016</v>
      </c>
      <c r="C87" s="127" t="s">
        <v>30</v>
      </c>
      <c r="D87" s="127" t="s">
        <v>1514</v>
      </c>
      <c r="E87" s="297" t="s">
        <v>66</v>
      </c>
      <c r="F87" s="129" t="s">
        <v>2000</v>
      </c>
      <c r="G87" s="147" t="s">
        <v>34</v>
      </c>
      <c r="H87" s="191">
        <f t="shared" si="1"/>
        <v>1.35</v>
      </c>
      <c r="I87" s="222" t="s">
        <v>2217</v>
      </c>
      <c r="J87" s="146">
        <v>60</v>
      </c>
      <c r="K87" s="147">
        <v>4</v>
      </c>
      <c r="L87" s="147">
        <v>8</v>
      </c>
      <c r="M87" s="147">
        <v>12</v>
      </c>
      <c r="N87" s="289">
        <v>17637</v>
      </c>
      <c r="O87" s="195">
        <v>1.37</v>
      </c>
      <c r="P87" s="180">
        <v>45749</v>
      </c>
      <c r="Q87" s="174">
        <v>1.3</v>
      </c>
      <c r="R87" s="205">
        <v>0.05</v>
      </c>
      <c r="S87" s="165"/>
      <c r="T87" s="129" t="s">
        <v>2450</v>
      </c>
      <c r="U87" s="147" t="s">
        <v>37</v>
      </c>
      <c r="V87" s="129"/>
      <c r="W87" s="147" t="s">
        <v>2213</v>
      </c>
      <c r="X87" s="215" t="s">
        <v>1917</v>
      </c>
      <c r="Y87" s="216">
        <v>12919.7809875</v>
      </c>
      <c r="Z87" s="216">
        <v>15503.737185</v>
      </c>
      <c r="AA87" s="263"/>
      <c r="AB87" s="305"/>
    </row>
    <row r="88" spans="1:29" ht="36" x14ac:dyDescent="0.25">
      <c r="A88" s="131">
        <v>1</v>
      </c>
      <c r="B88" s="136">
        <v>1102017</v>
      </c>
      <c r="C88" s="127" t="s">
        <v>30</v>
      </c>
      <c r="D88" s="127" t="s">
        <v>1571</v>
      </c>
      <c r="E88" s="297" t="s">
        <v>66</v>
      </c>
      <c r="F88" s="129" t="s">
        <v>2513</v>
      </c>
      <c r="G88" s="147" t="s">
        <v>34</v>
      </c>
      <c r="H88" s="191">
        <f t="shared" si="1"/>
        <v>0.89969999999999994</v>
      </c>
      <c r="I88" s="222" t="s">
        <v>2561</v>
      </c>
      <c r="J88" s="146">
        <v>0</v>
      </c>
      <c r="K88" s="147">
        <v>4</v>
      </c>
      <c r="L88" s="147">
        <v>8</v>
      </c>
      <c r="M88" s="147">
        <v>12</v>
      </c>
      <c r="N88" s="289">
        <v>35000</v>
      </c>
      <c r="O88" s="174">
        <f>1.039+0.2571+0.05</f>
        <v>1.3461000000000001</v>
      </c>
      <c r="P88" s="180">
        <v>46063</v>
      </c>
      <c r="Q88" s="174">
        <v>0.87</v>
      </c>
      <c r="R88" s="205">
        <v>2.9700000000000001E-2</v>
      </c>
      <c r="S88" s="165"/>
      <c r="T88" s="129" t="s">
        <v>2450</v>
      </c>
      <c r="U88" s="147" t="s">
        <v>37</v>
      </c>
      <c r="V88" s="129"/>
      <c r="W88" s="147" t="s">
        <v>2213</v>
      </c>
      <c r="X88" s="217" t="s">
        <v>1856</v>
      </c>
      <c r="Y88" s="216">
        <v>0</v>
      </c>
      <c r="Z88" s="216">
        <v>0</v>
      </c>
      <c r="AA88" s="263"/>
      <c r="AB88" s="305"/>
    </row>
    <row r="89" spans="1:29" ht="24" x14ac:dyDescent="0.25">
      <c r="A89" s="131">
        <v>1</v>
      </c>
      <c r="B89" s="136">
        <v>1103001</v>
      </c>
      <c r="C89" s="127" t="s">
        <v>30</v>
      </c>
      <c r="D89" s="127" t="s">
        <v>219</v>
      </c>
      <c r="E89" s="151" t="s">
        <v>32</v>
      </c>
      <c r="F89" s="129" t="s">
        <v>1838</v>
      </c>
      <c r="G89" s="147" t="s">
        <v>34</v>
      </c>
      <c r="H89" s="191">
        <f t="shared" si="1"/>
        <v>4.24</v>
      </c>
      <c r="I89" s="222" t="s">
        <v>2219</v>
      </c>
      <c r="J89" s="146">
        <v>0</v>
      </c>
      <c r="K89" s="147">
        <v>9</v>
      </c>
      <c r="L89" s="147">
        <v>1</v>
      </c>
      <c r="M89" s="147">
        <v>10</v>
      </c>
      <c r="N89" s="289">
        <v>4400</v>
      </c>
      <c r="O89" s="195">
        <v>4.3449999999999998</v>
      </c>
      <c r="P89" s="180">
        <v>45097</v>
      </c>
      <c r="Q89" s="174">
        <v>4.1900000000000004</v>
      </c>
      <c r="R89" s="205">
        <v>0.05</v>
      </c>
      <c r="S89" s="165"/>
      <c r="T89" s="129" t="s">
        <v>36</v>
      </c>
      <c r="U89" s="147" t="s">
        <v>37</v>
      </c>
      <c r="V89" s="129"/>
      <c r="W89" s="147" t="s">
        <v>2213</v>
      </c>
      <c r="X89" s="215" t="s">
        <v>1009</v>
      </c>
      <c r="Y89" s="216">
        <v>910.41666666666663</v>
      </c>
      <c r="Z89" s="216">
        <v>1251.8229166666665</v>
      </c>
      <c r="AA89" s="263"/>
      <c r="AB89" s="305"/>
    </row>
    <row r="90" spans="1:29" s="182" customFormat="1" hidden="1" x14ac:dyDescent="0.25">
      <c r="A90" s="131">
        <v>1</v>
      </c>
      <c r="B90" s="136">
        <v>1103003</v>
      </c>
      <c r="C90" s="127" t="s">
        <v>30</v>
      </c>
      <c r="D90" s="127" t="s">
        <v>224</v>
      </c>
      <c r="E90" s="151" t="s">
        <v>32</v>
      </c>
      <c r="F90" s="129" t="s">
        <v>225</v>
      </c>
      <c r="G90" s="147" t="s">
        <v>34</v>
      </c>
      <c r="H90" s="191">
        <f t="shared" si="1"/>
        <v>0</v>
      </c>
      <c r="I90" s="225"/>
      <c r="J90" s="149"/>
      <c r="K90" s="147"/>
      <c r="L90" s="147"/>
      <c r="M90" s="147">
        <v>12</v>
      </c>
      <c r="N90" s="289"/>
      <c r="O90" s="196"/>
      <c r="P90" s="180"/>
      <c r="Q90" s="174"/>
      <c r="R90" s="206">
        <v>0</v>
      </c>
      <c r="S90" s="168"/>
      <c r="T90" s="129" t="s">
        <v>64</v>
      </c>
      <c r="U90" s="147" t="s">
        <v>37</v>
      </c>
      <c r="V90" s="129"/>
      <c r="W90" s="163" t="s">
        <v>54</v>
      </c>
      <c r="X90" s="215"/>
      <c r="Y90" s="216">
        <v>0</v>
      </c>
      <c r="Z90" s="216">
        <v>0</v>
      </c>
      <c r="AA90" s="263"/>
      <c r="AB90" s="305"/>
      <c r="AC90" s="214"/>
    </row>
    <row r="91" spans="1:29" s="182" customFormat="1" hidden="1" x14ac:dyDescent="0.25">
      <c r="A91" s="131">
        <v>1</v>
      </c>
      <c r="B91" s="136">
        <v>1103004</v>
      </c>
      <c r="C91" s="127" t="s">
        <v>30</v>
      </c>
      <c r="D91" s="127" t="s">
        <v>229</v>
      </c>
      <c r="E91" s="151" t="s">
        <v>32</v>
      </c>
      <c r="F91" s="129" t="s">
        <v>230</v>
      </c>
      <c r="G91" s="147" t="s">
        <v>34</v>
      </c>
      <c r="H91" s="191">
        <f t="shared" si="1"/>
        <v>0</v>
      </c>
      <c r="I91" s="225"/>
      <c r="J91" s="149"/>
      <c r="K91" s="147"/>
      <c r="L91" s="147"/>
      <c r="M91" s="147">
        <v>12</v>
      </c>
      <c r="N91" s="289"/>
      <c r="O91" s="196"/>
      <c r="P91" s="180"/>
      <c r="Q91" s="174"/>
      <c r="R91" s="206">
        <v>0</v>
      </c>
      <c r="S91" s="168"/>
      <c r="T91" s="129" t="s">
        <v>64</v>
      </c>
      <c r="U91" s="147" t="s">
        <v>37</v>
      </c>
      <c r="V91" s="129"/>
      <c r="W91" s="163" t="s">
        <v>54</v>
      </c>
      <c r="X91" s="215"/>
      <c r="Y91" s="216">
        <v>0</v>
      </c>
      <c r="Z91" s="216">
        <v>0</v>
      </c>
      <c r="AA91" s="263"/>
      <c r="AB91" s="305"/>
      <c r="AC91" s="214"/>
    </row>
    <row r="92" spans="1:29" ht="24" hidden="1" x14ac:dyDescent="0.25">
      <c r="A92" s="131">
        <v>1</v>
      </c>
      <c r="B92" s="136">
        <v>1103005</v>
      </c>
      <c r="C92" s="127" t="s">
        <v>30</v>
      </c>
      <c r="D92" s="127" t="s">
        <v>231</v>
      </c>
      <c r="E92" s="151" t="s">
        <v>32</v>
      </c>
      <c r="F92" s="129" t="s">
        <v>33</v>
      </c>
      <c r="G92" s="147" t="s">
        <v>34</v>
      </c>
      <c r="H92" s="191">
        <f t="shared" si="1"/>
        <v>18.309999999999999</v>
      </c>
      <c r="I92" s="222" t="s">
        <v>2228</v>
      </c>
      <c r="J92" s="146">
        <v>0</v>
      </c>
      <c r="K92" s="147">
        <v>5</v>
      </c>
      <c r="L92" s="147">
        <v>1</v>
      </c>
      <c r="M92" s="147">
        <v>6</v>
      </c>
      <c r="N92" s="289">
        <v>55</v>
      </c>
      <c r="O92" s="196"/>
      <c r="P92" s="180"/>
      <c r="Q92" s="174">
        <v>18.309999999999999</v>
      </c>
      <c r="R92" s="205">
        <v>0</v>
      </c>
      <c r="S92" s="165" t="s">
        <v>35</v>
      </c>
      <c r="T92" s="129" t="s">
        <v>36</v>
      </c>
      <c r="U92" s="147" t="s">
        <v>37</v>
      </c>
      <c r="V92" s="129"/>
      <c r="W92" s="177" t="s">
        <v>54</v>
      </c>
      <c r="X92" s="215"/>
      <c r="Y92" s="216">
        <v>0</v>
      </c>
      <c r="Z92" s="216">
        <v>0</v>
      </c>
      <c r="AA92" s="263"/>
      <c r="AB92" s="305"/>
    </row>
    <row r="93" spans="1:29" ht="24" hidden="1" x14ac:dyDescent="0.25">
      <c r="A93" s="131">
        <v>1</v>
      </c>
      <c r="B93" s="136">
        <v>1103006</v>
      </c>
      <c r="C93" s="127" t="s">
        <v>30</v>
      </c>
      <c r="D93" s="127" t="s">
        <v>232</v>
      </c>
      <c r="E93" s="151" t="s">
        <v>32</v>
      </c>
      <c r="F93" s="129" t="s">
        <v>33</v>
      </c>
      <c r="G93" s="147" t="s">
        <v>34</v>
      </c>
      <c r="H93" s="191">
        <f t="shared" si="1"/>
        <v>2.15</v>
      </c>
      <c r="I93" s="222" t="s">
        <v>2228</v>
      </c>
      <c r="J93" s="146">
        <v>0</v>
      </c>
      <c r="K93" s="147">
        <v>5</v>
      </c>
      <c r="L93" s="147">
        <v>1</v>
      </c>
      <c r="M93" s="147">
        <v>6</v>
      </c>
      <c r="N93" s="289">
        <v>4400</v>
      </c>
      <c r="O93" s="196"/>
      <c r="P93" s="180"/>
      <c r="Q93" s="174">
        <v>2.15</v>
      </c>
      <c r="R93" s="205">
        <v>0</v>
      </c>
      <c r="S93" s="165" t="s">
        <v>35</v>
      </c>
      <c r="T93" s="129" t="s">
        <v>36</v>
      </c>
      <c r="U93" s="147" t="s">
        <v>37</v>
      </c>
      <c r="V93" s="129"/>
      <c r="W93" s="177" t="s">
        <v>54</v>
      </c>
      <c r="X93" s="215"/>
      <c r="Y93" s="216">
        <v>0</v>
      </c>
      <c r="Z93" s="216">
        <v>0</v>
      </c>
      <c r="AA93" s="263"/>
      <c r="AB93" s="305"/>
    </row>
    <row r="94" spans="1:29" ht="24" hidden="1" x14ac:dyDescent="0.25">
      <c r="A94" s="131">
        <v>1</v>
      </c>
      <c r="B94" s="136">
        <v>1103007</v>
      </c>
      <c r="C94" s="127" t="s">
        <v>30</v>
      </c>
      <c r="D94" s="127" t="s">
        <v>233</v>
      </c>
      <c r="E94" s="151" t="s">
        <v>32</v>
      </c>
      <c r="F94" s="129" t="s">
        <v>33</v>
      </c>
      <c r="G94" s="147" t="s">
        <v>34</v>
      </c>
      <c r="H94" s="191">
        <f t="shared" si="1"/>
        <v>2.61</v>
      </c>
      <c r="I94" s="222" t="s">
        <v>2228</v>
      </c>
      <c r="J94" s="146">
        <v>0</v>
      </c>
      <c r="K94" s="147">
        <v>5</v>
      </c>
      <c r="L94" s="147">
        <v>1</v>
      </c>
      <c r="M94" s="147">
        <v>6</v>
      </c>
      <c r="N94" s="289">
        <v>1100</v>
      </c>
      <c r="O94" s="196"/>
      <c r="P94" s="180"/>
      <c r="Q94" s="174">
        <v>2.61</v>
      </c>
      <c r="R94" s="206">
        <v>0</v>
      </c>
      <c r="S94" s="165"/>
      <c r="T94" s="129" t="s">
        <v>284</v>
      </c>
      <c r="U94" s="147" t="s">
        <v>37</v>
      </c>
      <c r="V94" s="129"/>
      <c r="W94" s="177" t="s">
        <v>54</v>
      </c>
      <c r="X94" s="215"/>
      <c r="Y94" s="216">
        <v>0</v>
      </c>
      <c r="Z94" s="216">
        <v>0</v>
      </c>
      <c r="AA94" s="265" t="s">
        <v>2134</v>
      </c>
      <c r="AB94" s="305"/>
    </row>
    <row r="95" spans="1:29" hidden="1" x14ac:dyDescent="0.25">
      <c r="A95" s="131">
        <v>1</v>
      </c>
      <c r="B95" s="136">
        <v>1103008</v>
      </c>
      <c r="C95" s="127" t="s">
        <v>30</v>
      </c>
      <c r="D95" s="127" t="s">
        <v>235</v>
      </c>
      <c r="E95" s="151" t="s">
        <v>32</v>
      </c>
      <c r="F95" s="129" t="s">
        <v>307</v>
      </c>
      <c r="G95" s="147" t="s">
        <v>34</v>
      </c>
      <c r="H95" s="191">
        <f t="shared" si="1"/>
        <v>3.63</v>
      </c>
      <c r="I95" s="222" t="s">
        <v>2084</v>
      </c>
      <c r="J95" s="146">
        <v>0</v>
      </c>
      <c r="K95" s="147">
        <v>5</v>
      </c>
      <c r="L95" s="147">
        <v>1</v>
      </c>
      <c r="M95" s="147">
        <v>6</v>
      </c>
      <c r="N95" s="289">
        <v>200</v>
      </c>
      <c r="O95" s="196">
        <v>2.61</v>
      </c>
      <c r="P95" s="180">
        <v>45782</v>
      </c>
      <c r="Q95" s="174">
        <v>3.58</v>
      </c>
      <c r="R95" s="205">
        <v>0.05</v>
      </c>
      <c r="S95" s="165"/>
      <c r="T95" s="129" t="s">
        <v>234</v>
      </c>
      <c r="U95" s="147" t="s">
        <v>37</v>
      </c>
      <c r="V95" s="129"/>
      <c r="W95" s="163" t="s">
        <v>54</v>
      </c>
      <c r="X95" s="215"/>
      <c r="Y95" s="216">
        <v>0</v>
      </c>
      <c r="Z95" s="216">
        <v>0</v>
      </c>
      <c r="AA95" s="263"/>
      <c r="AB95" s="305"/>
    </row>
    <row r="96" spans="1:29" ht="24" hidden="1" x14ac:dyDescent="0.25">
      <c r="A96" s="131">
        <v>1</v>
      </c>
      <c r="B96" s="136">
        <v>1103009</v>
      </c>
      <c r="C96" s="127" t="s">
        <v>30</v>
      </c>
      <c r="D96" s="127" t="s">
        <v>236</v>
      </c>
      <c r="E96" s="151" t="s">
        <v>32</v>
      </c>
      <c r="F96" s="129" t="s">
        <v>33</v>
      </c>
      <c r="G96" s="147" t="s">
        <v>34</v>
      </c>
      <c r="H96" s="191">
        <f t="shared" si="1"/>
        <v>3.06</v>
      </c>
      <c r="I96" s="222" t="s">
        <v>2228</v>
      </c>
      <c r="J96" s="146">
        <v>0</v>
      </c>
      <c r="K96" s="147">
        <v>5</v>
      </c>
      <c r="L96" s="147">
        <v>1</v>
      </c>
      <c r="M96" s="147">
        <v>6</v>
      </c>
      <c r="N96" s="289">
        <v>8800</v>
      </c>
      <c r="O96" s="196"/>
      <c r="P96" s="180"/>
      <c r="Q96" s="174">
        <v>3.06</v>
      </c>
      <c r="R96" s="205">
        <v>0</v>
      </c>
      <c r="S96" s="165"/>
      <c r="T96" s="129" t="s">
        <v>234</v>
      </c>
      <c r="U96" s="147" t="s">
        <v>37</v>
      </c>
      <c r="V96" s="129"/>
      <c r="W96" s="163" t="s">
        <v>54</v>
      </c>
      <c r="X96" s="215"/>
      <c r="Y96" s="216">
        <v>0</v>
      </c>
      <c r="Z96" s="216">
        <v>0</v>
      </c>
      <c r="AA96" s="263"/>
      <c r="AB96" s="305"/>
    </row>
    <row r="97" spans="1:29" ht="24" hidden="1" x14ac:dyDescent="0.25">
      <c r="A97" s="131">
        <v>1</v>
      </c>
      <c r="B97" s="136">
        <v>1103010</v>
      </c>
      <c r="C97" s="127" t="s">
        <v>30</v>
      </c>
      <c r="D97" s="127" t="s">
        <v>237</v>
      </c>
      <c r="E97" s="151" t="s">
        <v>32</v>
      </c>
      <c r="F97" s="129" t="s">
        <v>33</v>
      </c>
      <c r="G97" s="147" t="s">
        <v>34</v>
      </c>
      <c r="H97" s="191">
        <f t="shared" si="1"/>
        <v>0</v>
      </c>
      <c r="I97" s="222" t="s">
        <v>2228</v>
      </c>
      <c r="J97" s="146">
        <v>0</v>
      </c>
      <c r="K97" s="147">
        <v>5</v>
      </c>
      <c r="L97" s="147">
        <v>1</v>
      </c>
      <c r="M97" s="147">
        <v>6</v>
      </c>
      <c r="N97" s="289" t="s">
        <v>17</v>
      </c>
      <c r="O97" s="196"/>
      <c r="P97" s="180"/>
      <c r="Q97" s="174"/>
      <c r="R97" s="206">
        <v>0</v>
      </c>
      <c r="S97" s="165"/>
      <c r="T97" s="129" t="s">
        <v>234</v>
      </c>
      <c r="U97" s="147" t="s">
        <v>37</v>
      </c>
      <c r="V97" s="129"/>
      <c r="W97" s="163" t="s">
        <v>54</v>
      </c>
      <c r="X97" s="215"/>
      <c r="Y97" s="216">
        <v>0</v>
      </c>
      <c r="Z97" s="216">
        <v>0</v>
      </c>
      <c r="AA97" s="263"/>
      <c r="AB97" s="305"/>
    </row>
    <row r="98" spans="1:29" hidden="1" x14ac:dyDescent="0.25">
      <c r="A98" s="131">
        <v>1</v>
      </c>
      <c r="B98" s="136">
        <v>1103011</v>
      </c>
      <c r="C98" s="127" t="s">
        <v>30</v>
      </c>
      <c r="D98" s="127" t="s">
        <v>239</v>
      </c>
      <c r="E98" s="151" t="s">
        <v>32</v>
      </c>
      <c r="F98" s="129" t="s">
        <v>1748</v>
      </c>
      <c r="G98" s="147" t="s">
        <v>34</v>
      </c>
      <c r="H98" s="191">
        <f t="shared" si="1"/>
        <v>8.8699999999999992</v>
      </c>
      <c r="I98" s="134" t="s">
        <v>2084</v>
      </c>
      <c r="J98" s="146">
        <v>0</v>
      </c>
      <c r="K98" s="147">
        <v>4</v>
      </c>
      <c r="L98" s="147">
        <v>2</v>
      </c>
      <c r="M98" s="147">
        <v>6</v>
      </c>
      <c r="N98" s="289">
        <v>1100</v>
      </c>
      <c r="O98" s="196"/>
      <c r="P98" s="180"/>
      <c r="Q98" s="174">
        <v>8.8699999999999992</v>
      </c>
      <c r="R98" s="205">
        <v>0</v>
      </c>
      <c r="S98" s="165"/>
      <c r="T98" s="129" t="s">
        <v>234</v>
      </c>
      <c r="U98" s="147" t="s">
        <v>37</v>
      </c>
      <c r="V98" s="129"/>
      <c r="W98" s="163" t="s">
        <v>54</v>
      </c>
      <c r="X98" s="215"/>
      <c r="Y98" s="216">
        <v>0</v>
      </c>
      <c r="Z98" s="216">
        <v>0</v>
      </c>
      <c r="AA98" s="263"/>
      <c r="AB98" s="305"/>
    </row>
    <row r="99" spans="1:29" s="182" customFormat="1" hidden="1" x14ac:dyDescent="0.25">
      <c r="A99" s="131">
        <v>1</v>
      </c>
      <c r="B99" s="136">
        <v>1103012</v>
      </c>
      <c r="C99" s="127" t="s">
        <v>30</v>
      </c>
      <c r="D99" s="129" t="s">
        <v>1959</v>
      </c>
      <c r="E99" s="151" t="s">
        <v>32</v>
      </c>
      <c r="F99" s="129" t="s">
        <v>205</v>
      </c>
      <c r="G99" s="147" t="s">
        <v>34</v>
      </c>
      <c r="H99" s="191">
        <f t="shared" si="1"/>
        <v>0.3</v>
      </c>
      <c r="I99" s="225"/>
      <c r="J99" s="149"/>
      <c r="K99" s="147">
        <v>11</v>
      </c>
      <c r="L99" s="147">
        <v>1</v>
      </c>
      <c r="M99" s="147">
        <v>12</v>
      </c>
      <c r="N99" s="289"/>
      <c r="O99" s="196"/>
      <c r="P99" s="180"/>
      <c r="Q99" s="174">
        <v>0.3</v>
      </c>
      <c r="R99" s="206">
        <v>0</v>
      </c>
      <c r="S99" s="168"/>
      <c r="T99" s="129"/>
      <c r="U99" s="147" t="s">
        <v>37</v>
      </c>
      <c r="V99" s="129"/>
      <c r="W99" s="163" t="s">
        <v>54</v>
      </c>
      <c r="X99" s="215"/>
      <c r="Y99" s="216">
        <v>0</v>
      </c>
      <c r="Z99" s="216">
        <v>0</v>
      </c>
      <c r="AA99" s="263"/>
      <c r="AB99" s="305"/>
      <c r="AC99" s="214"/>
    </row>
    <row r="100" spans="1:29" ht="24" x14ac:dyDescent="0.25">
      <c r="A100" s="131">
        <v>1</v>
      </c>
      <c r="B100" s="136">
        <v>1103013</v>
      </c>
      <c r="C100" s="127" t="s">
        <v>30</v>
      </c>
      <c r="D100" s="127" t="s">
        <v>241</v>
      </c>
      <c r="E100" s="151" t="s">
        <v>32</v>
      </c>
      <c r="F100" s="129" t="s">
        <v>1943</v>
      </c>
      <c r="G100" s="147" t="s">
        <v>34</v>
      </c>
      <c r="H100" s="191">
        <f t="shared" si="1"/>
        <v>1.9141794429828538</v>
      </c>
      <c r="I100" s="222" t="s">
        <v>2461</v>
      </c>
      <c r="J100" s="146">
        <v>0</v>
      </c>
      <c r="K100" s="147">
        <v>1</v>
      </c>
      <c r="L100" s="147">
        <v>1</v>
      </c>
      <c r="M100" s="147">
        <v>2</v>
      </c>
      <c r="N100" s="289">
        <v>600</v>
      </c>
      <c r="O100" s="195"/>
      <c r="P100" s="180">
        <v>45771</v>
      </c>
      <c r="Q100" s="174">
        <v>1.9141794429828538</v>
      </c>
      <c r="R100" s="206">
        <v>0</v>
      </c>
      <c r="S100" s="165"/>
      <c r="T100" s="129" t="s">
        <v>242</v>
      </c>
      <c r="U100" s="147" t="s">
        <v>35</v>
      </c>
      <c r="V100" s="129"/>
      <c r="W100" s="147" t="s">
        <v>2459</v>
      </c>
      <c r="X100" s="215" t="s">
        <v>1906</v>
      </c>
      <c r="Y100" s="216">
        <v>0</v>
      </c>
      <c r="Z100" s="216">
        <v>0</v>
      </c>
      <c r="AA100" s="265" t="s">
        <v>2134</v>
      </c>
      <c r="AB100" s="305"/>
    </row>
    <row r="101" spans="1:29" s="182" customFormat="1" hidden="1" x14ac:dyDescent="0.25">
      <c r="A101" s="131">
        <v>1</v>
      </c>
      <c r="B101" s="136">
        <v>1103014</v>
      </c>
      <c r="C101" s="127" t="s">
        <v>30</v>
      </c>
      <c r="D101" s="127" t="s">
        <v>243</v>
      </c>
      <c r="E101" s="151" t="s">
        <v>32</v>
      </c>
      <c r="F101" s="129" t="s">
        <v>230</v>
      </c>
      <c r="G101" s="147" t="s">
        <v>34</v>
      </c>
      <c r="H101" s="191">
        <f t="shared" si="1"/>
        <v>0</v>
      </c>
      <c r="I101" s="225"/>
      <c r="J101" s="149"/>
      <c r="K101" s="147">
        <v>12</v>
      </c>
      <c r="L101" s="147">
        <v>1</v>
      </c>
      <c r="M101" s="147">
        <v>13</v>
      </c>
      <c r="N101" s="289"/>
      <c r="O101" s="196"/>
      <c r="P101" s="180"/>
      <c r="Q101" s="174"/>
      <c r="R101" s="206">
        <v>0</v>
      </c>
      <c r="S101" s="168"/>
      <c r="T101" s="129" t="s">
        <v>64</v>
      </c>
      <c r="U101" s="147" t="s">
        <v>37</v>
      </c>
      <c r="V101" s="129"/>
      <c r="W101" s="163" t="s">
        <v>54</v>
      </c>
      <c r="X101" s="215"/>
      <c r="Y101" s="216">
        <v>0</v>
      </c>
      <c r="Z101" s="216">
        <v>0</v>
      </c>
      <c r="AA101" s="263"/>
      <c r="AB101" s="305"/>
      <c r="AC101" s="214"/>
    </row>
    <row r="102" spans="1:29" ht="24" hidden="1" x14ac:dyDescent="0.25">
      <c r="A102" s="131">
        <v>1</v>
      </c>
      <c r="B102" s="136">
        <v>1103015</v>
      </c>
      <c r="C102" s="127" t="s">
        <v>30</v>
      </c>
      <c r="D102" s="127" t="s">
        <v>247</v>
      </c>
      <c r="E102" s="151" t="s">
        <v>32</v>
      </c>
      <c r="F102" s="129" t="s">
        <v>33</v>
      </c>
      <c r="G102" s="147" t="s">
        <v>34</v>
      </c>
      <c r="H102" s="191">
        <f t="shared" si="1"/>
        <v>6.37</v>
      </c>
      <c r="I102" s="222" t="s">
        <v>2228</v>
      </c>
      <c r="J102" s="146">
        <v>0</v>
      </c>
      <c r="K102" s="147">
        <v>5</v>
      </c>
      <c r="L102" s="147">
        <v>1</v>
      </c>
      <c r="M102" s="147">
        <v>6</v>
      </c>
      <c r="N102" s="289">
        <v>55</v>
      </c>
      <c r="O102" s="196"/>
      <c r="P102" s="180"/>
      <c r="Q102" s="174">
        <v>6.37</v>
      </c>
      <c r="R102" s="205">
        <v>0</v>
      </c>
      <c r="S102" s="165" t="s">
        <v>35</v>
      </c>
      <c r="T102" s="129" t="s">
        <v>36</v>
      </c>
      <c r="U102" s="147" t="s">
        <v>37</v>
      </c>
      <c r="V102" s="129"/>
      <c r="W102" s="177" t="s">
        <v>54</v>
      </c>
      <c r="X102" s="215"/>
      <c r="Y102" s="216">
        <v>0</v>
      </c>
      <c r="Z102" s="216">
        <v>0</v>
      </c>
      <c r="AA102" s="263"/>
      <c r="AB102" s="305"/>
    </row>
    <row r="103" spans="1:29" ht="24" hidden="1" x14ac:dyDescent="0.25">
      <c r="A103" s="131">
        <v>1</v>
      </c>
      <c r="B103" s="136">
        <v>1103016</v>
      </c>
      <c r="C103" s="127" t="s">
        <v>30</v>
      </c>
      <c r="D103" s="127" t="s">
        <v>248</v>
      </c>
      <c r="E103" s="151" t="s">
        <v>32</v>
      </c>
      <c r="F103" s="129" t="s">
        <v>33</v>
      </c>
      <c r="G103" s="147" t="s">
        <v>34</v>
      </c>
      <c r="H103" s="191">
        <f t="shared" si="1"/>
        <v>0</v>
      </c>
      <c r="I103" s="222" t="s">
        <v>2228</v>
      </c>
      <c r="J103" s="146">
        <v>0</v>
      </c>
      <c r="K103" s="147">
        <v>5</v>
      </c>
      <c r="L103" s="147">
        <v>1</v>
      </c>
      <c r="M103" s="147">
        <v>6</v>
      </c>
      <c r="N103" s="289"/>
      <c r="O103" s="196"/>
      <c r="P103" s="180"/>
      <c r="Q103" s="174"/>
      <c r="R103" s="206">
        <v>0</v>
      </c>
      <c r="S103" s="165" t="s">
        <v>35</v>
      </c>
      <c r="T103" s="129" t="s">
        <v>36</v>
      </c>
      <c r="U103" s="147" t="s">
        <v>37</v>
      </c>
      <c r="V103" s="129"/>
      <c r="W103" s="163" t="s">
        <v>54</v>
      </c>
      <c r="X103" s="215"/>
      <c r="Y103" s="216">
        <v>0</v>
      </c>
      <c r="Z103" s="216">
        <v>0</v>
      </c>
      <c r="AA103" s="263"/>
      <c r="AB103" s="305"/>
    </row>
    <row r="104" spans="1:29" ht="24" hidden="1" x14ac:dyDescent="0.25">
      <c r="A104" s="131">
        <v>1</v>
      </c>
      <c r="B104" s="136">
        <v>1103017</v>
      </c>
      <c r="C104" s="127" t="s">
        <v>30</v>
      </c>
      <c r="D104" s="127" t="s">
        <v>249</v>
      </c>
      <c r="E104" s="151" t="s">
        <v>32</v>
      </c>
      <c r="F104" s="129" t="s">
        <v>33</v>
      </c>
      <c r="G104" s="147" t="s">
        <v>34</v>
      </c>
      <c r="H104" s="191">
        <f t="shared" si="1"/>
        <v>0</v>
      </c>
      <c r="I104" s="222" t="s">
        <v>2228</v>
      </c>
      <c r="J104" s="146">
        <v>0</v>
      </c>
      <c r="K104" s="147">
        <v>5</v>
      </c>
      <c r="L104" s="147">
        <v>1</v>
      </c>
      <c r="M104" s="147">
        <v>6</v>
      </c>
      <c r="N104" s="289"/>
      <c r="O104" s="196"/>
      <c r="P104" s="180"/>
      <c r="Q104" s="174"/>
      <c r="R104" s="206">
        <v>0</v>
      </c>
      <c r="S104" s="165"/>
      <c r="T104" s="129" t="s">
        <v>55</v>
      </c>
      <c r="U104" s="147" t="s">
        <v>37</v>
      </c>
      <c r="V104" s="129"/>
      <c r="W104" s="163" t="s">
        <v>54</v>
      </c>
      <c r="X104" s="215"/>
      <c r="Y104" s="216">
        <v>0</v>
      </c>
      <c r="Z104" s="216">
        <v>0</v>
      </c>
      <c r="AA104" s="263"/>
      <c r="AB104" s="305"/>
    </row>
    <row r="105" spans="1:29" x14ac:dyDescent="0.25">
      <c r="A105" s="131">
        <v>1</v>
      </c>
      <c r="B105" s="136">
        <v>1103018</v>
      </c>
      <c r="C105" s="127" t="s">
        <v>30</v>
      </c>
      <c r="D105" s="127" t="s">
        <v>250</v>
      </c>
      <c r="E105" s="151" t="s">
        <v>32</v>
      </c>
      <c r="F105" s="129" t="s">
        <v>307</v>
      </c>
      <c r="G105" s="147" t="s">
        <v>34</v>
      </c>
      <c r="H105" s="191">
        <f t="shared" si="1"/>
        <v>4.75</v>
      </c>
      <c r="I105" s="222" t="s">
        <v>2084</v>
      </c>
      <c r="J105" s="146">
        <v>0</v>
      </c>
      <c r="K105" s="147">
        <v>11</v>
      </c>
      <c r="L105" s="147">
        <v>1</v>
      </c>
      <c r="M105" s="147">
        <v>12</v>
      </c>
      <c r="N105" s="289">
        <v>200</v>
      </c>
      <c r="O105" s="196">
        <v>2.3199999999999998</v>
      </c>
      <c r="P105" s="180">
        <v>45782</v>
      </c>
      <c r="Q105" s="174">
        <v>4.7</v>
      </c>
      <c r="R105" s="205">
        <v>0.05</v>
      </c>
      <c r="S105" s="165"/>
      <c r="T105" s="138" t="s">
        <v>242</v>
      </c>
      <c r="U105" s="147" t="s">
        <v>35</v>
      </c>
      <c r="V105" s="129"/>
      <c r="W105" s="147" t="s">
        <v>2213</v>
      </c>
      <c r="X105" s="215" t="s">
        <v>1009</v>
      </c>
      <c r="Y105" s="216">
        <v>0</v>
      </c>
      <c r="Z105" s="216">
        <v>0</v>
      </c>
      <c r="AA105" s="263"/>
      <c r="AB105" s="305"/>
    </row>
    <row r="106" spans="1:29" hidden="1" x14ac:dyDescent="0.25">
      <c r="A106" s="131">
        <v>1</v>
      </c>
      <c r="B106" s="136">
        <v>1103019</v>
      </c>
      <c r="C106" s="127" t="s">
        <v>30</v>
      </c>
      <c r="D106" s="137" t="s">
        <v>251</v>
      </c>
      <c r="E106" s="298" t="s">
        <v>32</v>
      </c>
      <c r="F106" s="129" t="s">
        <v>1791</v>
      </c>
      <c r="G106" s="147" t="s">
        <v>34</v>
      </c>
      <c r="H106" s="191">
        <f t="shared" si="1"/>
        <v>0</v>
      </c>
      <c r="I106" s="181" t="s">
        <v>2084</v>
      </c>
      <c r="J106" s="148">
        <v>30</v>
      </c>
      <c r="K106" s="147">
        <v>6</v>
      </c>
      <c r="L106" s="147">
        <v>2</v>
      </c>
      <c r="M106" s="147">
        <v>8</v>
      </c>
      <c r="N106" s="327">
        <v>1650</v>
      </c>
      <c r="O106" s="196"/>
      <c r="P106" s="180"/>
      <c r="Q106" s="174"/>
      <c r="R106" s="206">
        <v>0</v>
      </c>
      <c r="S106" s="165"/>
      <c r="T106" s="129" t="s">
        <v>36</v>
      </c>
      <c r="U106" s="147" t="s">
        <v>37</v>
      </c>
      <c r="V106" s="129"/>
      <c r="W106" s="163" t="s">
        <v>54</v>
      </c>
      <c r="X106" s="215"/>
      <c r="Y106" s="216">
        <v>0</v>
      </c>
      <c r="Z106" s="216">
        <v>0</v>
      </c>
      <c r="AA106" s="263"/>
      <c r="AB106" s="305"/>
    </row>
    <row r="107" spans="1:29" ht="24" hidden="1" x14ac:dyDescent="0.25">
      <c r="A107" s="131">
        <v>1</v>
      </c>
      <c r="B107" s="136">
        <v>1103020</v>
      </c>
      <c r="C107" s="127" t="s">
        <v>30</v>
      </c>
      <c r="D107" s="127" t="s">
        <v>252</v>
      </c>
      <c r="E107" s="151" t="s">
        <v>32</v>
      </c>
      <c r="F107" s="129" t="s">
        <v>33</v>
      </c>
      <c r="G107" s="147" t="s">
        <v>34</v>
      </c>
      <c r="H107" s="191">
        <f t="shared" si="1"/>
        <v>2.5</v>
      </c>
      <c r="I107" s="222" t="s">
        <v>2228</v>
      </c>
      <c r="J107" s="146">
        <v>0</v>
      </c>
      <c r="K107" s="147">
        <v>5</v>
      </c>
      <c r="L107" s="147">
        <v>1</v>
      </c>
      <c r="M107" s="147">
        <v>6</v>
      </c>
      <c r="N107" s="289">
        <v>550</v>
      </c>
      <c r="O107" s="196"/>
      <c r="P107" s="180"/>
      <c r="Q107" s="174">
        <v>2.5</v>
      </c>
      <c r="R107" s="205">
        <v>0</v>
      </c>
      <c r="S107" s="165" t="s">
        <v>35</v>
      </c>
      <c r="T107" s="129" t="s">
        <v>36</v>
      </c>
      <c r="U107" s="147" t="s">
        <v>37</v>
      </c>
      <c r="V107" s="129"/>
      <c r="W107" s="177" t="s">
        <v>54</v>
      </c>
      <c r="X107" s="215"/>
      <c r="Y107" s="216">
        <v>0</v>
      </c>
      <c r="Z107" s="216">
        <v>0</v>
      </c>
      <c r="AA107" s="263"/>
      <c r="AB107" s="305"/>
    </row>
    <row r="108" spans="1:29" ht="24" hidden="1" x14ac:dyDescent="0.25">
      <c r="A108" s="131">
        <v>1</v>
      </c>
      <c r="B108" s="136">
        <v>1103021</v>
      </c>
      <c r="C108" s="127" t="s">
        <v>30</v>
      </c>
      <c r="D108" s="127" t="s">
        <v>253</v>
      </c>
      <c r="E108" s="151" t="s">
        <v>32</v>
      </c>
      <c r="F108" s="129" t="s">
        <v>33</v>
      </c>
      <c r="G108" s="147" t="s">
        <v>34</v>
      </c>
      <c r="H108" s="191">
        <f t="shared" si="1"/>
        <v>2.6</v>
      </c>
      <c r="I108" s="222" t="s">
        <v>2228</v>
      </c>
      <c r="J108" s="146">
        <v>0</v>
      </c>
      <c r="K108" s="147">
        <v>5</v>
      </c>
      <c r="L108" s="147">
        <v>1</v>
      </c>
      <c r="M108" s="147">
        <v>6</v>
      </c>
      <c r="N108" s="289">
        <v>1100</v>
      </c>
      <c r="O108" s="196"/>
      <c r="P108" s="180"/>
      <c r="Q108" s="174">
        <v>2.6</v>
      </c>
      <c r="R108" s="205">
        <v>0</v>
      </c>
      <c r="S108" s="165" t="s">
        <v>35</v>
      </c>
      <c r="T108" s="129" t="s">
        <v>36</v>
      </c>
      <c r="U108" s="147" t="s">
        <v>37</v>
      </c>
      <c r="V108" s="129"/>
      <c r="W108" s="177" t="s">
        <v>54</v>
      </c>
      <c r="X108" s="215"/>
      <c r="Y108" s="216">
        <v>0</v>
      </c>
      <c r="Z108" s="216">
        <v>0</v>
      </c>
      <c r="AA108" s="263"/>
      <c r="AB108" s="305"/>
    </row>
    <row r="109" spans="1:29" s="182" customFormat="1" hidden="1" x14ac:dyDescent="0.25">
      <c r="A109" s="131">
        <v>1</v>
      </c>
      <c r="B109" s="136">
        <v>1103022</v>
      </c>
      <c r="C109" s="127" t="s">
        <v>30</v>
      </c>
      <c r="D109" s="127" t="s">
        <v>254</v>
      </c>
      <c r="E109" s="151" t="s">
        <v>32</v>
      </c>
      <c r="F109" s="129" t="s">
        <v>1520</v>
      </c>
      <c r="G109" s="147" t="s">
        <v>34</v>
      </c>
      <c r="H109" s="191">
        <f t="shared" si="1"/>
        <v>3.1425370358610554</v>
      </c>
      <c r="I109" s="134"/>
      <c r="J109" s="150"/>
      <c r="K109" s="147"/>
      <c r="L109" s="147"/>
      <c r="M109" s="147">
        <v>9</v>
      </c>
      <c r="N109" s="289">
        <v>4960</v>
      </c>
      <c r="O109" s="196"/>
      <c r="P109" s="180"/>
      <c r="Q109" s="174">
        <v>3.1425370358610554</v>
      </c>
      <c r="R109" s="205">
        <v>0</v>
      </c>
      <c r="S109" s="165" t="s">
        <v>35</v>
      </c>
      <c r="T109" s="129" t="s">
        <v>189</v>
      </c>
      <c r="U109" s="147" t="s">
        <v>35</v>
      </c>
      <c r="V109" s="129"/>
      <c r="W109" s="177" t="s">
        <v>54</v>
      </c>
      <c r="X109" s="215"/>
      <c r="Y109" s="216">
        <v>0</v>
      </c>
      <c r="Z109" s="216">
        <v>0</v>
      </c>
      <c r="AA109" s="263"/>
      <c r="AB109" s="305"/>
      <c r="AC109" s="212"/>
    </row>
    <row r="110" spans="1:29" s="182" customFormat="1" hidden="1" x14ac:dyDescent="0.25">
      <c r="A110" s="131">
        <v>1</v>
      </c>
      <c r="B110" s="136">
        <v>1103023</v>
      </c>
      <c r="C110" s="127" t="s">
        <v>30</v>
      </c>
      <c r="D110" s="127" t="s">
        <v>258</v>
      </c>
      <c r="E110" s="151" t="s">
        <v>259</v>
      </c>
      <c r="F110" s="129" t="s">
        <v>1521</v>
      </c>
      <c r="G110" s="147" t="s">
        <v>34</v>
      </c>
      <c r="H110" s="191">
        <f t="shared" si="1"/>
        <v>1.93</v>
      </c>
      <c r="I110" s="134"/>
      <c r="J110" s="150"/>
      <c r="K110" s="147"/>
      <c r="L110" s="147"/>
      <c r="M110" s="147">
        <v>8</v>
      </c>
      <c r="N110" s="289">
        <v>55</v>
      </c>
      <c r="O110" s="196"/>
      <c r="P110" s="180"/>
      <c r="Q110" s="174">
        <v>1.93</v>
      </c>
      <c r="R110" s="205">
        <v>0</v>
      </c>
      <c r="S110" s="165" t="s">
        <v>35</v>
      </c>
      <c r="T110" s="129" t="s">
        <v>189</v>
      </c>
      <c r="U110" s="147" t="s">
        <v>35</v>
      </c>
      <c r="V110" s="129"/>
      <c r="W110" s="177" t="s">
        <v>54</v>
      </c>
      <c r="X110" s="215"/>
      <c r="Y110" s="216">
        <v>0</v>
      </c>
      <c r="Z110" s="216">
        <v>0</v>
      </c>
      <c r="AA110" s="263"/>
      <c r="AB110" s="305"/>
      <c r="AC110" s="212"/>
    </row>
    <row r="111" spans="1:29" hidden="1" x14ac:dyDescent="0.25">
      <c r="A111" s="131">
        <v>1</v>
      </c>
      <c r="B111" s="136">
        <v>1103024</v>
      </c>
      <c r="C111" s="127" t="s">
        <v>30</v>
      </c>
      <c r="D111" s="127" t="s">
        <v>260</v>
      </c>
      <c r="E111" s="151" t="s">
        <v>32</v>
      </c>
      <c r="F111" s="129" t="s">
        <v>1791</v>
      </c>
      <c r="G111" s="147" t="s">
        <v>34</v>
      </c>
      <c r="H111" s="191">
        <f t="shared" si="1"/>
        <v>3.07</v>
      </c>
      <c r="I111" s="181" t="s">
        <v>2084</v>
      </c>
      <c r="J111" s="146">
        <v>30</v>
      </c>
      <c r="K111" s="147">
        <v>2</v>
      </c>
      <c r="L111" s="147">
        <v>2</v>
      </c>
      <c r="M111" s="147">
        <v>4</v>
      </c>
      <c r="N111" s="289">
        <v>1102</v>
      </c>
      <c r="O111" s="196"/>
      <c r="P111" s="180"/>
      <c r="Q111" s="174">
        <v>3.07</v>
      </c>
      <c r="R111" s="205"/>
      <c r="S111" s="165"/>
      <c r="T111" s="129" t="s">
        <v>261</v>
      </c>
      <c r="U111" s="147" t="s">
        <v>35</v>
      </c>
      <c r="V111" s="129"/>
      <c r="W111" s="177" t="s">
        <v>54</v>
      </c>
      <c r="X111" s="215"/>
      <c r="Y111" s="216">
        <v>0</v>
      </c>
      <c r="Z111" s="216">
        <v>0</v>
      </c>
      <c r="AA111" s="263"/>
      <c r="AB111" s="305"/>
    </row>
    <row r="112" spans="1:29" hidden="1" x14ac:dyDescent="0.25">
      <c r="A112" s="131">
        <v>1</v>
      </c>
      <c r="B112" s="136">
        <v>1103025</v>
      </c>
      <c r="C112" s="127" t="s">
        <v>30</v>
      </c>
      <c r="D112" s="127" t="s">
        <v>262</v>
      </c>
      <c r="E112" s="151" t="s">
        <v>259</v>
      </c>
      <c r="F112" s="129" t="s">
        <v>1791</v>
      </c>
      <c r="G112" s="147" t="s">
        <v>34</v>
      </c>
      <c r="H112" s="191">
        <f t="shared" si="1"/>
        <v>2.335</v>
      </c>
      <c r="I112" s="181" t="s">
        <v>2084</v>
      </c>
      <c r="J112" s="146">
        <v>30</v>
      </c>
      <c r="K112" s="147">
        <v>2</v>
      </c>
      <c r="L112" s="147">
        <v>2</v>
      </c>
      <c r="M112" s="147">
        <v>4</v>
      </c>
      <c r="N112" s="289">
        <v>4959</v>
      </c>
      <c r="O112" s="196">
        <v>3.02</v>
      </c>
      <c r="P112" s="180">
        <v>44076</v>
      </c>
      <c r="Q112" s="174">
        <v>2.29</v>
      </c>
      <c r="R112" s="205">
        <v>4.4999999999999998E-2</v>
      </c>
      <c r="S112" s="165"/>
      <c r="T112" s="129" t="s">
        <v>263</v>
      </c>
      <c r="U112" s="147" t="s">
        <v>37</v>
      </c>
      <c r="V112" s="129"/>
      <c r="W112" s="177" t="s">
        <v>54</v>
      </c>
      <c r="X112" s="215"/>
      <c r="Y112" s="216">
        <v>0</v>
      </c>
      <c r="Z112" s="216">
        <v>0</v>
      </c>
      <c r="AA112" s="263"/>
      <c r="AB112" s="305"/>
    </row>
    <row r="113" spans="1:29" hidden="1" x14ac:dyDescent="0.25">
      <c r="A113" s="131">
        <v>1</v>
      </c>
      <c r="B113" s="136">
        <v>1103026</v>
      </c>
      <c r="C113" s="127" t="s">
        <v>30</v>
      </c>
      <c r="D113" s="127" t="s">
        <v>264</v>
      </c>
      <c r="E113" s="151" t="s">
        <v>259</v>
      </c>
      <c r="F113" s="129" t="s">
        <v>1791</v>
      </c>
      <c r="G113" s="147" t="s">
        <v>34</v>
      </c>
      <c r="H113" s="191">
        <f t="shared" si="1"/>
        <v>3.26</v>
      </c>
      <c r="I113" s="181" t="s">
        <v>2084</v>
      </c>
      <c r="J113" s="146">
        <v>30</v>
      </c>
      <c r="K113" s="147">
        <v>6</v>
      </c>
      <c r="L113" s="147">
        <v>2</v>
      </c>
      <c r="M113" s="147">
        <v>8</v>
      </c>
      <c r="N113" s="289">
        <v>4959</v>
      </c>
      <c r="O113" s="196"/>
      <c r="P113" s="180"/>
      <c r="Q113" s="174">
        <v>3.19</v>
      </c>
      <c r="R113" s="205">
        <v>7.0000000000000007E-2</v>
      </c>
      <c r="S113" s="165"/>
      <c r="T113" s="129" t="s">
        <v>263</v>
      </c>
      <c r="U113" s="147" t="s">
        <v>37</v>
      </c>
      <c r="V113" s="129"/>
      <c r="W113" s="177" t="s">
        <v>54</v>
      </c>
      <c r="X113" s="215"/>
      <c r="Y113" s="216">
        <v>0</v>
      </c>
      <c r="Z113" s="216">
        <v>0</v>
      </c>
      <c r="AA113" s="263"/>
      <c r="AB113" s="305"/>
    </row>
    <row r="114" spans="1:29" ht="24" hidden="1" x14ac:dyDescent="0.25">
      <c r="A114" s="131">
        <v>1</v>
      </c>
      <c r="B114" s="136">
        <v>1103027</v>
      </c>
      <c r="C114" s="127" t="s">
        <v>30</v>
      </c>
      <c r="D114" s="127" t="s">
        <v>265</v>
      </c>
      <c r="E114" s="151" t="s">
        <v>259</v>
      </c>
      <c r="F114" s="129" t="s">
        <v>33</v>
      </c>
      <c r="G114" s="147" t="s">
        <v>34</v>
      </c>
      <c r="H114" s="191">
        <f t="shared" si="1"/>
        <v>0</v>
      </c>
      <c r="I114" s="222" t="s">
        <v>2228</v>
      </c>
      <c r="J114" s="146">
        <v>0</v>
      </c>
      <c r="K114" s="147">
        <v>5</v>
      </c>
      <c r="L114" s="147">
        <v>1</v>
      </c>
      <c r="M114" s="147">
        <v>6</v>
      </c>
      <c r="N114" s="289"/>
      <c r="O114" s="196"/>
      <c r="P114" s="180"/>
      <c r="Q114" s="174"/>
      <c r="R114" s="205">
        <v>0</v>
      </c>
      <c r="S114" s="165"/>
      <c r="T114" s="129" t="s">
        <v>263</v>
      </c>
      <c r="U114" s="147" t="s">
        <v>37</v>
      </c>
      <c r="V114" s="129"/>
      <c r="W114" s="177" t="s">
        <v>54</v>
      </c>
      <c r="X114" s="215"/>
      <c r="Y114" s="216">
        <v>0</v>
      </c>
      <c r="Z114" s="216">
        <v>0</v>
      </c>
      <c r="AA114" s="263"/>
      <c r="AB114" s="305"/>
    </row>
    <row r="115" spans="1:29" ht="24" hidden="1" x14ac:dyDescent="0.25">
      <c r="A115" s="131">
        <v>1</v>
      </c>
      <c r="B115" s="136">
        <v>1103028</v>
      </c>
      <c r="C115" s="127" t="s">
        <v>30</v>
      </c>
      <c r="D115" s="127" t="s">
        <v>266</v>
      </c>
      <c r="E115" s="151" t="s">
        <v>259</v>
      </c>
      <c r="F115" s="129" t="s">
        <v>33</v>
      </c>
      <c r="G115" s="147" t="s">
        <v>34</v>
      </c>
      <c r="H115" s="191">
        <f t="shared" si="1"/>
        <v>2.10036146844759</v>
      </c>
      <c r="I115" s="222" t="s">
        <v>2228</v>
      </c>
      <c r="J115" s="146">
        <v>0</v>
      </c>
      <c r="K115" s="147">
        <v>5</v>
      </c>
      <c r="L115" s="147">
        <v>1</v>
      </c>
      <c r="M115" s="147">
        <v>6</v>
      </c>
      <c r="N115" s="289">
        <v>9000</v>
      </c>
      <c r="O115" s="196">
        <v>2.10036146844759</v>
      </c>
      <c r="P115" s="180">
        <v>44097</v>
      </c>
      <c r="Q115" s="174">
        <v>2.10036146844759</v>
      </c>
      <c r="R115" s="205">
        <v>0</v>
      </c>
      <c r="S115" s="165" t="s">
        <v>35</v>
      </c>
      <c r="T115" s="129" t="s">
        <v>36</v>
      </c>
      <c r="U115" s="147" t="s">
        <v>37</v>
      </c>
      <c r="V115" s="129"/>
      <c r="W115" s="177" t="s">
        <v>54</v>
      </c>
      <c r="X115" s="215"/>
      <c r="Y115" s="216">
        <v>0</v>
      </c>
      <c r="Z115" s="216">
        <v>0</v>
      </c>
      <c r="AA115" s="263"/>
      <c r="AB115" s="305"/>
    </row>
    <row r="116" spans="1:29" ht="24" x14ac:dyDescent="0.25">
      <c r="A116" s="131">
        <v>1</v>
      </c>
      <c r="B116" s="136">
        <v>1103029</v>
      </c>
      <c r="C116" s="127" t="s">
        <v>30</v>
      </c>
      <c r="D116" s="127" t="s">
        <v>267</v>
      </c>
      <c r="E116" s="151" t="s">
        <v>259</v>
      </c>
      <c r="F116" s="129" t="s">
        <v>33</v>
      </c>
      <c r="G116" s="147" t="s">
        <v>34</v>
      </c>
      <c r="H116" s="191">
        <f t="shared" si="1"/>
        <v>2.4811757234872536</v>
      </c>
      <c r="I116" s="222" t="s">
        <v>2228</v>
      </c>
      <c r="J116" s="146">
        <v>0</v>
      </c>
      <c r="K116" s="147">
        <v>7</v>
      </c>
      <c r="L116" s="147">
        <v>1</v>
      </c>
      <c r="M116" s="147">
        <v>8</v>
      </c>
      <c r="N116" s="289">
        <v>20987.792000000001</v>
      </c>
      <c r="O116" s="195">
        <v>2.36</v>
      </c>
      <c r="P116" s="180">
        <v>45483</v>
      </c>
      <c r="Q116" s="174">
        <v>2.4811757234872536</v>
      </c>
      <c r="R116" s="205">
        <v>0</v>
      </c>
      <c r="S116" s="165" t="s">
        <v>35</v>
      </c>
      <c r="T116" s="129" t="s">
        <v>36</v>
      </c>
      <c r="U116" s="147" t="s">
        <v>37</v>
      </c>
      <c r="V116" s="129"/>
      <c r="W116" s="147" t="s">
        <v>2213</v>
      </c>
      <c r="X116" s="215" t="s">
        <v>1903</v>
      </c>
      <c r="Y116" s="216">
        <v>4052.2608041666663</v>
      </c>
      <c r="Z116" s="216">
        <v>5157.4228416666665</v>
      </c>
      <c r="AA116" s="263"/>
      <c r="AB116" s="305"/>
    </row>
    <row r="117" spans="1:29" ht="36" x14ac:dyDescent="0.25">
      <c r="A117" s="131">
        <v>1</v>
      </c>
      <c r="B117" s="136">
        <v>1103030</v>
      </c>
      <c r="C117" s="127" t="s">
        <v>30</v>
      </c>
      <c r="D117" s="127" t="s">
        <v>2152</v>
      </c>
      <c r="E117" s="151" t="s">
        <v>259</v>
      </c>
      <c r="F117" s="129" t="s">
        <v>307</v>
      </c>
      <c r="G117" s="147" t="s">
        <v>34</v>
      </c>
      <c r="H117" s="191">
        <f t="shared" si="1"/>
        <v>2.3499999999999996</v>
      </c>
      <c r="I117" s="222" t="s">
        <v>2257</v>
      </c>
      <c r="J117" s="146">
        <v>0</v>
      </c>
      <c r="K117" s="147">
        <v>7</v>
      </c>
      <c r="L117" s="147">
        <v>1</v>
      </c>
      <c r="M117" s="147">
        <v>8</v>
      </c>
      <c r="N117" s="289">
        <v>40476.456000000006</v>
      </c>
      <c r="O117" s="174">
        <v>2.39</v>
      </c>
      <c r="P117" s="180">
        <v>45727</v>
      </c>
      <c r="Q117" s="174">
        <v>2.2999999999999998</v>
      </c>
      <c r="R117" s="205">
        <v>0.05</v>
      </c>
      <c r="S117" s="165" t="s">
        <v>35</v>
      </c>
      <c r="T117" s="129" t="s">
        <v>36</v>
      </c>
      <c r="U117" s="147" t="s">
        <v>37</v>
      </c>
      <c r="V117" s="129"/>
      <c r="W117" s="147" t="s">
        <v>2213</v>
      </c>
      <c r="X117" s="215" t="s">
        <v>1904</v>
      </c>
      <c r="Y117" s="216">
        <v>30605.14975833334</v>
      </c>
      <c r="Z117" s="216">
        <v>38952.008783333345</v>
      </c>
      <c r="AA117" s="263"/>
      <c r="AB117" s="305"/>
    </row>
    <row r="118" spans="1:29" ht="24" hidden="1" x14ac:dyDescent="0.25">
      <c r="A118" s="131">
        <v>1</v>
      </c>
      <c r="B118" s="136">
        <v>1103031</v>
      </c>
      <c r="C118" s="127" t="s">
        <v>30</v>
      </c>
      <c r="D118" s="127" t="s">
        <v>269</v>
      </c>
      <c r="E118" s="151" t="s">
        <v>259</v>
      </c>
      <c r="F118" s="129" t="s">
        <v>33</v>
      </c>
      <c r="G118" s="147" t="s">
        <v>34</v>
      </c>
      <c r="H118" s="191">
        <f t="shared" si="1"/>
        <v>2.6080999999999999</v>
      </c>
      <c r="I118" s="222" t="s">
        <v>2228</v>
      </c>
      <c r="J118" s="146">
        <v>0</v>
      </c>
      <c r="K118" s="147">
        <v>5</v>
      </c>
      <c r="L118" s="147">
        <v>1</v>
      </c>
      <c r="M118" s="147">
        <v>6</v>
      </c>
      <c r="N118" s="289">
        <v>4500</v>
      </c>
      <c r="O118" s="196">
        <v>2.36</v>
      </c>
      <c r="P118" s="180">
        <v>44974</v>
      </c>
      <c r="Q118" s="174">
        <v>2.6080999999999999</v>
      </c>
      <c r="R118" s="205">
        <v>0</v>
      </c>
      <c r="S118" s="165"/>
      <c r="T118" s="129" t="s">
        <v>44</v>
      </c>
      <c r="U118" s="147" t="s">
        <v>37</v>
      </c>
      <c r="V118" s="129"/>
      <c r="W118" s="177" t="s">
        <v>54</v>
      </c>
      <c r="X118" s="215"/>
      <c r="Y118" s="216">
        <v>0</v>
      </c>
      <c r="Z118" s="216">
        <v>0</v>
      </c>
      <c r="AA118" s="263"/>
      <c r="AB118" s="305"/>
    </row>
    <row r="119" spans="1:29" s="182" customFormat="1" hidden="1" x14ac:dyDescent="0.25">
      <c r="A119" s="131">
        <v>1</v>
      </c>
      <c r="B119" s="136">
        <v>1103032</v>
      </c>
      <c r="C119" s="127" t="s">
        <v>30</v>
      </c>
      <c r="D119" s="127" t="s">
        <v>270</v>
      </c>
      <c r="E119" s="151" t="s">
        <v>259</v>
      </c>
      <c r="F119" s="129" t="s">
        <v>271</v>
      </c>
      <c r="G119" s="147" t="s">
        <v>34</v>
      </c>
      <c r="H119" s="191">
        <f t="shared" si="1"/>
        <v>8.1647464392633573</v>
      </c>
      <c r="I119" s="134"/>
      <c r="J119" s="150"/>
      <c r="K119" s="147">
        <v>12</v>
      </c>
      <c r="L119" s="147">
        <v>1</v>
      </c>
      <c r="M119" s="147">
        <v>13</v>
      </c>
      <c r="N119" s="289"/>
      <c r="O119" s="196"/>
      <c r="P119" s="180"/>
      <c r="Q119" s="176">
        <v>8.1647464392633573</v>
      </c>
      <c r="R119" s="205"/>
      <c r="S119" s="165"/>
      <c r="T119" s="129" t="s">
        <v>272</v>
      </c>
      <c r="U119" s="147" t="s">
        <v>35</v>
      </c>
      <c r="V119" s="129"/>
      <c r="W119" s="177" t="s">
        <v>54</v>
      </c>
      <c r="X119" s="215"/>
      <c r="Y119" s="216">
        <v>0</v>
      </c>
      <c r="Z119" s="216">
        <v>0</v>
      </c>
      <c r="AA119" s="263"/>
      <c r="AB119" s="305"/>
      <c r="AC119" s="212"/>
    </row>
    <row r="120" spans="1:29" ht="24" x14ac:dyDescent="0.25">
      <c r="A120" s="131">
        <v>1</v>
      </c>
      <c r="B120" s="136">
        <v>1103033</v>
      </c>
      <c r="C120" s="127" t="s">
        <v>30</v>
      </c>
      <c r="D120" s="127" t="s">
        <v>273</v>
      </c>
      <c r="E120" s="151" t="s">
        <v>259</v>
      </c>
      <c r="F120" s="129" t="s">
        <v>33</v>
      </c>
      <c r="G120" s="147" t="s">
        <v>34</v>
      </c>
      <c r="H120" s="191">
        <f t="shared" si="1"/>
        <v>3.2431999999999999</v>
      </c>
      <c r="I120" s="222" t="s">
        <v>2228</v>
      </c>
      <c r="J120" s="146">
        <v>0</v>
      </c>
      <c r="K120" s="147">
        <v>7</v>
      </c>
      <c r="L120" s="147">
        <v>1</v>
      </c>
      <c r="M120" s="147">
        <v>8</v>
      </c>
      <c r="N120" s="289">
        <v>4409.2</v>
      </c>
      <c r="O120" s="195">
        <v>4.609</v>
      </c>
      <c r="P120" s="180">
        <v>45412</v>
      </c>
      <c r="Q120" s="174">
        <v>3.2431999999999999</v>
      </c>
      <c r="R120" s="205">
        <v>0</v>
      </c>
      <c r="S120" s="165"/>
      <c r="T120" s="129" t="s">
        <v>2091</v>
      </c>
      <c r="U120" s="147" t="s">
        <v>37</v>
      </c>
      <c r="V120" s="129"/>
      <c r="W120" s="147" t="s">
        <v>2213</v>
      </c>
      <c r="X120" s="215" t="s">
        <v>1903</v>
      </c>
      <c r="Y120" s="216">
        <v>0</v>
      </c>
      <c r="Z120" s="216">
        <v>0</v>
      </c>
      <c r="AA120" s="263"/>
      <c r="AB120" s="305"/>
    </row>
    <row r="121" spans="1:29" x14ac:dyDescent="0.25">
      <c r="A121" s="131">
        <v>1</v>
      </c>
      <c r="B121" s="136">
        <v>1103034</v>
      </c>
      <c r="C121" s="127" t="s">
        <v>30</v>
      </c>
      <c r="D121" s="127" t="s">
        <v>1542</v>
      </c>
      <c r="E121" s="151" t="s">
        <v>259</v>
      </c>
      <c r="F121" s="129" t="s">
        <v>1545</v>
      </c>
      <c r="G121" s="147" t="s">
        <v>34</v>
      </c>
      <c r="H121" s="191">
        <f t="shared" si="1"/>
        <v>3.55</v>
      </c>
      <c r="I121" s="222" t="s">
        <v>2084</v>
      </c>
      <c r="J121" s="146">
        <v>30</v>
      </c>
      <c r="K121" s="147">
        <v>11</v>
      </c>
      <c r="L121" s="147">
        <v>1</v>
      </c>
      <c r="M121" s="147">
        <v>12</v>
      </c>
      <c r="N121" s="289">
        <v>1631</v>
      </c>
      <c r="O121" s="195">
        <v>3.15</v>
      </c>
      <c r="P121" s="180">
        <v>44974</v>
      </c>
      <c r="Q121" s="174">
        <v>3.5</v>
      </c>
      <c r="R121" s="205">
        <v>0.05</v>
      </c>
      <c r="S121" s="165"/>
      <c r="T121" s="129" t="s">
        <v>2091</v>
      </c>
      <c r="U121" s="147" t="s">
        <v>37</v>
      </c>
      <c r="V121" s="129"/>
      <c r="W121" s="147" t="s">
        <v>2213</v>
      </c>
      <c r="X121" s="215" t="s">
        <v>1009</v>
      </c>
      <c r="Y121" s="216">
        <v>220.96414166666668</v>
      </c>
      <c r="Z121" s="216">
        <v>271.95586666666668</v>
      </c>
      <c r="AA121" s="263"/>
      <c r="AB121" s="305"/>
    </row>
    <row r="122" spans="1:29" s="182" customFormat="1" hidden="1" x14ac:dyDescent="0.25">
      <c r="A122" s="131">
        <v>1</v>
      </c>
      <c r="B122" s="136">
        <v>1103035</v>
      </c>
      <c r="C122" s="127" t="s">
        <v>30</v>
      </c>
      <c r="D122" s="127" t="s">
        <v>288</v>
      </c>
      <c r="E122" s="151" t="s">
        <v>259</v>
      </c>
      <c r="F122" s="138" t="s">
        <v>57</v>
      </c>
      <c r="G122" s="147" t="s">
        <v>34</v>
      </c>
      <c r="H122" s="191">
        <f t="shared" si="1"/>
        <v>0</v>
      </c>
      <c r="I122" s="134"/>
      <c r="J122" s="150"/>
      <c r="K122" s="147">
        <v>12</v>
      </c>
      <c r="L122" s="147">
        <v>1</v>
      </c>
      <c r="M122" s="147">
        <v>13</v>
      </c>
      <c r="N122" s="289"/>
      <c r="O122" s="196"/>
      <c r="P122" s="180"/>
      <c r="Q122" s="174"/>
      <c r="R122" s="205"/>
      <c r="S122" s="165"/>
      <c r="T122" s="138" t="s">
        <v>57</v>
      </c>
      <c r="U122" s="147" t="s">
        <v>37</v>
      </c>
      <c r="V122" s="129"/>
      <c r="W122" s="177" t="s">
        <v>54</v>
      </c>
      <c r="X122" s="215"/>
      <c r="Y122" s="216">
        <v>0</v>
      </c>
      <c r="Z122" s="216">
        <v>0</v>
      </c>
      <c r="AA122" s="263"/>
      <c r="AB122" s="305"/>
      <c r="AC122" s="212"/>
    </row>
    <row r="123" spans="1:29" ht="24" hidden="1" x14ac:dyDescent="0.25">
      <c r="A123" s="131">
        <v>1</v>
      </c>
      <c r="B123" s="136">
        <v>1103036</v>
      </c>
      <c r="C123" s="127" t="s">
        <v>30</v>
      </c>
      <c r="D123" s="127" t="s">
        <v>1507</v>
      </c>
      <c r="E123" s="151" t="s">
        <v>259</v>
      </c>
      <c r="F123" s="129" t="s">
        <v>33</v>
      </c>
      <c r="G123" s="147" t="s">
        <v>34</v>
      </c>
      <c r="H123" s="191">
        <f t="shared" si="1"/>
        <v>0</v>
      </c>
      <c r="I123" s="222" t="s">
        <v>2228</v>
      </c>
      <c r="J123" s="146">
        <v>0</v>
      </c>
      <c r="K123" s="147">
        <v>5</v>
      </c>
      <c r="L123" s="147">
        <v>1</v>
      </c>
      <c r="M123" s="147">
        <v>6</v>
      </c>
      <c r="N123" s="289">
        <v>1500</v>
      </c>
      <c r="O123" s="196"/>
      <c r="P123" s="180"/>
      <c r="Q123" s="174"/>
      <c r="R123" s="205">
        <v>0</v>
      </c>
      <c r="S123" s="165"/>
      <c r="T123" s="129"/>
      <c r="U123" s="147" t="s">
        <v>37</v>
      </c>
      <c r="V123" s="129"/>
      <c r="W123" s="177" t="s">
        <v>54</v>
      </c>
      <c r="X123" s="215"/>
      <c r="Y123" s="216">
        <v>0</v>
      </c>
      <c r="Z123" s="216">
        <v>0</v>
      </c>
      <c r="AA123" s="263"/>
      <c r="AB123" s="305"/>
    </row>
    <row r="124" spans="1:29" ht="24" hidden="1" x14ac:dyDescent="0.25">
      <c r="A124" s="131">
        <v>1</v>
      </c>
      <c r="B124" s="136">
        <v>1103037</v>
      </c>
      <c r="C124" s="127" t="s">
        <v>30</v>
      </c>
      <c r="D124" s="127" t="s">
        <v>1574</v>
      </c>
      <c r="E124" s="151" t="s">
        <v>259</v>
      </c>
      <c r="F124" s="129" t="s">
        <v>164</v>
      </c>
      <c r="G124" s="147" t="s">
        <v>34</v>
      </c>
      <c r="H124" s="191">
        <f t="shared" si="1"/>
        <v>1.2070000000000001</v>
      </c>
      <c r="I124" s="222" t="s">
        <v>2226</v>
      </c>
      <c r="J124" s="146">
        <v>30</v>
      </c>
      <c r="K124" s="147">
        <v>8</v>
      </c>
      <c r="L124" s="147">
        <v>6</v>
      </c>
      <c r="M124" s="147">
        <v>14</v>
      </c>
      <c r="N124" s="289">
        <v>10000</v>
      </c>
      <c r="O124" s="178">
        <v>0.99790000000000001</v>
      </c>
      <c r="P124" s="180">
        <v>46126</v>
      </c>
      <c r="Q124" s="178">
        <v>1.2070000000000001</v>
      </c>
      <c r="R124" s="205"/>
      <c r="S124" s="165" t="s">
        <v>35</v>
      </c>
      <c r="T124" s="129" t="s">
        <v>36</v>
      </c>
      <c r="U124" s="147" t="s">
        <v>37</v>
      </c>
      <c r="V124" s="129" t="s">
        <v>1789</v>
      </c>
      <c r="W124" s="177" t="s">
        <v>54</v>
      </c>
      <c r="X124" s="215" t="s">
        <v>1920</v>
      </c>
      <c r="Y124" s="216">
        <v>0</v>
      </c>
      <c r="Z124" s="216">
        <v>0</v>
      </c>
      <c r="AA124" s="263"/>
      <c r="AB124" s="305"/>
    </row>
    <row r="125" spans="1:29" hidden="1" x14ac:dyDescent="0.25">
      <c r="A125" s="131">
        <v>1</v>
      </c>
      <c r="B125" s="136">
        <v>1103038</v>
      </c>
      <c r="C125" s="127" t="s">
        <v>30</v>
      </c>
      <c r="D125" s="127" t="s">
        <v>1641</v>
      </c>
      <c r="E125" s="151" t="s">
        <v>32</v>
      </c>
      <c r="F125" s="129" t="s">
        <v>1642</v>
      </c>
      <c r="G125" s="147" t="s">
        <v>34</v>
      </c>
      <c r="H125" s="191">
        <f t="shared" si="1"/>
        <v>1.9418</v>
      </c>
      <c r="I125" s="134" t="s">
        <v>2084</v>
      </c>
      <c r="J125" s="146">
        <v>30</v>
      </c>
      <c r="K125" s="147">
        <v>10</v>
      </c>
      <c r="L125" s="147">
        <v>2</v>
      </c>
      <c r="M125" s="147">
        <v>12</v>
      </c>
      <c r="N125" s="289">
        <v>20000</v>
      </c>
      <c r="O125" s="196"/>
      <c r="P125" s="180"/>
      <c r="Q125" s="174">
        <v>1.66</v>
      </c>
      <c r="R125" s="205">
        <v>0.28179999999999999</v>
      </c>
      <c r="S125" s="165"/>
      <c r="T125" s="129" t="s">
        <v>1650</v>
      </c>
      <c r="U125" s="147" t="s">
        <v>37</v>
      </c>
      <c r="V125" s="129"/>
      <c r="W125" s="177" t="s">
        <v>54</v>
      </c>
      <c r="X125" s="215"/>
      <c r="Y125" s="216">
        <v>0</v>
      </c>
      <c r="Z125" s="216">
        <v>0</v>
      </c>
      <c r="AA125" s="263"/>
      <c r="AB125" s="305"/>
    </row>
    <row r="126" spans="1:29" hidden="1" x14ac:dyDescent="0.25">
      <c r="A126" s="131">
        <v>1</v>
      </c>
      <c r="B126" s="136">
        <v>1103039</v>
      </c>
      <c r="C126" s="127" t="s">
        <v>30</v>
      </c>
      <c r="D126" s="127" t="s">
        <v>1644</v>
      </c>
      <c r="E126" s="151" t="s">
        <v>32</v>
      </c>
      <c r="F126" s="129" t="s">
        <v>1642</v>
      </c>
      <c r="G126" s="147" t="s">
        <v>34</v>
      </c>
      <c r="H126" s="191">
        <f t="shared" si="1"/>
        <v>1.9218</v>
      </c>
      <c r="I126" s="134" t="s">
        <v>2084</v>
      </c>
      <c r="J126" s="146">
        <v>30</v>
      </c>
      <c r="K126" s="147">
        <v>8</v>
      </c>
      <c r="L126" s="147">
        <v>2</v>
      </c>
      <c r="M126" s="147">
        <v>10</v>
      </c>
      <c r="N126" s="289">
        <v>20000</v>
      </c>
      <c r="O126" s="196"/>
      <c r="P126" s="180"/>
      <c r="Q126" s="174">
        <v>1.64</v>
      </c>
      <c r="R126" s="205">
        <v>0.28179999999999999</v>
      </c>
      <c r="S126" s="165"/>
      <c r="T126" s="129" t="s">
        <v>1650</v>
      </c>
      <c r="U126" s="147" t="s">
        <v>37</v>
      </c>
      <c r="V126" s="129"/>
      <c r="W126" s="177" t="s">
        <v>54</v>
      </c>
      <c r="X126" s="215"/>
      <c r="Y126" s="216">
        <v>0</v>
      </c>
      <c r="Z126" s="216">
        <v>0</v>
      </c>
      <c r="AA126" s="263"/>
      <c r="AB126" s="305"/>
    </row>
    <row r="127" spans="1:29" s="182" customFormat="1" hidden="1" x14ac:dyDescent="0.25">
      <c r="A127" s="131">
        <v>1</v>
      </c>
      <c r="B127" s="136">
        <v>1103100</v>
      </c>
      <c r="C127" s="127" t="s">
        <v>30</v>
      </c>
      <c r="D127" s="127" t="s">
        <v>274</v>
      </c>
      <c r="E127" s="154" t="s">
        <v>275</v>
      </c>
      <c r="F127" s="136" t="s">
        <v>276</v>
      </c>
      <c r="G127" s="147" t="s">
        <v>34</v>
      </c>
      <c r="H127" s="191">
        <f t="shared" si="1"/>
        <v>9.7799999999999994</v>
      </c>
      <c r="I127" s="134"/>
      <c r="J127" s="150"/>
      <c r="K127" s="147"/>
      <c r="L127" s="147"/>
      <c r="M127" s="147">
        <v>8</v>
      </c>
      <c r="N127" s="289"/>
      <c r="O127" s="196"/>
      <c r="P127" s="180"/>
      <c r="Q127" s="174">
        <v>9.7799999999999994</v>
      </c>
      <c r="R127" s="205">
        <v>0</v>
      </c>
      <c r="S127" s="165"/>
      <c r="T127" s="129" t="s">
        <v>277</v>
      </c>
      <c r="U127" s="147" t="s">
        <v>35</v>
      </c>
      <c r="V127" s="129"/>
      <c r="W127" s="177" t="s">
        <v>54</v>
      </c>
      <c r="X127" s="215"/>
      <c r="Y127" s="216">
        <v>0</v>
      </c>
      <c r="Z127" s="216">
        <v>0</v>
      </c>
      <c r="AA127" s="263"/>
      <c r="AB127" s="305"/>
      <c r="AC127" s="212"/>
    </row>
    <row r="128" spans="1:29" s="182" customFormat="1" hidden="1" x14ac:dyDescent="0.25">
      <c r="A128" s="131">
        <v>1</v>
      </c>
      <c r="B128" s="136">
        <v>1103101</v>
      </c>
      <c r="C128" s="127" t="s">
        <v>30</v>
      </c>
      <c r="D128" s="127" t="s">
        <v>281</v>
      </c>
      <c r="E128" s="151" t="s">
        <v>1929</v>
      </c>
      <c r="F128" s="129" t="s">
        <v>282</v>
      </c>
      <c r="G128" s="147" t="s">
        <v>34</v>
      </c>
      <c r="H128" s="191">
        <f t="shared" si="1"/>
        <v>0</v>
      </c>
      <c r="I128" s="225"/>
      <c r="J128" s="149"/>
      <c r="K128" s="147">
        <v>11</v>
      </c>
      <c r="L128" s="147">
        <v>1</v>
      </c>
      <c r="M128" s="147">
        <v>12</v>
      </c>
      <c r="N128" s="289"/>
      <c r="O128" s="196"/>
      <c r="P128" s="180"/>
      <c r="Q128" s="174"/>
      <c r="R128" s="206">
        <v>0</v>
      </c>
      <c r="S128" s="165"/>
      <c r="T128" s="129" t="s">
        <v>277</v>
      </c>
      <c r="U128" s="147" t="s">
        <v>35</v>
      </c>
      <c r="V128" s="129"/>
      <c r="W128" s="163" t="s">
        <v>54</v>
      </c>
      <c r="X128" s="215"/>
      <c r="Y128" s="216">
        <v>0</v>
      </c>
      <c r="Z128" s="216">
        <v>0</v>
      </c>
      <c r="AA128" s="263"/>
      <c r="AB128" s="305"/>
      <c r="AC128" s="214"/>
    </row>
    <row r="129" spans="1:29" hidden="1" x14ac:dyDescent="0.25">
      <c r="A129" s="131">
        <v>1</v>
      </c>
      <c r="B129" s="136">
        <v>1103102</v>
      </c>
      <c r="C129" s="127" t="s">
        <v>30</v>
      </c>
      <c r="D129" s="127" t="s">
        <v>1577</v>
      </c>
      <c r="E129" s="151" t="s">
        <v>259</v>
      </c>
      <c r="F129" s="129" t="s">
        <v>283</v>
      </c>
      <c r="G129" s="147" t="s">
        <v>34</v>
      </c>
      <c r="H129" s="191">
        <f t="shared" si="1"/>
        <v>1.99</v>
      </c>
      <c r="I129" s="222" t="s">
        <v>2084</v>
      </c>
      <c r="J129" s="146">
        <v>30</v>
      </c>
      <c r="K129" s="147">
        <v>9</v>
      </c>
      <c r="L129" s="147">
        <v>1</v>
      </c>
      <c r="M129" s="147">
        <v>10</v>
      </c>
      <c r="N129" s="289">
        <v>2200</v>
      </c>
      <c r="O129" s="195"/>
      <c r="P129" s="180">
        <v>45712</v>
      </c>
      <c r="Q129" s="174">
        <v>1.94</v>
      </c>
      <c r="R129" s="205">
        <v>0.05</v>
      </c>
      <c r="S129" s="165"/>
      <c r="T129" s="129" t="s">
        <v>284</v>
      </c>
      <c r="U129" s="147" t="s">
        <v>37</v>
      </c>
      <c r="V129" s="129"/>
      <c r="W129" s="177" t="s">
        <v>54</v>
      </c>
      <c r="X129" s="215"/>
      <c r="Y129" s="216">
        <v>24.703125</v>
      </c>
      <c r="Z129" s="216">
        <v>39.524999999999999</v>
      </c>
      <c r="AA129" s="263"/>
      <c r="AB129" s="305"/>
    </row>
    <row r="130" spans="1:29" s="182" customFormat="1" ht="24" hidden="1" x14ac:dyDescent="0.25">
      <c r="A130" s="131">
        <v>1</v>
      </c>
      <c r="B130" s="136">
        <v>1104001</v>
      </c>
      <c r="C130" s="127" t="s">
        <v>30</v>
      </c>
      <c r="D130" s="127" t="s">
        <v>290</v>
      </c>
      <c r="E130" s="151" t="s">
        <v>131</v>
      </c>
      <c r="F130" s="136" t="s">
        <v>1981</v>
      </c>
      <c r="G130" s="147" t="s">
        <v>34</v>
      </c>
      <c r="H130" s="191">
        <f t="shared" si="1"/>
        <v>0</v>
      </c>
      <c r="I130" s="222" t="s">
        <v>2228</v>
      </c>
      <c r="J130" s="149"/>
      <c r="K130" s="147"/>
      <c r="L130" s="147"/>
      <c r="M130" s="147">
        <v>10</v>
      </c>
      <c r="N130" s="289">
        <v>2000</v>
      </c>
      <c r="O130" s="196"/>
      <c r="P130" s="180"/>
      <c r="Q130" s="174"/>
      <c r="R130" s="206">
        <v>0</v>
      </c>
      <c r="S130" s="168"/>
      <c r="T130" s="129" t="s">
        <v>36</v>
      </c>
      <c r="U130" s="147" t="s">
        <v>37</v>
      </c>
      <c r="V130" s="129"/>
      <c r="W130" s="163" t="s">
        <v>54</v>
      </c>
      <c r="X130" s="215"/>
      <c r="Y130" s="216">
        <v>0</v>
      </c>
      <c r="Z130" s="216">
        <v>0</v>
      </c>
      <c r="AA130" s="263"/>
      <c r="AB130" s="305"/>
      <c r="AC130" s="214"/>
    </row>
    <row r="131" spans="1:29" s="182" customFormat="1" ht="24" hidden="1" x14ac:dyDescent="0.25">
      <c r="A131" s="131">
        <v>1</v>
      </c>
      <c r="B131" s="136">
        <v>1104002</v>
      </c>
      <c r="C131" s="127" t="s">
        <v>30</v>
      </c>
      <c r="D131" s="127" t="s">
        <v>291</v>
      </c>
      <c r="E131" s="297" t="s">
        <v>131</v>
      </c>
      <c r="F131" s="136" t="s">
        <v>1981</v>
      </c>
      <c r="G131" s="147" t="s">
        <v>34</v>
      </c>
      <c r="H131" s="191">
        <f t="shared" ref="H131:H194" si="2">Q131+R131</f>
        <v>0</v>
      </c>
      <c r="I131" s="222" t="s">
        <v>2228</v>
      </c>
      <c r="J131" s="149"/>
      <c r="K131" s="147"/>
      <c r="L131" s="147"/>
      <c r="M131" s="147">
        <v>10</v>
      </c>
      <c r="N131" s="289">
        <v>2000</v>
      </c>
      <c r="O131" s="196"/>
      <c r="P131" s="180"/>
      <c r="Q131" s="174"/>
      <c r="R131" s="206">
        <v>0</v>
      </c>
      <c r="S131" s="168"/>
      <c r="T131" s="129" t="s">
        <v>292</v>
      </c>
      <c r="U131" s="147" t="s">
        <v>37</v>
      </c>
      <c r="V131" s="129"/>
      <c r="W131" s="163" t="s">
        <v>54</v>
      </c>
      <c r="X131" s="215"/>
      <c r="Y131" s="216">
        <v>0</v>
      </c>
      <c r="Z131" s="216">
        <v>0</v>
      </c>
      <c r="AA131" s="263"/>
      <c r="AB131" s="305"/>
      <c r="AC131" s="214"/>
    </row>
    <row r="132" spans="1:29" ht="24" x14ac:dyDescent="0.25">
      <c r="A132" s="131">
        <v>1</v>
      </c>
      <c r="B132" s="136">
        <v>1104003</v>
      </c>
      <c r="C132" s="127" t="s">
        <v>30</v>
      </c>
      <c r="D132" s="127" t="s">
        <v>2413</v>
      </c>
      <c r="E132" s="297" t="s">
        <v>131</v>
      </c>
      <c r="F132" s="129" t="s">
        <v>1791</v>
      </c>
      <c r="G132" s="147" t="s">
        <v>34</v>
      </c>
      <c r="H132" s="191">
        <f t="shared" si="2"/>
        <v>3.9499999999999997</v>
      </c>
      <c r="I132" s="222" t="s">
        <v>2096</v>
      </c>
      <c r="J132" s="146">
        <v>30</v>
      </c>
      <c r="K132" s="147">
        <v>8</v>
      </c>
      <c r="L132" s="147">
        <v>2</v>
      </c>
      <c r="M132" s="147">
        <v>10</v>
      </c>
      <c r="N132" s="289">
        <v>2204</v>
      </c>
      <c r="O132" s="195">
        <v>3.67</v>
      </c>
      <c r="P132" s="180">
        <v>46146</v>
      </c>
      <c r="Q132" s="174">
        <v>3.9</v>
      </c>
      <c r="R132" s="205">
        <v>0.05</v>
      </c>
      <c r="S132" s="165"/>
      <c r="T132" s="129" t="s">
        <v>2091</v>
      </c>
      <c r="U132" s="147" t="s">
        <v>37</v>
      </c>
      <c r="V132" s="129"/>
      <c r="W132" s="147" t="s">
        <v>2213</v>
      </c>
      <c r="X132" s="215" t="s">
        <v>1009</v>
      </c>
      <c r="Y132" s="216">
        <v>201.8274591666667</v>
      </c>
      <c r="Z132" s="216">
        <v>248.4030266666667</v>
      </c>
      <c r="AA132" s="263"/>
      <c r="AB132" s="305"/>
    </row>
    <row r="133" spans="1:29" hidden="1" x14ac:dyDescent="0.25">
      <c r="A133" s="131">
        <v>1</v>
      </c>
      <c r="B133" s="136">
        <v>1104004</v>
      </c>
      <c r="C133" s="127" t="s">
        <v>30</v>
      </c>
      <c r="D133" s="127" t="s">
        <v>294</v>
      </c>
      <c r="E133" s="297" t="s">
        <v>131</v>
      </c>
      <c r="F133" s="129" t="s">
        <v>1788</v>
      </c>
      <c r="G133" s="147" t="s">
        <v>34</v>
      </c>
      <c r="H133" s="191">
        <f t="shared" si="2"/>
        <v>0</v>
      </c>
      <c r="I133" s="181" t="s">
        <v>2084</v>
      </c>
      <c r="J133" s="146">
        <v>0</v>
      </c>
      <c r="K133" s="147">
        <v>6</v>
      </c>
      <c r="L133" s="147">
        <v>2</v>
      </c>
      <c r="M133" s="147">
        <v>8</v>
      </c>
      <c r="N133" s="289">
        <v>1100</v>
      </c>
      <c r="O133" s="196"/>
      <c r="P133" s="180"/>
      <c r="Q133" s="174"/>
      <c r="R133" s="206">
        <v>0</v>
      </c>
      <c r="S133" s="168"/>
      <c r="T133" s="129" t="s">
        <v>189</v>
      </c>
      <c r="U133" s="147" t="s">
        <v>37</v>
      </c>
      <c r="V133" s="129"/>
      <c r="W133" s="163" t="s">
        <v>54</v>
      </c>
      <c r="X133" s="215"/>
      <c r="Y133" s="216">
        <v>0</v>
      </c>
      <c r="Z133" s="216">
        <v>0</v>
      </c>
      <c r="AA133" s="264"/>
      <c r="AB133" s="305"/>
    </row>
    <row r="134" spans="1:29" s="182" customFormat="1" hidden="1" x14ac:dyDescent="0.25">
      <c r="A134" s="131">
        <v>1</v>
      </c>
      <c r="B134" s="136">
        <v>1104005</v>
      </c>
      <c r="C134" s="127" t="s">
        <v>30</v>
      </c>
      <c r="D134" s="137" t="s">
        <v>295</v>
      </c>
      <c r="E134" s="297" t="s">
        <v>131</v>
      </c>
      <c r="F134" s="129" t="s">
        <v>276</v>
      </c>
      <c r="G134" s="147" t="s">
        <v>34</v>
      </c>
      <c r="H134" s="191">
        <f t="shared" si="2"/>
        <v>8.84</v>
      </c>
      <c r="I134" s="134"/>
      <c r="J134" s="150"/>
      <c r="K134" s="147"/>
      <c r="L134" s="147"/>
      <c r="M134" s="147">
        <v>5</v>
      </c>
      <c r="N134" s="289">
        <v>220</v>
      </c>
      <c r="O134" s="196"/>
      <c r="P134" s="180"/>
      <c r="Q134" s="174">
        <v>8.84</v>
      </c>
      <c r="R134" s="205">
        <v>0</v>
      </c>
      <c r="S134" s="165"/>
      <c r="T134" s="129" t="s">
        <v>102</v>
      </c>
      <c r="U134" s="147" t="s">
        <v>35</v>
      </c>
      <c r="V134" s="129"/>
      <c r="W134" s="177" t="s">
        <v>54</v>
      </c>
      <c r="X134" s="215"/>
      <c r="Y134" s="216">
        <v>0</v>
      </c>
      <c r="Z134" s="216">
        <v>0</v>
      </c>
      <c r="AA134" s="263"/>
      <c r="AB134" s="305"/>
      <c r="AC134" s="212"/>
    </row>
    <row r="135" spans="1:29" hidden="1" x14ac:dyDescent="0.25">
      <c r="A135" s="131">
        <v>1</v>
      </c>
      <c r="B135" s="136">
        <v>1104006</v>
      </c>
      <c r="C135" s="127" t="s">
        <v>30</v>
      </c>
      <c r="D135" s="127" t="s">
        <v>297</v>
      </c>
      <c r="E135" s="297" t="s">
        <v>131</v>
      </c>
      <c r="F135" s="129" t="s">
        <v>1943</v>
      </c>
      <c r="G135" s="147" t="s">
        <v>34</v>
      </c>
      <c r="H135" s="191">
        <f t="shared" si="2"/>
        <v>0</v>
      </c>
      <c r="I135" s="225"/>
      <c r="J135" s="146">
        <v>30</v>
      </c>
      <c r="K135" s="147">
        <v>1</v>
      </c>
      <c r="L135" s="147">
        <v>1</v>
      </c>
      <c r="M135" s="147">
        <v>2</v>
      </c>
      <c r="N135" s="289"/>
      <c r="O135" s="196"/>
      <c r="P135" s="180"/>
      <c r="Q135" s="174"/>
      <c r="R135" s="206">
        <v>0</v>
      </c>
      <c r="S135" s="168"/>
      <c r="T135" s="129"/>
      <c r="U135" s="147" t="s">
        <v>37</v>
      </c>
      <c r="V135" s="129"/>
      <c r="W135" s="163" t="s">
        <v>54</v>
      </c>
      <c r="X135" s="215"/>
      <c r="Y135" s="216">
        <v>0</v>
      </c>
      <c r="Z135" s="216">
        <v>0</v>
      </c>
      <c r="AA135" s="263"/>
      <c r="AB135" s="305"/>
    </row>
    <row r="136" spans="1:29" hidden="1" x14ac:dyDescent="0.25">
      <c r="A136" s="131">
        <v>1</v>
      </c>
      <c r="B136" s="136">
        <v>1104007</v>
      </c>
      <c r="C136" s="127" t="s">
        <v>30</v>
      </c>
      <c r="D136" s="129" t="s">
        <v>301</v>
      </c>
      <c r="E136" s="297" t="s">
        <v>131</v>
      </c>
      <c r="F136" s="129" t="s">
        <v>1791</v>
      </c>
      <c r="G136" s="147" t="s">
        <v>34</v>
      </c>
      <c r="H136" s="191">
        <f t="shared" si="2"/>
        <v>5.0699999999999994</v>
      </c>
      <c r="I136" s="181" t="s">
        <v>2084</v>
      </c>
      <c r="J136" s="146">
        <v>30</v>
      </c>
      <c r="K136" s="147">
        <v>7</v>
      </c>
      <c r="L136" s="147">
        <v>2</v>
      </c>
      <c r="M136" s="147">
        <v>9</v>
      </c>
      <c r="N136" s="289">
        <v>1102</v>
      </c>
      <c r="O136" s="196"/>
      <c r="P136" s="180">
        <v>44684</v>
      </c>
      <c r="Q136" s="174">
        <v>4.3499999999999996</v>
      </c>
      <c r="R136" s="205">
        <v>0.72</v>
      </c>
      <c r="S136" s="165"/>
      <c r="T136" s="129" t="s">
        <v>36</v>
      </c>
      <c r="U136" s="147" t="s">
        <v>37</v>
      </c>
      <c r="V136" s="129"/>
      <c r="W136" s="177" t="s">
        <v>54</v>
      </c>
      <c r="X136" s="215"/>
      <c r="Y136" s="216">
        <v>0</v>
      </c>
      <c r="Z136" s="216">
        <v>0</v>
      </c>
      <c r="AA136" s="263"/>
      <c r="AB136" s="305"/>
    </row>
    <row r="137" spans="1:29" hidden="1" x14ac:dyDescent="0.25">
      <c r="A137" s="131">
        <v>1</v>
      </c>
      <c r="B137" s="136">
        <v>1104008</v>
      </c>
      <c r="C137" s="127" t="s">
        <v>30</v>
      </c>
      <c r="D137" s="129" t="s">
        <v>302</v>
      </c>
      <c r="E137" s="297" t="s">
        <v>131</v>
      </c>
      <c r="F137" s="129" t="s">
        <v>1791</v>
      </c>
      <c r="G137" s="147" t="s">
        <v>34</v>
      </c>
      <c r="H137" s="191">
        <f t="shared" si="2"/>
        <v>5.51</v>
      </c>
      <c r="I137" s="181" t="s">
        <v>2084</v>
      </c>
      <c r="J137" s="146">
        <v>30</v>
      </c>
      <c r="K137" s="147">
        <v>8</v>
      </c>
      <c r="L137" s="147">
        <v>2</v>
      </c>
      <c r="M137" s="147">
        <v>10</v>
      </c>
      <c r="N137" s="289">
        <v>1102</v>
      </c>
      <c r="O137" s="196"/>
      <c r="P137" s="180">
        <v>44684</v>
      </c>
      <c r="Q137" s="174">
        <v>4.79</v>
      </c>
      <c r="R137" s="205">
        <v>0.72</v>
      </c>
      <c r="S137" s="165"/>
      <c r="T137" s="129" t="s">
        <v>36</v>
      </c>
      <c r="U137" s="147" t="s">
        <v>37</v>
      </c>
      <c r="V137" s="129"/>
      <c r="W137" s="177" t="s">
        <v>54</v>
      </c>
      <c r="X137" s="215"/>
      <c r="Y137" s="216">
        <v>0</v>
      </c>
      <c r="Z137" s="216">
        <v>0</v>
      </c>
      <c r="AA137" s="263"/>
      <c r="AB137" s="305"/>
    </row>
    <row r="138" spans="1:29" ht="36" x14ac:dyDescent="0.25">
      <c r="A138" s="131">
        <v>1</v>
      </c>
      <c r="B138" s="136">
        <v>1104009</v>
      </c>
      <c r="C138" s="127" t="s">
        <v>30</v>
      </c>
      <c r="D138" s="129" t="s">
        <v>303</v>
      </c>
      <c r="E138" s="297" t="s">
        <v>131</v>
      </c>
      <c r="F138" s="129" t="s">
        <v>1791</v>
      </c>
      <c r="G138" s="147" t="s">
        <v>34</v>
      </c>
      <c r="H138" s="191">
        <f t="shared" si="2"/>
        <v>3.76</v>
      </c>
      <c r="I138" s="136" t="s">
        <v>2349</v>
      </c>
      <c r="J138" s="146">
        <v>30</v>
      </c>
      <c r="K138" s="147">
        <v>8</v>
      </c>
      <c r="L138" s="147">
        <v>2</v>
      </c>
      <c r="M138" s="147">
        <v>10</v>
      </c>
      <c r="N138" s="289">
        <v>4400</v>
      </c>
      <c r="O138" s="174">
        <v>3.84</v>
      </c>
      <c r="P138" s="180">
        <v>45944</v>
      </c>
      <c r="Q138" s="174">
        <v>3.71</v>
      </c>
      <c r="R138" s="205">
        <v>0.05</v>
      </c>
      <c r="S138" s="165"/>
      <c r="T138" s="129" t="s">
        <v>2452</v>
      </c>
      <c r="U138" s="147" t="s">
        <v>37</v>
      </c>
      <c r="V138" s="129"/>
      <c r="W138" s="147" t="s">
        <v>2213</v>
      </c>
      <c r="X138" s="215" t="s">
        <v>1009</v>
      </c>
      <c r="Y138" s="216">
        <v>896.91874999999993</v>
      </c>
      <c r="Z138" s="216">
        <v>1103.8999999999999</v>
      </c>
      <c r="AA138" s="263"/>
      <c r="AB138" s="305"/>
    </row>
    <row r="139" spans="1:29" hidden="1" x14ac:dyDescent="0.25">
      <c r="A139" s="131">
        <v>1</v>
      </c>
      <c r="B139" s="136">
        <v>1104010</v>
      </c>
      <c r="C139" s="127" t="s">
        <v>30</v>
      </c>
      <c r="D139" s="129" t="s">
        <v>304</v>
      </c>
      <c r="E139" s="297" t="s">
        <v>131</v>
      </c>
      <c r="F139" s="129" t="s">
        <v>1791</v>
      </c>
      <c r="G139" s="147" t="s">
        <v>34</v>
      </c>
      <c r="H139" s="191">
        <f t="shared" si="2"/>
        <v>5.18</v>
      </c>
      <c r="I139" s="181" t="s">
        <v>2084</v>
      </c>
      <c r="J139" s="146">
        <v>30</v>
      </c>
      <c r="K139" s="147">
        <v>7</v>
      </c>
      <c r="L139" s="147">
        <v>2</v>
      </c>
      <c r="M139" s="147">
        <v>9</v>
      </c>
      <c r="N139" s="289">
        <v>1102</v>
      </c>
      <c r="O139" s="196"/>
      <c r="P139" s="180">
        <v>44684</v>
      </c>
      <c r="Q139" s="174">
        <v>4.46</v>
      </c>
      <c r="R139" s="205">
        <v>0.72</v>
      </c>
      <c r="S139" s="165"/>
      <c r="T139" s="129" t="s">
        <v>36</v>
      </c>
      <c r="U139" s="147" t="s">
        <v>37</v>
      </c>
      <c r="V139" s="129"/>
      <c r="W139" s="177" t="s">
        <v>54</v>
      </c>
      <c r="X139" s="215"/>
      <c r="Y139" s="216">
        <v>0</v>
      </c>
      <c r="Z139" s="216">
        <v>0</v>
      </c>
      <c r="AA139" s="263"/>
      <c r="AB139" s="305"/>
    </row>
    <row r="140" spans="1:29" ht="24" hidden="1" x14ac:dyDescent="0.25">
      <c r="A140" s="131">
        <v>1</v>
      </c>
      <c r="B140" s="136">
        <v>1104011</v>
      </c>
      <c r="C140" s="127" t="s">
        <v>30</v>
      </c>
      <c r="D140" s="129" t="s">
        <v>305</v>
      </c>
      <c r="E140" s="297" t="s">
        <v>131</v>
      </c>
      <c r="F140" s="129" t="s">
        <v>47</v>
      </c>
      <c r="G140" s="147" t="s">
        <v>34</v>
      </c>
      <c r="H140" s="191">
        <f t="shared" si="2"/>
        <v>1.75</v>
      </c>
      <c r="I140" s="222" t="s">
        <v>2228</v>
      </c>
      <c r="J140" s="146">
        <v>30</v>
      </c>
      <c r="K140" s="147">
        <v>9</v>
      </c>
      <c r="L140" s="147">
        <v>1</v>
      </c>
      <c r="M140" s="147">
        <v>10</v>
      </c>
      <c r="N140" s="289">
        <v>6400</v>
      </c>
      <c r="O140" s="196"/>
      <c r="P140" s="180"/>
      <c r="Q140" s="174">
        <v>1.75</v>
      </c>
      <c r="R140" s="205">
        <v>0</v>
      </c>
      <c r="S140" s="165" t="s">
        <v>35</v>
      </c>
      <c r="T140" s="129" t="s">
        <v>36</v>
      </c>
      <c r="U140" s="147" t="s">
        <v>37</v>
      </c>
      <c r="V140" s="129"/>
      <c r="W140" s="177" t="s">
        <v>54</v>
      </c>
      <c r="X140" s="215"/>
      <c r="Y140" s="216">
        <v>0</v>
      </c>
      <c r="Z140" s="216">
        <v>0</v>
      </c>
      <c r="AA140" s="263"/>
      <c r="AB140" s="305"/>
    </row>
    <row r="141" spans="1:29" hidden="1" x14ac:dyDescent="0.25">
      <c r="A141" s="131">
        <v>1</v>
      </c>
      <c r="B141" s="136">
        <v>1104015</v>
      </c>
      <c r="C141" s="127" t="s">
        <v>30</v>
      </c>
      <c r="D141" s="129" t="s">
        <v>306</v>
      </c>
      <c r="E141" s="297" t="s">
        <v>131</v>
      </c>
      <c r="F141" s="129" t="s">
        <v>307</v>
      </c>
      <c r="G141" s="147" t="s">
        <v>34</v>
      </c>
      <c r="H141" s="191">
        <f t="shared" si="2"/>
        <v>0</v>
      </c>
      <c r="I141" s="134" t="s">
        <v>2084</v>
      </c>
      <c r="J141" s="146">
        <v>0</v>
      </c>
      <c r="K141" s="147">
        <v>8</v>
      </c>
      <c r="L141" s="147">
        <v>2</v>
      </c>
      <c r="M141" s="147">
        <v>10</v>
      </c>
      <c r="N141" s="289">
        <v>1763</v>
      </c>
      <c r="O141" s="196"/>
      <c r="P141" s="180"/>
      <c r="Q141" s="174"/>
      <c r="R141" s="206">
        <v>0</v>
      </c>
      <c r="S141" s="165"/>
      <c r="T141" s="129" t="s">
        <v>36</v>
      </c>
      <c r="U141" s="147" t="s">
        <v>35</v>
      </c>
      <c r="V141" s="129"/>
      <c r="W141" s="163" t="s">
        <v>54</v>
      </c>
      <c r="X141" s="215"/>
      <c r="Y141" s="216">
        <v>0</v>
      </c>
      <c r="Z141" s="216">
        <v>0</v>
      </c>
      <c r="AA141" s="263"/>
      <c r="AB141" s="305"/>
    </row>
    <row r="142" spans="1:29" s="182" customFormat="1" hidden="1" x14ac:dyDescent="0.25">
      <c r="A142" s="131">
        <v>1</v>
      </c>
      <c r="B142" s="136">
        <v>1104016</v>
      </c>
      <c r="C142" s="127" t="s">
        <v>30</v>
      </c>
      <c r="D142" s="129" t="s">
        <v>1829</v>
      </c>
      <c r="E142" s="297" t="s">
        <v>131</v>
      </c>
      <c r="F142" s="129" t="s">
        <v>329</v>
      </c>
      <c r="G142" s="147" t="s">
        <v>34</v>
      </c>
      <c r="H142" s="191">
        <f t="shared" si="2"/>
        <v>2.8670239999999998</v>
      </c>
      <c r="I142" s="181" t="s">
        <v>2218</v>
      </c>
      <c r="J142" s="150"/>
      <c r="K142" s="147">
        <v>2</v>
      </c>
      <c r="L142" s="147">
        <v>2</v>
      </c>
      <c r="M142" s="147">
        <v>4</v>
      </c>
      <c r="N142" s="289"/>
      <c r="O142" s="196"/>
      <c r="P142" s="180">
        <v>45064</v>
      </c>
      <c r="Q142" s="174">
        <v>2.817024</v>
      </c>
      <c r="R142" s="205">
        <v>0.05</v>
      </c>
      <c r="S142" s="165" t="s">
        <v>35</v>
      </c>
      <c r="T142" s="129" t="s">
        <v>329</v>
      </c>
      <c r="U142" s="147" t="s">
        <v>35</v>
      </c>
      <c r="V142" s="129" t="s">
        <v>1604</v>
      </c>
      <c r="W142" s="177" t="s">
        <v>2531</v>
      </c>
      <c r="X142" s="215"/>
      <c r="Y142" s="216">
        <v>0</v>
      </c>
      <c r="Z142" s="216">
        <v>0</v>
      </c>
      <c r="AA142" s="263"/>
      <c r="AB142" s="305"/>
      <c r="AC142" s="214"/>
    </row>
    <row r="143" spans="1:29" s="182" customFormat="1" x14ac:dyDescent="0.25">
      <c r="A143" s="131">
        <v>1</v>
      </c>
      <c r="B143" s="136">
        <v>1104017</v>
      </c>
      <c r="C143" s="127" t="s">
        <v>30</v>
      </c>
      <c r="D143" s="129" t="s">
        <v>312</v>
      </c>
      <c r="E143" s="297" t="s">
        <v>131</v>
      </c>
      <c r="F143" s="129" t="s">
        <v>1640</v>
      </c>
      <c r="G143" s="147" t="s">
        <v>34</v>
      </c>
      <c r="H143" s="191">
        <f t="shared" si="2"/>
        <v>3.7</v>
      </c>
      <c r="I143" s="134"/>
      <c r="J143" s="150"/>
      <c r="K143" s="147"/>
      <c r="L143" s="147"/>
      <c r="M143" s="147">
        <v>16</v>
      </c>
      <c r="N143" s="289">
        <v>1000</v>
      </c>
      <c r="O143" s="196">
        <v>0.91</v>
      </c>
      <c r="P143" s="180">
        <v>45049</v>
      </c>
      <c r="Q143" s="174">
        <v>3.7</v>
      </c>
      <c r="R143" s="205">
        <v>0</v>
      </c>
      <c r="S143" s="165" t="s">
        <v>35</v>
      </c>
      <c r="T143" s="129" t="s">
        <v>1870</v>
      </c>
      <c r="U143" s="147" t="s">
        <v>35</v>
      </c>
      <c r="V143" s="129"/>
      <c r="W143" s="147" t="s">
        <v>2213</v>
      </c>
      <c r="X143" s="215" t="s">
        <v>1009</v>
      </c>
      <c r="Y143" s="216">
        <v>0</v>
      </c>
      <c r="Z143" s="216">
        <v>0</v>
      </c>
      <c r="AA143" s="263"/>
      <c r="AB143" s="305"/>
      <c r="AC143" s="214"/>
    </row>
    <row r="144" spans="1:29" hidden="1" x14ac:dyDescent="0.25">
      <c r="A144" s="131">
        <v>1</v>
      </c>
      <c r="B144" s="136">
        <v>1104018</v>
      </c>
      <c r="C144" s="127" t="s">
        <v>30</v>
      </c>
      <c r="D144" s="129" t="s">
        <v>314</v>
      </c>
      <c r="E144" s="297" t="s">
        <v>131</v>
      </c>
      <c r="F144" s="129" t="s">
        <v>1791</v>
      </c>
      <c r="G144" s="147" t="s">
        <v>34</v>
      </c>
      <c r="H144" s="191">
        <f t="shared" si="2"/>
        <v>0</v>
      </c>
      <c r="I144" s="181" t="s">
        <v>2084</v>
      </c>
      <c r="J144" s="146">
        <v>30</v>
      </c>
      <c r="K144" s="147">
        <v>4</v>
      </c>
      <c r="L144" s="147">
        <v>2</v>
      </c>
      <c r="M144" s="147">
        <v>6</v>
      </c>
      <c r="N144" s="289"/>
      <c r="O144" s="196"/>
      <c r="P144" s="180"/>
      <c r="Q144" s="174"/>
      <c r="R144" s="205"/>
      <c r="S144" s="165"/>
      <c r="T144" s="129"/>
      <c r="U144" s="147" t="s">
        <v>37</v>
      </c>
      <c r="V144" s="129"/>
      <c r="W144" s="177" t="s">
        <v>54</v>
      </c>
      <c r="X144" s="215"/>
      <c r="Y144" s="216">
        <v>0</v>
      </c>
      <c r="Z144" s="216">
        <v>0</v>
      </c>
      <c r="AA144" s="263"/>
      <c r="AB144" s="305"/>
    </row>
    <row r="145" spans="1:29" hidden="1" x14ac:dyDescent="0.25">
      <c r="A145" s="131">
        <v>1</v>
      </c>
      <c r="B145" s="136">
        <v>1104019</v>
      </c>
      <c r="C145" s="127" t="s">
        <v>30</v>
      </c>
      <c r="D145" s="129" t="s">
        <v>315</v>
      </c>
      <c r="E145" s="297" t="s">
        <v>131</v>
      </c>
      <c r="F145" s="129" t="s">
        <v>1791</v>
      </c>
      <c r="G145" s="147" t="s">
        <v>34</v>
      </c>
      <c r="H145" s="191">
        <f t="shared" si="2"/>
        <v>0</v>
      </c>
      <c r="I145" s="181" t="s">
        <v>2084</v>
      </c>
      <c r="J145" s="146">
        <v>30</v>
      </c>
      <c r="K145" s="147">
        <v>4</v>
      </c>
      <c r="L145" s="147">
        <v>2</v>
      </c>
      <c r="M145" s="147">
        <v>6</v>
      </c>
      <c r="N145" s="289"/>
      <c r="O145" s="196"/>
      <c r="P145" s="180"/>
      <c r="Q145" s="174"/>
      <c r="R145" s="205"/>
      <c r="S145" s="165"/>
      <c r="T145" s="129"/>
      <c r="U145" s="147" t="s">
        <v>37</v>
      </c>
      <c r="V145" s="129"/>
      <c r="W145" s="177" t="s">
        <v>54</v>
      </c>
      <c r="X145" s="215"/>
      <c r="Y145" s="216">
        <v>0</v>
      </c>
      <c r="Z145" s="216">
        <v>0</v>
      </c>
      <c r="AA145" s="263"/>
      <c r="AB145" s="305"/>
    </row>
    <row r="146" spans="1:29" s="182" customFormat="1" hidden="1" x14ac:dyDescent="0.25">
      <c r="A146" s="131">
        <v>1</v>
      </c>
      <c r="B146" s="136">
        <v>1104020</v>
      </c>
      <c r="C146" s="127" t="s">
        <v>30</v>
      </c>
      <c r="D146" s="129" t="s">
        <v>1582</v>
      </c>
      <c r="E146" s="297" t="s">
        <v>131</v>
      </c>
      <c r="F146" s="129" t="s">
        <v>329</v>
      </c>
      <c r="G146" s="147" t="s">
        <v>34</v>
      </c>
      <c r="H146" s="191">
        <f t="shared" si="2"/>
        <v>0.05</v>
      </c>
      <c r="I146" s="181" t="s">
        <v>2218</v>
      </c>
      <c r="J146" s="150"/>
      <c r="K146" s="147">
        <v>2</v>
      </c>
      <c r="L146" s="147">
        <v>2</v>
      </c>
      <c r="M146" s="147">
        <v>4</v>
      </c>
      <c r="N146" s="289"/>
      <c r="O146" s="196"/>
      <c r="P146" s="180"/>
      <c r="Q146" s="174"/>
      <c r="R146" s="205">
        <v>0.05</v>
      </c>
      <c r="S146" s="165"/>
      <c r="T146" s="129" t="s">
        <v>329</v>
      </c>
      <c r="U146" s="147" t="s">
        <v>35</v>
      </c>
      <c r="V146" s="129" t="s">
        <v>1602</v>
      </c>
      <c r="W146" s="177" t="s">
        <v>2531</v>
      </c>
      <c r="X146" s="215"/>
      <c r="Y146" s="216">
        <v>0</v>
      </c>
      <c r="Z146" s="216">
        <v>0</v>
      </c>
      <c r="AA146" s="263"/>
      <c r="AB146" s="305"/>
      <c r="AC146" s="214"/>
    </row>
    <row r="147" spans="1:29" x14ac:dyDescent="0.25">
      <c r="A147" s="131">
        <v>1</v>
      </c>
      <c r="B147" s="136">
        <v>1105001</v>
      </c>
      <c r="C147" s="127" t="s">
        <v>30</v>
      </c>
      <c r="D147" s="127" t="s">
        <v>1964</v>
      </c>
      <c r="E147" s="154" t="s">
        <v>317</v>
      </c>
      <c r="F147" s="136" t="s">
        <v>307</v>
      </c>
      <c r="G147" s="147" t="s">
        <v>34</v>
      </c>
      <c r="H147" s="191">
        <f t="shared" si="2"/>
        <v>7.85</v>
      </c>
      <c r="I147" s="222" t="s">
        <v>2084</v>
      </c>
      <c r="J147" s="146">
        <v>0</v>
      </c>
      <c r="K147" s="147">
        <v>9</v>
      </c>
      <c r="L147" s="147">
        <v>2</v>
      </c>
      <c r="M147" s="147">
        <v>11</v>
      </c>
      <c r="N147" s="328">
        <v>330</v>
      </c>
      <c r="O147" s="195">
        <v>6.8</v>
      </c>
      <c r="P147" s="180">
        <v>45484</v>
      </c>
      <c r="Q147" s="174">
        <v>7.8</v>
      </c>
      <c r="R147" s="205">
        <v>0.05</v>
      </c>
      <c r="S147" s="165"/>
      <c r="T147" s="128" t="s">
        <v>1870</v>
      </c>
      <c r="U147" s="147" t="s">
        <v>37</v>
      </c>
      <c r="V147" s="129"/>
      <c r="W147" s="147" t="s">
        <v>2213</v>
      </c>
      <c r="X147" s="215" t="s">
        <v>1009</v>
      </c>
      <c r="Y147" s="216">
        <v>99.881424999999993</v>
      </c>
      <c r="Z147" s="216">
        <v>121.2845875</v>
      </c>
      <c r="AA147" s="263"/>
      <c r="AB147" s="305"/>
    </row>
    <row r="148" spans="1:29" ht="24" hidden="1" x14ac:dyDescent="0.25">
      <c r="A148" s="131">
        <v>1</v>
      </c>
      <c r="B148" s="136">
        <v>1105002</v>
      </c>
      <c r="C148" s="127" t="s">
        <v>30</v>
      </c>
      <c r="D148" s="127" t="s">
        <v>318</v>
      </c>
      <c r="E148" s="154" t="s">
        <v>317</v>
      </c>
      <c r="F148" s="136" t="s">
        <v>33</v>
      </c>
      <c r="G148" s="147" t="s">
        <v>34</v>
      </c>
      <c r="H148" s="191">
        <f t="shared" si="2"/>
        <v>0</v>
      </c>
      <c r="I148" s="222" t="s">
        <v>2228</v>
      </c>
      <c r="J148" s="146">
        <v>0</v>
      </c>
      <c r="K148" s="147">
        <v>11</v>
      </c>
      <c r="L148" s="147">
        <v>1</v>
      </c>
      <c r="M148" s="147">
        <v>12</v>
      </c>
      <c r="N148" s="328" t="s">
        <v>88</v>
      </c>
      <c r="O148" s="196"/>
      <c r="P148" s="180"/>
      <c r="Q148" s="174"/>
      <c r="R148" s="206">
        <v>0</v>
      </c>
      <c r="S148" s="169"/>
      <c r="T148" s="128" t="s">
        <v>64</v>
      </c>
      <c r="U148" s="147" t="s">
        <v>37</v>
      </c>
      <c r="V148" s="129"/>
      <c r="W148" s="163" t="s">
        <v>54</v>
      </c>
      <c r="X148" s="215"/>
      <c r="Y148" s="216">
        <v>0</v>
      </c>
      <c r="Z148" s="216">
        <v>0</v>
      </c>
      <c r="AA148" s="263"/>
      <c r="AB148" s="305"/>
    </row>
    <row r="149" spans="1:29" ht="24" hidden="1" x14ac:dyDescent="0.25">
      <c r="A149" s="131">
        <v>1</v>
      </c>
      <c r="B149" s="136">
        <v>1105003</v>
      </c>
      <c r="C149" s="127" t="s">
        <v>30</v>
      </c>
      <c r="D149" s="127" t="s">
        <v>319</v>
      </c>
      <c r="E149" s="154" t="s">
        <v>317</v>
      </c>
      <c r="F149" s="136" t="s">
        <v>33</v>
      </c>
      <c r="G149" s="147" t="s">
        <v>34</v>
      </c>
      <c r="H149" s="191">
        <f t="shared" si="2"/>
        <v>3.69</v>
      </c>
      <c r="I149" s="222" t="s">
        <v>2228</v>
      </c>
      <c r="J149" s="146">
        <v>0</v>
      </c>
      <c r="K149" s="147">
        <v>11</v>
      </c>
      <c r="L149" s="147">
        <v>1</v>
      </c>
      <c r="M149" s="147">
        <v>12</v>
      </c>
      <c r="N149" s="328">
        <v>55</v>
      </c>
      <c r="O149" s="196"/>
      <c r="P149" s="180"/>
      <c r="Q149" s="174">
        <v>3.69</v>
      </c>
      <c r="R149" s="205">
        <v>0</v>
      </c>
      <c r="S149" s="165"/>
      <c r="T149" s="128" t="s">
        <v>234</v>
      </c>
      <c r="U149" s="147" t="s">
        <v>37</v>
      </c>
      <c r="V149" s="129"/>
      <c r="W149" s="163" t="s">
        <v>54</v>
      </c>
      <c r="X149" s="215"/>
      <c r="Y149" s="216">
        <v>0</v>
      </c>
      <c r="Z149" s="216">
        <v>0</v>
      </c>
      <c r="AA149" s="263"/>
      <c r="AB149" s="305"/>
    </row>
    <row r="150" spans="1:29" ht="24" hidden="1" x14ac:dyDescent="0.25">
      <c r="A150" s="131">
        <v>1</v>
      </c>
      <c r="B150" s="136">
        <v>1105004</v>
      </c>
      <c r="C150" s="127" t="s">
        <v>30</v>
      </c>
      <c r="D150" s="127" t="s">
        <v>320</v>
      </c>
      <c r="E150" s="154" t="s">
        <v>317</v>
      </c>
      <c r="F150" s="136" t="s">
        <v>33</v>
      </c>
      <c r="G150" s="147" t="s">
        <v>34</v>
      </c>
      <c r="H150" s="191">
        <f t="shared" si="2"/>
        <v>22.15</v>
      </c>
      <c r="I150" s="222" t="s">
        <v>2228</v>
      </c>
      <c r="J150" s="146">
        <v>0</v>
      </c>
      <c r="K150" s="147">
        <v>11</v>
      </c>
      <c r="L150" s="147">
        <v>1</v>
      </c>
      <c r="M150" s="147">
        <v>12</v>
      </c>
      <c r="N150" s="328">
        <v>55</v>
      </c>
      <c r="O150" s="196"/>
      <c r="P150" s="180"/>
      <c r="Q150" s="174">
        <v>22.15</v>
      </c>
      <c r="R150" s="205">
        <v>0</v>
      </c>
      <c r="S150" s="165"/>
      <c r="T150" s="128" t="s">
        <v>102</v>
      </c>
      <c r="U150" s="147" t="s">
        <v>35</v>
      </c>
      <c r="V150" s="129"/>
      <c r="W150" s="177" t="s">
        <v>54</v>
      </c>
      <c r="X150" s="215"/>
      <c r="Y150" s="216">
        <v>0</v>
      </c>
      <c r="Z150" s="216">
        <v>0</v>
      </c>
      <c r="AA150" s="263"/>
      <c r="AB150" s="305"/>
    </row>
    <row r="151" spans="1:29" s="182" customFormat="1" hidden="1" x14ac:dyDescent="0.25">
      <c r="A151" s="131">
        <v>1</v>
      </c>
      <c r="B151" s="136">
        <v>1105005</v>
      </c>
      <c r="C151" s="127" t="s">
        <v>30</v>
      </c>
      <c r="D151" s="127" t="s">
        <v>321</v>
      </c>
      <c r="E151" s="154" t="s">
        <v>317</v>
      </c>
      <c r="F151" s="136" t="s">
        <v>276</v>
      </c>
      <c r="G151" s="147" t="s">
        <v>34</v>
      </c>
      <c r="H151" s="191">
        <f t="shared" si="2"/>
        <v>0</v>
      </c>
      <c r="I151" s="225"/>
      <c r="J151" s="149"/>
      <c r="K151" s="154"/>
      <c r="L151" s="154"/>
      <c r="M151" s="147">
        <v>8</v>
      </c>
      <c r="N151" s="328"/>
      <c r="O151" s="196"/>
      <c r="P151" s="180"/>
      <c r="Q151" s="174"/>
      <c r="R151" s="206">
        <v>0</v>
      </c>
      <c r="S151" s="165"/>
      <c r="T151" s="128" t="s">
        <v>102</v>
      </c>
      <c r="U151" s="147" t="s">
        <v>35</v>
      </c>
      <c r="V151" s="129"/>
      <c r="W151" s="163" t="s">
        <v>54</v>
      </c>
      <c r="X151" s="215"/>
      <c r="Y151" s="216">
        <v>0</v>
      </c>
      <c r="Z151" s="216">
        <v>0</v>
      </c>
      <c r="AA151" s="263"/>
      <c r="AB151" s="305"/>
      <c r="AC151" s="214"/>
    </row>
    <row r="152" spans="1:29" hidden="1" x14ac:dyDescent="0.25">
      <c r="A152" s="131">
        <v>1</v>
      </c>
      <c r="B152" s="136">
        <v>1105006</v>
      </c>
      <c r="C152" s="127" t="s">
        <v>30</v>
      </c>
      <c r="D152" s="127" t="s">
        <v>322</v>
      </c>
      <c r="E152" s="147" t="s">
        <v>2032</v>
      </c>
      <c r="F152" s="136" t="s">
        <v>323</v>
      </c>
      <c r="G152" s="147" t="s">
        <v>34</v>
      </c>
      <c r="H152" s="191">
        <f t="shared" si="2"/>
        <v>3.84</v>
      </c>
      <c r="I152" s="134" t="s">
        <v>2084</v>
      </c>
      <c r="J152" s="146">
        <v>30</v>
      </c>
      <c r="K152" s="147">
        <v>4</v>
      </c>
      <c r="L152" s="154">
        <v>2</v>
      </c>
      <c r="M152" s="147">
        <v>6</v>
      </c>
      <c r="N152" s="328">
        <v>55</v>
      </c>
      <c r="O152" s="196"/>
      <c r="P152" s="180"/>
      <c r="Q152" s="174">
        <v>3.84</v>
      </c>
      <c r="R152" s="205">
        <v>0</v>
      </c>
      <c r="S152" s="165"/>
      <c r="T152" s="128" t="s">
        <v>102</v>
      </c>
      <c r="U152" s="147" t="s">
        <v>35</v>
      </c>
      <c r="V152" s="129"/>
      <c r="W152" s="177" t="s">
        <v>54</v>
      </c>
      <c r="X152" s="215"/>
      <c r="Y152" s="216">
        <v>0</v>
      </c>
      <c r="Z152" s="216">
        <v>0</v>
      </c>
      <c r="AA152" s="263"/>
      <c r="AB152" s="305"/>
    </row>
    <row r="153" spans="1:29" s="182" customFormat="1" hidden="1" x14ac:dyDescent="0.25">
      <c r="A153" s="131">
        <v>1</v>
      </c>
      <c r="B153" s="136">
        <v>1105007</v>
      </c>
      <c r="C153" s="127" t="s">
        <v>30</v>
      </c>
      <c r="D153" s="127" t="s">
        <v>327</v>
      </c>
      <c r="E153" s="154" t="s">
        <v>328</v>
      </c>
      <c r="F153" s="136" t="s">
        <v>329</v>
      </c>
      <c r="G153" s="147" t="s">
        <v>34</v>
      </c>
      <c r="H153" s="191">
        <f t="shared" si="2"/>
        <v>2.25</v>
      </c>
      <c r="I153" s="181" t="s">
        <v>2218</v>
      </c>
      <c r="J153" s="150"/>
      <c r="K153" s="147">
        <v>2</v>
      </c>
      <c r="L153" s="154">
        <v>2</v>
      </c>
      <c r="M153" s="147">
        <v>4</v>
      </c>
      <c r="N153" s="289"/>
      <c r="O153" s="196"/>
      <c r="P153" s="180">
        <v>45064</v>
      </c>
      <c r="Q153" s="174">
        <v>2.2000000000000002</v>
      </c>
      <c r="R153" s="205">
        <v>0.05</v>
      </c>
      <c r="S153" s="165"/>
      <c r="T153" s="128" t="s">
        <v>329</v>
      </c>
      <c r="U153" s="147" t="s">
        <v>35</v>
      </c>
      <c r="V153" s="129" t="s">
        <v>1607</v>
      </c>
      <c r="W153" s="177" t="s">
        <v>2531</v>
      </c>
      <c r="X153" s="215"/>
      <c r="Y153" s="216">
        <v>0</v>
      </c>
      <c r="Z153" s="216">
        <v>0</v>
      </c>
      <c r="AA153" s="263"/>
      <c r="AB153" s="305"/>
      <c r="AC153" s="214"/>
    </row>
    <row r="154" spans="1:29" s="182" customFormat="1" hidden="1" x14ac:dyDescent="0.25">
      <c r="A154" s="131">
        <v>1</v>
      </c>
      <c r="B154" s="136">
        <v>1105008</v>
      </c>
      <c r="C154" s="127" t="s">
        <v>30</v>
      </c>
      <c r="D154" s="127" t="s">
        <v>332</v>
      </c>
      <c r="E154" s="154" t="s">
        <v>317</v>
      </c>
      <c r="F154" s="136" t="s">
        <v>276</v>
      </c>
      <c r="G154" s="147" t="s">
        <v>34</v>
      </c>
      <c r="H154" s="191">
        <f t="shared" si="2"/>
        <v>4.2149999999999999</v>
      </c>
      <c r="I154" s="134"/>
      <c r="J154" s="150"/>
      <c r="K154" s="154"/>
      <c r="L154" s="154"/>
      <c r="M154" s="147">
        <v>10</v>
      </c>
      <c r="N154" s="328">
        <v>1323</v>
      </c>
      <c r="O154" s="196"/>
      <c r="P154" s="180"/>
      <c r="Q154" s="174">
        <v>4.17</v>
      </c>
      <c r="R154" s="205">
        <v>4.4999999999999998E-2</v>
      </c>
      <c r="S154" s="165"/>
      <c r="T154" s="128"/>
      <c r="U154" s="147" t="s">
        <v>37</v>
      </c>
      <c r="V154" s="129"/>
      <c r="W154" s="177" t="s">
        <v>54</v>
      </c>
      <c r="X154" s="215"/>
      <c r="Y154" s="216">
        <v>0</v>
      </c>
      <c r="Z154" s="216">
        <v>0</v>
      </c>
      <c r="AA154" s="263"/>
      <c r="AB154" s="305"/>
      <c r="AC154" s="212"/>
    </row>
    <row r="155" spans="1:29" ht="24" hidden="1" x14ac:dyDescent="0.25">
      <c r="A155" s="131">
        <v>1</v>
      </c>
      <c r="B155" s="136">
        <v>1105009</v>
      </c>
      <c r="C155" s="127" t="s">
        <v>30</v>
      </c>
      <c r="D155" s="127" t="s">
        <v>333</v>
      </c>
      <c r="E155" s="154" t="s">
        <v>317</v>
      </c>
      <c r="F155" s="136" t="s">
        <v>33</v>
      </c>
      <c r="G155" s="147" t="s">
        <v>34</v>
      </c>
      <c r="H155" s="191">
        <f t="shared" si="2"/>
        <v>3.25</v>
      </c>
      <c r="I155" s="222" t="s">
        <v>2228</v>
      </c>
      <c r="J155" s="146">
        <v>0</v>
      </c>
      <c r="K155" s="147">
        <v>11</v>
      </c>
      <c r="L155" s="147">
        <v>1</v>
      </c>
      <c r="M155" s="147">
        <v>12</v>
      </c>
      <c r="N155" s="328">
        <v>55</v>
      </c>
      <c r="O155" s="196"/>
      <c r="P155" s="180"/>
      <c r="Q155" s="174">
        <v>3.25</v>
      </c>
      <c r="R155" s="205">
        <v>0</v>
      </c>
      <c r="S155" s="165"/>
      <c r="T155" s="128" t="s">
        <v>44</v>
      </c>
      <c r="U155" s="147" t="s">
        <v>37</v>
      </c>
      <c r="V155" s="129"/>
      <c r="W155" s="177" t="s">
        <v>54</v>
      </c>
      <c r="X155" s="215"/>
      <c r="Y155" s="216">
        <v>0</v>
      </c>
      <c r="Z155" s="216">
        <v>0</v>
      </c>
      <c r="AA155" s="263"/>
      <c r="AB155" s="305"/>
    </row>
    <row r="156" spans="1:29" ht="24" hidden="1" x14ac:dyDescent="0.25">
      <c r="A156" s="131">
        <v>1</v>
      </c>
      <c r="B156" s="136">
        <v>1105010</v>
      </c>
      <c r="C156" s="127" t="s">
        <v>30</v>
      </c>
      <c r="D156" s="127" t="s">
        <v>334</v>
      </c>
      <c r="E156" s="154" t="s">
        <v>317</v>
      </c>
      <c r="F156" s="136" t="s">
        <v>33</v>
      </c>
      <c r="G156" s="147" t="s">
        <v>34</v>
      </c>
      <c r="H156" s="191">
        <f t="shared" si="2"/>
        <v>3.75</v>
      </c>
      <c r="I156" s="222" t="s">
        <v>2228</v>
      </c>
      <c r="J156" s="146">
        <v>0</v>
      </c>
      <c r="K156" s="147">
        <v>11</v>
      </c>
      <c r="L156" s="147">
        <v>1</v>
      </c>
      <c r="M156" s="147">
        <v>12</v>
      </c>
      <c r="N156" s="328">
        <v>55</v>
      </c>
      <c r="O156" s="196"/>
      <c r="P156" s="180"/>
      <c r="Q156" s="174">
        <v>3.75</v>
      </c>
      <c r="R156" s="205">
        <v>0</v>
      </c>
      <c r="S156" s="165"/>
      <c r="T156" s="128" t="s">
        <v>44</v>
      </c>
      <c r="U156" s="147" t="s">
        <v>37</v>
      </c>
      <c r="V156" s="129"/>
      <c r="W156" s="177" t="s">
        <v>54</v>
      </c>
      <c r="X156" s="215"/>
      <c r="Y156" s="216">
        <v>0</v>
      </c>
      <c r="Z156" s="216">
        <v>0</v>
      </c>
      <c r="AA156" s="263"/>
      <c r="AB156" s="305"/>
    </row>
    <row r="157" spans="1:29" s="182" customFormat="1" hidden="1" x14ac:dyDescent="0.25">
      <c r="A157" s="131">
        <v>1</v>
      </c>
      <c r="B157" s="136">
        <v>1105011</v>
      </c>
      <c r="C157" s="127" t="s">
        <v>30</v>
      </c>
      <c r="D157" s="127" t="s">
        <v>1597</v>
      </c>
      <c r="E157" s="154" t="s">
        <v>317</v>
      </c>
      <c r="F157" s="136" t="s">
        <v>329</v>
      </c>
      <c r="G157" s="147" t="s">
        <v>34</v>
      </c>
      <c r="H157" s="191">
        <f t="shared" si="2"/>
        <v>0.05</v>
      </c>
      <c r="I157" s="181" t="s">
        <v>2218</v>
      </c>
      <c r="J157" s="150"/>
      <c r="K157" s="147">
        <v>2</v>
      </c>
      <c r="L157" s="154">
        <v>2</v>
      </c>
      <c r="M157" s="147">
        <v>4</v>
      </c>
      <c r="N157" s="289"/>
      <c r="O157" s="196"/>
      <c r="P157" s="180"/>
      <c r="Q157" s="174"/>
      <c r="R157" s="205">
        <v>0.05</v>
      </c>
      <c r="S157" s="165"/>
      <c r="T157" s="128" t="s">
        <v>329</v>
      </c>
      <c r="U157" s="147" t="s">
        <v>35</v>
      </c>
      <c r="V157" s="129"/>
      <c r="W157" s="177" t="s">
        <v>2531</v>
      </c>
      <c r="X157" s="215"/>
      <c r="Y157" s="216">
        <v>0</v>
      </c>
      <c r="Z157" s="216">
        <v>0</v>
      </c>
      <c r="AA157" s="263"/>
      <c r="AB157" s="305"/>
      <c r="AC157" s="214"/>
    </row>
    <row r="158" spans="1:29" s="182" customFormat="1" hidden="1" x14ac:dyDescent="0.25">
      <c r="A158" s="131">
        <v>1</v>
      </c>
      <c r="B158" s="136">
        <v>1106001</v>
      </c>
      <c r="C158" s="127" t="s">
        <v>30</v>
      </c>
      <c r="D158" s="127" t="s">
        <v>335</v>
      </c>
      <c r="E158" s="297" t="s">
        <v>146</v>
      </c>
      <c r="F158" s="129" t="s">
        <v>1611</v>
      </c>
      <c r="G158" s="147" t="s">
        <v>34</v>
      </c>
      <c r="H158" s="191">
        <f t="shared" si="2"/>
        <v>2.3499999999999996</v>
      </c>
      <c r="I158" s="225"/>
      <c r="J158" s="149"/>
      <c r="K158" s="147"/>
      <c r="L158" s="147"/>
      <c r="M158" s="147">
        <v>2</v>
      </c>
      <c r="N158" s="289">
        <v>1100</v>
      </c>
      <c r="O158" s="196"/>
      <c r="P158" s="180"/>
      <c r="Q158" s="174">
        <v>2.2999999999999998</v>
      </c>
      <c r="R158" s="206">
        <v>0.05</v>
      </c>
      <c r="S158" s="168"/>
      <c r="T158" s="129" t="s">
        <v>189</v>
      </c>
      <c r="U158" s="147" t="s">
        <v>37</v>
      </c>
      <c r="V158" s="129"/>
      <c r="W158" s="163" t="s">
        <v>54</v>
      </c>
      <c r="X158" s="215"/>
      <c r="Y158" s="216">
        <v>0</v>
      </c>
      <c r="Z158" s="216">
        <v>0</v>
      </c>
      <c r="AA158" s="263"/>
      <c r="AB158" s="305"/>
      <c r="AC158" s="214"/>
    </row>
    <row r="159" spans="1:29" s="182" customFormat="1" hidden="1" x14ac:dyDescent="0.25">
      <c r="A159" s="131">
        <v>1</v>
      </c>
      <c r="B159" s="136">
        <v>1106002</v>
      </c>
      <c r="C159" s="127" t="s">
        <v>30</v>
      </c>
      <c r="D159" s="127" t="s">
        <v>341</v>
      </c>
      <c r="E159" s="151" t="s">
        <v>146</v>
      </c>
      <c r="F159" s="129" t="s">
        <v>342</v>
      </c>
      <c r="G159" s="147" t="s">
        <v>34</v>
      </c>
      <c r="H159" s="191">
        <f t="shared" si="2"/>
        <v>0</v>
      </c>
      <c r="I159" s="225"/>
      <c r="J159" s="149"/>
      <c r="K159" s="147"/>
      <c r="L159" s="147"/>
      <c r="M159" s="147">
        <v>4</v>
      </c>
      <c r="N159" s="289">
        <v>1500</v>
      </c>
      <c r="O159" s="196"/>
      <c r="P159" s="180"/>
      <c r="Q159" s="174"/>
      <c r="R159" s="206">
        <v>0</v>
      </c>
      <c r="S159" s="168"/>
      <c r="T159" s="129" t="s">
        <v>189</v>
      </c>
      <c r="U159" s="147" t="s">
        <v>37</v>
      </c>
      <c r="V159" s="129"/>
      <c r="W159" s="163" t="s">
        <v>54</v>
      </c>
      <c r="X159" s="215"/>
      <c r="Y159" s="216">
        <v>0</v>
      </c>
      <c r="Z159" s="216">
        <v>0</v>
      </c>
      <c r="AA159" s="263"/>
      <c r="AB159" s="305"/>
      <c r="AC159" s="214"/>
    </row>
    <row r="160" spans="1:29" hidden="1" x14ac:dyDescent="0.25">
      <c r="A160" s="131">
        <v>1</v>
      </c>
      <c r="B160" s="136">
        <v>1106003</v>
      </c>
      <c r="C160" s="127" t="s">
        <v>30</v>
      </c>
      <c r="D160" s="127" t="s">
        <v>346</v>
      </c>
      <c r="E160" s="297" t="s">
        <v>146</v>
      </c>
      <c r="F160" s="129" t="s">
        <v>1788</v>
      </c>
      <c r="G160" s="147" t="s">
        <v>34</v>
      </c>
      <c r="H160" s="191">
        <f t="shared" si="2"/>
        <v>0</v>
      </c>
      <c r="I160" s="181" t="s">
        <v>2084</v>
      </c>
      <c r="J160" s="146">
        <v>0</v>
      </c>
      <c r="K160" s="147">
        <v>6</v>
      </c>
      <c r="L160" s="147">
        <v>2</v>
      </c>
      <c r="M160" s="147">
        <v>8</v>
      </c>
      <c r="N160" s="289">
        <v>1499</v>
      </c>
      <c r="O160" s="196"/>
      <c r="P160" s="180"/>
      <c r="Q160" s="174"/>
      <c r="R160" s="206">
        <v>0</v>
      </c>
      <c r="S160" s="165"/>
      <c r="T160" s="129" t="s">
        <v>36</v>
      </c>
      <c r="U160" s="147" t="s">
        <v>37</v>
      </c>
      <c r="V160" s="129"/>
      <c r="W160" s="163" t="s">
        <v>54</v>
      </c>
      <c r="X160" s="215"/>
      <c r="Y160" s="216">
        <v>0</v>
      </c>
      <c r="Z160" s="216">
        <v>0</v>
      </c>
      <c r="AA160" s="263"/>
      <c r="AB160" s="305"/>
    </row>
    <row r="161" spans="1:29" s="182" customFormat="1" hidden="1" x14ac:dyDescent="0.25">
      <c r="A161" s="131">
        <v>1</v>
      </c>
      <c r="B161" s="136">
        <v>1106004</v>
      </c>
      <c r="C161" s="127" t="s">
        <v>30</v>
      </c>
      <c r="D161" s="127" t="s">
        <v>350</v>
      </c>
      <c r="E161" s="297" t="s">
        <v>146</v>
      </c>
      <c r="F161" s="129" t="s">
        <v>1611</v>
      </c>
      <c r="G161" s="147" t="s">
        <v>34</v>
      </c>
      <c r="H161" s="191">
        <f t="shared" si="2"/>
        <v>2.3499999999999996</v>
      </c>
      <c r="I161" s="225"/>
      <c r="J161" s="149"/>
      <c r="K161" s="147"/>
      <c r="L161" s="147"/>
      <c r="M161" s="147">
        <v>3</v>
      </c>
      <c r="N161" s="289">
        <v>1100</v>
      </c>
      <c r="O161" s="196"/>
      <c r="P161" s="180"/>
      <c r="Q161" s="174">
        <v>2.2999999999999998</v>
      </c>
      <c r="R161" s="206">
        <v>0.05</v>
      </c>
      <c r="S161" s="168"/>
      <c r="T161" s="129" t="s">
        <v>189</v>
      </c>
      <c r="U161" s="147" t="s">
        <v>37</v>
      </c>
      <c r="V161" s="129"/>
      <c r="W161" s="163" t="s">
        <v>54</v>
      </c>
      <c r="X161" s="215"/>
      <c r="Y161" s="216">
        <v>0</v>
      </c>
      <c r="Z161" s="216">
        <v>0</v>
      </c>
      <c r="AA161" s="263"/>
      <c r="AB161" s="305"/>
      <c r="AC161" s="214"/>
    </row>
    <row r="162" spans="1:29" x14ac:dyDescent="0.25">
      <c r="A162" s="131">
        <v>1</v>
      </c>
      <c r="B162" s="136">
        <v>1106005</v>
      </c>
      <c r="C162" s="127" t="s">
        <v>30</v>
      </c>
      <c r="D162" s="127" t="s">
        <v>1672</v>
      </c>
      <c r="E162" s="297" t="s">
        <v>146</v>
      </c>
      <c r="F162" s="129" t="s">
        <v>307</v>
      </c>
      <c r="G162" s="147" t="s">
        <v>34</v>
      </c>
      <c r="H162" s="191">
        <f t="shared" si="2"/>
        <v>1.861</v>
      </c>
      <c r="I162" s="222" t="s">
        <v>2084</v>
      </c>
      <c r="J162" s="146">
        <v>0</v>
      </c>
      <c r="K162" s="147">
        <v>5</v>
      </c>
      <c r="L162" s="147">
        <v>2</v>
      </c>
      <c r="M162" s="147">
        <v>7</v>
      </c>
      <c r="N162" s="289">
        <v>1500</v>
      </c>
      <c r="O162" s="174">
        <f>1.704+0.05</f>
        <v>1.754</v>
      </c>
      <c r="P162" s="180">
        <v>46162</v>
      </c>
      <c r="Q162" s="174">
        <v>1.8109999999999999</v>
      </c>
      <c r="R162" s="205">
        <v>0.05</v>
      </c>
      <c r="S162" s="165"/>
      <c r="T162" s="129" t="s">
        <v>36</v>
      </c>
      <c r="U162" s="147" t="s">
        <v>37</v>
      </c>
      <c r="V162" s="129"/>
      <c r="W162" s="147" t="s">
        <v>2213</v>
      </c>
      <c r="X162" s="215" t="s">
        <v>1009</v>
      </c>
      <c r="Y162" s="216">
        <v>624.75</v>
      </c>
      <c r="Z162" s="216">
        <v>812.17499999999995</v>
      </c>
      <c r="AA162" s="263"/>
      <c r="AB162" s="305"/>
    </row>
    <row r="163" spans="1:29" hidden="1" x14ac:dyDescent="0.25">
      <c r="A163" s="131">
        <v>1</v>
      </c>
      <c r="B163" s="136">
        <v>1106006</v>
      </c>
      <c r="C163" s="127" t="s">
        <v>30</v>
      </c>
      <c r="D163" s="127" t="s">
        <v>352</v>
      </c>
      <c r="E163" s="297" t="s">
        <v>146</v>
      </c>
      <c r="F163" s="129" t="s">
        <v>307</v>
      </c>
      <c r="G163" s="147" t="s">
        <v>34</v>
      </c>
      <c r="H163" s="191">
        <f t="shared" si="2"/>
        <v>5.25</v>
      </c>
      <c r="I163" s="134" t="s">
        <v>2084</v>
      </c>
      <c r="J163" s="146">
        <v>0</v>
      </c>
      <c r="K163" s="147">
        <v>4</v>
      </c>
      <c r="L163" s="147">
        <v>2</v>
      </c>
      <c r="M163" s="147">
        <v>6</v>
      </c>
      <c r="N163" s="289">
        <v>50</v>
      </c>
      <c r="O163" s="196"/>
      <c r="P163" s="180"/>
      <c r="Q163" s="174">
        <v>4.25</v>
      </c>
      <c r="R163" s="205">
        <v>1</v>
      </c>
      <c r="S163" s="165"/>
      <c r="T163" s="129" t="s">
        <v>36</v>
      </c>
      <c r="U163" s="147" t="s">
        <v>35</v>
      </c>
      <c r="V163" s="129"/>
      <c r="W163" s="177" t="s">
        <v>54</v>
      </c>
      <c r="X163" s="215"/>
      <c r="Y163" s="216">
        <v>0</v>
      </c>
      <c r="Z163" s="216">
        <v>0</v>
      </c>
      <c r="AA163" s="263"/>
      <c r="AB163" s="305"/>
    </row>
    <row r="164" spans="1:29" ht="24" hidden="1" x14ac:dyDescent="0.25">
      <c r="A164" s="131">
        <v>1</v>
      </c>
      <c r="B164" s="136">
        <v>1106007</v>
      </c>
      <c r="C164" s="127" t="s">
        <v>30</v>
      </c>
      <c r="D164" s="127" t="s">
        <v>353</v>
      </c>
      <c r="E164" s="297" t="s">
        <v>146</v>
      </c>
      <c r="F164" s="129" t="s">
        <v>33</v>
      </c>
      <c r="G164" s="147" t="s">
        <v>34</v>
      </c>
      <c r="H164" s="191">
        <f t="shared" si="2"/>
        <v>1.18</v>
      </c>
      <c r="I164" s="222" t="s">
        <v>2228</v>
      </c>
      <c r="J164" s="146">
        <v>0</v>
      </c>
      <c r="K164" s="147">
        <v>5</v>
      </c>
      <c r="L164" s="147">
        <v>1</v>
      </c>
      <c r="M164" s="147">
        <v>6</v>
      </c>
      <c r="N164" s="289">
        <v>8800</v>
      </c>
      <c r="O164" s="196"/>
      <c r="P164" s="180"/>
      <c r="Q164" s="174">
        <v>1.18</v>
      </c>
      <c r="R164" s="205">
        <v>0</v>
      </c>
      <c r="S164" s="165"/>
      <c r="T164" s="129" t="s">
        <v>116</v>
      </c>
      <c r="U164" s="147" t="s">
        <v>35</v>
      </c>
      <c r="V164" s="129"/>
      <c r="W164" s="177" t="s">
        <v>54</v>
      </c>
      <c r="X164" s="215"/>
      <c r="Y164" s="216">
        <v>0</v>
      </c>
      <c r="Z164" s="216">
        <v>0</v>
      </c>
      <c r="AA164" s="263"/>
      <c r="AB164" s="305"/>
    </row>
    <row r="165" spans="1:29" hidden="1" x14ac:dyDescent="0.25">
      <c r="A165" s="131">
        <v>1</v>
      </c>
      <c r="B165" s="136">
        <v>1106008</v>
      </c>
      <c r="C165" s="127" t="s">
        <v>30</v>
      </c>
      <c r="D165" s="127" t="s">
        <v>354</v>
      </c>
      <c r="E165" s="297" t="s">
        <v>146</v>
      </c>
      <c r="F165" s="129" t="s">
        <v>1611</v>
      </c>
      <c r="G165" s="147" t="s">
        <v>34</v>
      </c>
      <c r="H165" s="191">
        <f t="shared" si="2"/>
        <v>2.0919999999999996</v>
      </c>
      <c r="I165" s="134" t="s">
        <v>2084</v>
      </c>
      <c r="J165" s="146">
        <v>30</v>
      </c>
      <c r="K165" s="147">
        <v>5</v>
      </c>
      <c r="L165" s="147">
        <v>2</v>
      </c>
      <c r="M165" s="147">
        <v>7</v>
      </c>
      <c r="N165" s="289">
        <v>1300</v>
      </c>
      <c r="O165" s="196">
        <v>2.21</v>
      </c>
      <c r="P165" s="180">
        <v>44970</v>
      </c>
      <c r="Q165" s="174">
        <v>2.0419999999999998</v>
      </c>
      <c r="R165" s="205">
        <v>0.05</v>
      </c>
      <c r="S165" s="165"/>
      <c r="T165" s="129" t="s">
        <v>36</v>
      </c>
      <c r="U165" s="147" t="s">
        <v>37</v>
      </c>
      <c r="V165" s="129"/>
      <c r="W165" s="177" t="s">
        <v>54</v>
      </c>
      <c r="X165" s="215"/>
      <c r="Y165" s="216">
        <v>0</v>
      </c>
      <c r="Z165" s="216">
        <v>0</v>
      </c>
      <c r="AA165" s="263"/>
      <c r="AB165" s="305"/>
    </row>
    <row r="166" spans="1:29" hidden="1" x14ac:dyDescent="0.25">
      <c r="A166" s="131">
        <v>1</v>
      </c>
      <c r="B166" s="136">
        <v>1106009</v>
      </c>
      <c r="C166" s="127" t="s">
        <v>30</v>
      </c>
      <c r="D166" s="127" t="s">
        <v>355</v>
      </c>
      <c r="E166" s="297" t="s">
        <v>146</v>
      </c>
      <c r="F166" s="129" t="s">
        <v>1611</v>
      </c>
      <c r="G166" s="147" t="s">
        <v>34</v>
      </c>
      <c r="H166" s="191">
        <f t="shared" si="2"/>
        <v>2.3499999999999996</v>
      </c>
      <c r="I166" s="134" t="s">
        <v>2084</v>
      </c>
      <c r="J166" s="148">
        <v>30</v>
      </c>
      <c r="K166" s="147">
        <v>5</v>
      </c>
      <c r="L166" s="147">
        <v>2</v>
      </c>
      <c r="M166" s="147">
        <v>7</v>
      </c>
      <c r="N166" s="289">
        <v>1300</v>
      </c>
      <c r="O166" s="196"/>
      <c r="P166" s="180"/>
      <c r="Q166" s="174">
        <v>2.2999999999999998</v>
      </c>
      <c r="R166" s="206">
        <v>0.05</v>
      </c>
      <c r="S166" s="165"/>
      <c r="T166" s="129" t="s">
        <v>36</v>
      </c>
      <c r="U166" s="147" t="s">
        <v>37</v>
      </c>
      <c r="V166" s="129"/>
      <c r="W166" s="163" t="s">
        <v>54</v>
      </c>
      <c r="X166" s="215"/>
      <c r="Y166" s="216">
        <v>0</v>
      </c>
      <c r="Z166" s="216">
        <v>0</v>
      </c>
      <c r="AA166" s="263"/>
      <c r="AB166" s="305"/>
    </row>
    <row r="167" spans="1:29" s="182" customFormat="1" hidden="1" x14ac:dyDescent="0.25">
      <c r="A167" s="131">
        <v>1</v>
      </c>
      <c r="B167" s="136">
        <v>1106010</v>
      </c>
      <c r="C167" s="127" t="s">
        <v>30</v>
      </c>
      <c r="D167" s="127" t="s">
        <v>356</v>
      </c>
      <c r="E167" s="297" t="s">
        <v>146</v>
      </c>
      <c r="F167" s="129" t="s">
        <v>357</v>
      </c>
      <c r="G167" s="147" t="s">
        <v>34</v>
      </c>
      <c r="H167" s="191">
        <f t="shared" si="2"/>
        <v>1.01</v>
      </c>
      <c r="I167" s="134"/>
      <c r="J167" s="150"/>
      <c r="K167" s="147"/>
      <c r="L167" s="147"/>
      <c r="M167" s="147">
        <v>4</v>
      </c>
      <c r="N167" s="289">
        <v>30300</v>
      </c>
      <c r="O167" s="196"/>
      <c r="P167" s="180"/>
      <c r="Q167" s="174">
        <v>1.01</v>
      </c>
      <c r="R167" s="205">
        <v>0</v>
      </c>
      <c r="S167" s="165" t="s">
        <v>35</v>
      </c>
      <c r="T167" s="129" t="s">
        <v>358</v>
      </c>
      <c r="U167" s="147" t="s">
        <v>37</v>
      </c>
      <c r="V167" s="129"/>
      <c r="W167" s="177" t="s">
        <v>54</v>
      </c>
      <c r="X167" s="215"/>
      <c r="Y167" s="216">
        <v>0</v>
      </c>
      <c r="Z167" s="216">
        <v>0</v>
      </c>
      <c r="AA167" s="263"/>
      <c r="AB167" s="305"/>
      <c r="AC167" s="212"/>
    </row>
    <row r="168" spans="1:29" s="182" customFormat="1" hidden="1" x14ac:dyDescent="0.25">
      <c r="A168" s="131">
        <v>1</v>
      </c>
      <c r="B168" s="136">
        <v>1106011</v>
      </c>
      <c r="C168" s="127" t="s">
        <v>30</v>
      </c>
      <c r="D168" s="127" t="s">
        <v>362</v>
      </c>
      <c r="E168" s="297" t="s">
        <v>146</v>
      </c>
      <c r="F168" s="129" t="s">
        <v>363</v>
      </c>
      <c r="G168" s="147" t="s">
        <v>34</v>
      </c>
      <c r="H168" s="191">
        <f t="shared" si="2"/>
        <v>0</v>
      </c>
      <c r="I168" s="225"/>
      <c r="J168" s="149"/>
      <c r="K168" s="147">
        <v>11</v>
      </c>
      <c r="L168" s="147">
        <v>1</v>
      </c>
      <c r="M168" s="147">
        <v>12</v>
      </c>
      <c r="N168" s="289"/>
      <c r="O168" s="196"/>
      <c r="P168" s="180"/>
      <c r="Q168" s="174"/>
      <c r="R168" s="206">
        <v>0</v>
      </c>
      <c r="S168" s="165"/>
      <c r="T168" s="129"/>
      <c r="U168" s="147" t="s">
        <v>37</v>
      </c>
      <c r="V168" s="129"/>
      <c r="W168" s="163" t="s">
        <v>54</v>
      </c>
      <c r="X168" s="215"/>
      <c r="Y168" s="216">
        <v>0</v>
      </c>
      <c r="Z168" s="216">
        <v>0</v>
      </c>
      <c r="AA168" s="263"/>
      <c r="AB168" s="305"/>
      <c r="AC168" s="214"/>
    </row>
    <row r="169" spans="1:29" hidden="1" x14ac:dyDescent="0.25">
      <c r="A169" s="131">
        <v>1</v>
      </c>
      <c r="B169" s="136">
        <v>1106012</v>
      </c>
      <c r="C169" s="127" t="s">
        <v>30</v>
      </c>
      <c r="D169" s="127" t="s">
        <v>364</v>
      </c>
      <c r="E169" s="297" t="s">
        <v>146</v>
      </c>
      <c r="F169" s="129" t="s">
        <v>1788</v>
      </c>
      <c r="G169" s="147" t="s">
        <v>34</v>
      </c>
      <c r="H169" s="191">
        <f t="shared" si="2"/>
        <v>2.915</v>
      </c>
      <c r="I169" s="181" t="s">
        <v>2084</v>
      </c>
      <c r="J169" s="146">
        <v>0</v>
      </c>
      <c r="K169" s="147">
        <v>6</v>
      </c>
      <c r="L169" s="147">
        <v>2</v>
      </c>
      <c r="M169" s="147">
        <v>8</v>
      </c>
      <c r="N169" s="289">
        <v>2200</v>
      </c>
      <c r="O169" s="196"/>
      <c r="P169" s="180"/>
      <c r="Q169" s="174">
        <v>2.8650000000000002</v>
      </c>
      <c r="R169" s="206">
        <v>0.05</v>
      </c>
      <c r="S169" s="165"/>
      <c r="T169" s="129" t="s">
        <v>36</v>
      </c>
      <c r="U169" s="147" t="s">
        <v>35</v>
      </c>
      <c r="V169" s="129"/>
      <c r="W169" s="163" t="s">
        <v>54</v>
      </c>
      <c r="X169" s="215"/>
      <c r="Y169" s="216">
        <v>0</v>
      </c>
      <c r="Z169" s="216">
        <v>0</v>
      </c>
      <c r="AA169" s="263"/>
      <c r="AB169" s="305"/>
    </row>
    <row r="170" spans="1:29" hidden="1" x14ac:dyDescent="0.25">
      <c r="A170" s="131">
        <v>1</v>
      </c>
      <c r="B170" s="136">
        <v>1106013</v>
      </c>
      <c r="C170" s="127" t="s">
        <v>30</v>
      </c>
      <c r="D170" s="129" t="s">
        <v>366</v>
      </c>
      <c r="E170" s="151" t="s">
        <v>146</v>
      </c>
      <c r="F170" s="129" t="s">
        <v>1748</v>
      </c>
      <c r="G170" s="147" t="s">
        <v>34</v>
      </c>
      <c r="H170" s="191">
        <f t="shared" si="2"/>
        <v>2.3245</v>
      </c>
      <c r="I170" s="134" t="s">
        <v>2084</v>
      </c>
      <c r="J170" s="146">
        <v>0</v>
      </c>
      <c r="K170" s="147">
        <v>3</v>
      </c>
      <c r="L170" s="147">
        <v>2</v>
      </c>
      <c r="M170" s="147">
        <v>5</v>
      </c>
      <c r="N170" s="289"/>
      <c r="O170" s="196">
        <v>1.6844999999999999</v>
      </c>
      <c r="P170" s="180">
        <v>44273</v>
      </c>
      <c r="Q170" s="174">
        <v>2.27</v>
      </c>
      <c r="R170" s="205">
        <v>5.45E-2</v>
      </c>
      <c r="S170" s="165"/>
      <c r="T170" s="129" t="s">
        <v>365</v>
      </c>
      <c r="U170" s="147" t="s">
        <v>35</v>
      </c>
      <c r="V170" s="129"/>
      <c r="W170" s="177" t="s">
        <v>54</v>
      </c>
      <c r="X170" s="215"/>
      <c r="Y170" s="216">
        <v>0</v>
      </c>
      <c r="Z170" s="216">
        <v>0</v>
      </c>
      <c r="AA170" s="263"/>
      <c r="AB170" s="305"/>
    </row>
    <row r="171" spans="1:29" x14ac:dyDescent="0.25">
      <c r="A171" s="131">
        <v>1</v>
      </c>
      <c r="B171" s="136">
        <v>1106014</v>
      </c>
      <c r="C171" s="127" t="s">
        <v>30</v>
      </c>
      <c r="D171" s="129" t="s">
        <v>367</v>
      </c>
      <c r="E171" s="147" t="s">
        <v>146</v>
      </c>
      <c r="F171" s="129" t="s">
        <v>307</v>
      </c>
      <c r="G171" s="147" t="s">
        <v>34</v>
      </c>
      <c r="H171" s="191">
        <f t="shared" si="2"/>
        <v>1.994</v>
      </c>
      <c r="I171" s="222" t="s">
        <v>2084</v>
      </c>
      <c r="J171" s="146">
        <v>0</v>
      </c>
      <c r="K171" s="147">
        <v>5</v>
      </c>
      <c r="L171" s="147">
        <v>2</v>
      </c>
      <c r="M171" s="147">
        <v>7</v>
      </c>
      <c r="N171" s="289">
        <v>5600</v>
      </c>
      <c r="O171" s="174">
        <f>1.853+0.05</f>
        <v>1.903</v>
      </c>
      <c r="P171" s="180">
        <v>46149</v>
      </c>
      <c r="Q171" s="174">
        <v>1.944</v>
      </c>
      <c r="R171" s="205">
        <v>0.05</v>
      </c>
      <c r="S171" s="165"/>
      <c r="T171" s="129" t="s">
        <v>36</v>
      </c>
      <c r="U171" s="147" t="s">
        <v>37</v>
      </c>
      <c r="V171" s="129"/>
      <c r="W171" s="147" t="s">
        <v>2213</v>
      </c>
      <c r="X171" s="215" t="s">
        <v>1009</v>
      </c>
      <c r="Y171" s="216">
        <v>17859.541166666666</v>
      </c>
      <c r="Z171" s="216">
        <v>23217.403516666665</v>
      </c>
      <c r="AA171" s="263"/>
      <c r="AB171" s="305"/>
    </row>
    <row r="172" spans="1:29" x14ac:dyDescent="0.25">
      <c r="A172" s="131">
        <v>1</v>
      </c>
      <c r="B172" s="136">
        <v>1106015</v>
      </c>
      <c r="C172" s="127" t="s">
        <v>30</v>
      </c>
      <c r="D172" s="129" t="s">
        <v>368</v>
      </c>
      <c r="E172" s="147" t="s">
        <v>146</v>
      </c>
      <c r="F172" s="129" t="s">
        <v>2107</v>
      </c>
      <c r="G172" s="147" t="s">
        <v>34</v>
      </c>
      <c r="H172" s="191">
        <f t="shared" si="2"/>
        <v>0.9</v>
      </c>
      <c r="I172" s="235" t="s">
        <v>2084</v>
      </c>
      <c r="J172" s="146">
        <v>30</v>
      </c>
      <c r="K172" s="147">
        <v>7</v>
      </c>
      <c r="L172" s="147">
        <v>2</v>
      </c>
      <c r="M172" s="147">
        <v>9</v>
      </c>
      <c r="N172" s="289">
        <v>15000</v>
      </c>
      <c r="O172" s="195">
        <v>1.375</v>
      </c>
      <c r="P172" s="180">
        <v>45743</v>
      </c>
      <c r="Q172" s="174">
        <v>0.85</v>
      </c>
      <c r="R172" s="205">
        <v>0.05</v>
      </c>
      <c r="S172" s="165"/>
      <c r="T172" s="129" t="s">
        <v>358</v>
      </c>
      <c r="U172" s="147" t="s">
        <v>37</v>
      </c>
      <c r="V172" s="129"/>
      <c r="W172" s="147" t="s">
        <v>2213</v>
      </c>
      <c r="X172" s="215" t="s">
        <v>1009</v>
      </c>
      <c r="Y172" s="216">
        <v>1865.0277249999999</v>
      </c>
      <c r="Z172" s="216">
        <v>2331.2846562499999</v>
      </c>
      <c r="AA172" s="263"/>
      <c r="AB172" s="305"/>
    </row>
    <row r="173" spans="1:29" hidden="1" x14ac:dyDescent="0.25">
      <c r="A173" s="131">
        <v>1</v>
      </c>
      <c r="B173" s="136">
        <v>1106016</v>
      </c>
      <c r="C173" s="127" t="s">
        <v>30</v>
      </c>
      <c r="D173" s="129" t="s">
        <v>369</v>
      </c>
      <c r="E173" s="147" t="s">
        <v>146</v>
      </c>
      <c r="F173" s="129" t="s">
        <v>1748</v>
      </c>
      <c r="G173" s="147" t="s">
        <v>34</v>
      </c>
      <c r="H173" s="191">
        <f t="shared" si="2"/>
        <v>0</v>
      </c>
      <c r="I173" s="134" t="s">
        <v>2084</v>
      </c>
      <c r="J173" s="146">
        <v>0</v>
      </c>
      <c r="K173" s="147">
        <v>4</v>
      </c>
      <c r="L173" s="147">
        <v>2</v>
      </c>
      <c r="M173" s="147">
        <v>6</v>
      </c>
      <c r="N173" s="289"/>
      <c r="O173" s="196"/>
      <c r="P173" s="180"/>
      <c r="Q173" s="174"/>
      <c r="R173" s="205">
        <v>0</v>
      </c>
      <c r="S173" s="165"/>
      <c r="T173" s="129" t="s">
        <v>370</v>
      </c>
      <c r="U173" s="147" t="s">
        <v>37</v>
      </c>
      <c r="V173" s="129"/>
      <c r="W173" s="177" t="s">
        <v>54</v>
      </c>
      <c r="X173" s="215"/>
      <c r="Y173" s="216">
        <v>0</v>
      </c>
      <c r="Z173" s="216">
        <v>0</v>
      </c>
      <c r="AA173" s="263"/>
      <c r="AB173" s="305"/>
    </row>
    <row r="174" spans="1:29" s="182" customFormat="1" hidden="1" x14ac:dyDescent="0.25">
      <c r="A174" s="131">
        <v>1</v>
      </c>
      <c r="B174" s="136">
        <v>1106017</v>
      </c>
      <c r="C174" s="127" t="s">
        <v>30</v>
      </c>
      <c r="D174" s="129" t="s">
        <v>1830</v>
      </c>
      <c r="E174" s="147" t="s">
        <v>372</v>
      </c>
      <c r="F174" s="129" t="s">
        <v>329</v>
      </c>
      <c r="G174" s="147" t="s">
        <v>34</v>
      </c>
      <c r="H174" s="191">
        <f t="shared" si="2"/>
        <v>1.4712000000000001</v>
      </c>
      <c r="I174" s="181" t="s">
        <v>2218</v>
      </c>
      <c r="J174" s="150"/>
      <c r="K174" s="147">
        <v>2</v>
      </c>
      <c r="L174" s="147">
        <v>2</v>
      </c>
      <c r="M174" s="147">
        <v>4</v>
      </c>
      <c r="N174" s="289"/>
      <c r="O174" s="196"/>
      <c r="P174" s="180">
        <v>45223</v>
      </c>
      <c r="Q174" s="174">
        <v>1.4212</v>
      </c>
      <c r="R174" s="205">
        <v>0.05</v>
      </c>
      <c r="S174" s="165"/>
      <c r="T174" s="128" t="s">
        <v>329</v>
      </c>
      <c r="U174" s="147" t="s">
        <v>35</v>
      </c>
      <c r="V174" s="129" t="s">
        <v>1605</v>
      </c>
      <c r="W174" s="177" t="s">
        <v>2531</v>
      </c>
      <c r="X174" s="215"/>
      <c r="Y174" s="216">
        <v>0</v>
      </c>
      <c r="Z174" s="216">
        <v>0</v>
      </c>
      <c r="AA174" s="263"/>
      <c r="AB174" s="305"/>
      <c r="AC174" s="214"/>
    </row>
    <row r="175" spans="1:29" x14ac:dyDescent="0.25">
      <c r="A175" s="131">
        <v>1</v>
      </c>
      <c r="B175" s="136">
        <v>1106018</v>
      </c>
      <c r="C175" s="127" t="s">
        <v>30</v>
      </c>
      <c r="D175" s="129" t="s">
        <v>373</v>
      </c>
      <c r="E175" s="147" t="s">
        <v>146</v>
      </c>
      <c r="F175" s="129" t="s">
        <v>1791</v>
      </c>
      <c r="G175" s="147" t="s">
        <v>34</v>
      </c>
      <c r="H175" s="191">
        <f t="shared" si="2"/>
        <v>3.51</v>
      </c>
      <c r="I175" s="235" t="s">
        <v>2084</v>
      </c>
      <c r="J175" s="146">
        <v>30</v>
      </c>
      <c r="K175" s="147">
        <v>12</v>
      </c>
      <c r="L175" s="147">
        <v>2</v>
      </c>
      <c r="M175" s="147">
        <v>14</v>
      </c>
      <c r="N175" s="289">
        <v>3308</v>
      </c>
      <c r="O175" s="195">
        <v>3.65</v>
      </c>
      <c r="P175" s="180">
        <v>46134</v>
      </c>
      <c r="Q175" s="174">
        <v>3.46</v>
      </c>
      <c r="R175" s="205">
        <v>0.05</v>
      </c>
      <c r="S175" s="165"/>
      <c r="T175" s="128" t="s">
        <v>36</v>
      </c>
      <c r="U175" s="147" t="s">
        <v>37</v>
      </c>
      <c r="V175" s="129"/>
      <c r="W175" s="147" t="s">
        <v>2213</v>
      </c>
      <c r="X175" s="215" t="s">
        <v>1009</v>
      </c>
      <c r="Y175" s="216">
        <v>5031.1209583333348</v>
      </c>
      <c r="Z175" s="216">
        <v>5918.9658333333355</v>
      </c>
      <c r="AA175" s="263"/>
      <c r="AB175" s="305"/>
    </row>
    <row r="176" spans="1:29" s="182" customFormat="1" hidden="1" x14ac:dyDescent="0.25">
      <c r="A176" s="131">
        <v>1</v>
      </c>
      <c r="B176" s="136">
        <v>1106019</v>
      </c>
      <c r="C176" s="127" t="s">
        <v>30</v>
      </c>
      <c r="D176" s="129" t="s">
        <v>1598</v>
      </c>
      <c r="E176" s="147" t="s">
        <v>146</v>
      </c>
      <c r="F176" s="129" t="s">
        <v>329</v>
      </c>
      <c r="G176" s="147" t="s">
        <v>34</v>
      </c>
      <c r="H176" s="191">
        <f t="shared" si="2"/>
        <v>0.05</v>
      </c>
      <c r="I176" s="181" t="s">
        <v>2218</v>
      </c>
      <c r="J176" s="150"/>
      <c r="K176" s="147">
        <v>2</v>
      </c>
      <c r="L176" s="147">
        <v>2</v>
      </c>
      <c r="M176" s="147">
        <v>4</v>
      </c>
      <c r="N176" s="289"/>
      <c r="O176" s="196"/>
      <c r="P176" s="180"/>
      <c r="Q176" s="174"/>
      <c r="R176" s="205">
        <v>0.05</v>
      </c>
      <c r="S176" s="165"/>
      <c r="T176" s="128" t="s">
        <v>329</v>
      </c>
      <c r="U176" s="147" t="s">
        <v>35</v>
      </c>
      <c r="V176" s="129"/>
      <c r="W176" s="177" t="s">
        <v>2531</v>
      </c>
      <c r="X176" s="215"/>
      <c r="Y176" s="216">
        <v>0</v>
      </c>
      <c r="Z176" s="216">
        <v>0</v>
      </c>
      <c r="AA176" s="263"/>
      <c r="AB176" s="305"/>
      <c r="AC176" s="214"/>
    </row>
    <row r="177" spans="1:29" hidden="1" x14ac:dyDescent="0.25">
      <c r="A177" s="131">
        <v>1</v>
      </c>
      <c r="B177" s="136">
        <v>1107001</v>
      </c>
      <c r="C177" s="127" t="s">
        <v>30</v>
      </c>
      <c r="D177" s="127" t="s">
        <v>377</v>
      </c>
      <c r="E177" s="151" t="s">
        <v>378</v>
      </c>
      <c r="F177" s="129" t="s">
        <v>1791</v>
      </c>
      <c r="G177" s="147" t="s">
        <v>34</v>
      </c>
      <c r="H177" s="191">
        <f t="shared" si="2"/>
        <v>6.53</v>
      </c>
      <c r="I177" s="181" t="s">
        <v>2084</v>
      </c>
      <c r="J177" s="146">
        <v>30</v>
      </c>
      <c r="K177" s="147">
        <v>2</v>
      </c>
      <c r="L177" s="147">
        <v>2</v>
      </c>
      <c r="M177" s="147">
        <v>4</v>
      </c>
      <c r="N177" s="289">
        <v>1102</v>
      </c>
      <c r="O177" s="196"/>
      <c r="P177" s="180">
        <v>44684</v>
      </c>
      <c r="Q177" s="174">
        <v>6.53</v>
      </c>
      <c r="R177" s="205">
        <v>0</v>
      </c>
      <c r="S177" s="165"/>
      <c r="T177" s="129" t="s">
        <v>36</v>
      </c>
      <c r="U177" s="147" t="s">
        <v>37</v>
      </c>
      <c r="V177" s="129"/>
      <c r="W177" s="177" t="s">
        <v>54</v>
      </c>
      <c r="X177" s="215"/>
      <c r="Y177" s="216">
        <v>0</v>
      </c>
      <c r="Z177" s="216">
        <v>0</v>
      </c>
      <c r="AA177" s="263"/>
      <c r="AB177" s="305"/>
    </row>
    <row r="178" spans="1:29" hidden="1" x14ac:dyDescent="0.25">
      <c r="A178" s="131">
        <v>1</v>
      </c>
      <c r="B178" s="136">
        <v>1107002</v>
      </c>
      <c r="C178" s="127" t="s">
        <v>30</v>
      </c>
      <c r="D178" s="127" t="s">
        <v>379</v>
      </c>
      <c r="E178" s="151" t="s">
        <v>380</v>
      </c>
      <c r="F178" s="129" t="s">
        <v>307</v>
      </c>
      <c r="G178" s="147" t="s">
        <v>34</v>
      </c>
      <c r="H178" s="191">
        <f t="shared" si="2"/>
        <v>0</v>
      </c>
      <c r="I178" s="134" t="s">
        <v>2084</v>
      </c>
      <c r="J178" s="146">
        <v>0</v>
      </c>
      <c r="K178" s="147">
        <v>2</v>
      </c>
      <c r="L178" s="147">
        <v>2</v>
      </c>
      <c r="M178" s="147">
        <v>4</v>
      </c>
      <c r="N178" s="289">
        <v>55</v>
      </c>
      <c r="O178" s="196"/>
      <c r="P178" s="180"/>
      <c r="Q178" s="174"/>
      <c r="R178" s="206">
        <v>0</v>
      </c>
      <c r="S178" s="165"/>
      <c r="T178" s="129" t="s">
        <v>36</v>
      </c>
      <c r="U178" s="147" t="s">
        <v>35</v>
      </c>
      <c r="V178" s="129"/>
      <c r="W178" s="163" t="s">
        <v>54</v>
      </c>
      <c r="X178" s="215"/>
      <c r="Y178" s="216">
        <v>0</v>
      </c>
      <c r="Z178" s="216">
        <v>0</v>
      </c>
      <c r="AA178" s="263"/>
      <c r="AB178" s="305"/>
    </row>
    <row r="179" spans="1:29" s="182" customFormat="1" hidden="1" x14ac:dyDescent="0.25">
      <c r="A179" s="131">
        <v>1</v>
      </c>
      <c r="B179" s="136">
        <v>1107004</v>
      </c>
      <c r="C179" s="127" t="s">
        <v>30</v>
      </c>
      <c r="D179" s="127" t="s">
        <v>381</v>
      </c>
      <c r="E179" s="151" t="s">
        <v>138</v>
      </c>
      <c r="F179" s="129" t="s">
        <v>382</v>
      </c>
      <c r="G179" s="147" t="s">
        <v>34</v>
      </c>
      <c r="H179" s="191">
        <f t="shared" si="2"/>
        <v>0</v>
      </c>
      <c r="I179" s="225"/>
      <c r="J179" s="149"/>
      <c r="K179" s="147"/>
      <c r="L179" s="147"/>
      <c r="M179" s="147">
        <v>4</v>
      </c>
      <c r="N179" s="289"/>
      <c r="O179" s="196"/>
      <c r="P179" s="180"/>
      <c r="Q179" s="174"/>
      <c r="R179" s="206">
        <v>0</v>
      </c>
      <c r="S179" s="168"/>
      <c r="T179" s="129" t="s">
        <v>382</v>
      </c>
      <c r="U179" s="147" t="s">
        <v>37</v>
      </c>
      <c r="V179" s="129"/>
      <c r="W179" s="163" t="s">
        <v>2531</v>
      </c>
      <c r="X179" s="215"/>
      <c r="Y179" s="216">
        <v>0</v>
      </c>
      <c r="Z179" s="216">
        <v>0</v>
      </c>
      <c r="AA179" s="263"/>
      <c r="AB179" s="305"/>
      <c r="AC179" s="214"/>
    </row>
    <row r="180" spans="1:29" s="182" customFormat="1" hidden="1" x14ac:dyDescent="0.25">
      <c r="A180" s="131">
        <v>1</v>
      </c>
      <c r="B180" s="136">
        <v>1107005</v>
      </c>
      <c r="C180" s="127" t="s">
        <v>30</v>
      </c>
      <c r="D180" s="127" t="s">
        <v>383</v>
      </c>
      <c r="E180" s="297" t="s">
        <v>380</v>
      </c>
      <c r="F180" s="129" t="s">
        <v>384</v>
      </c>
      <c r="G180" s="147" t="s">
        <v>34</v>
      </c>
      <c r="H180" s="191">
        <f t="shared" si="2"/>
        <v>0</v>
      </c>
      <c r="I180" s="225"/>
      <c r="J180" s="149"/>
      <c r="K180" s="147"/>
      <c r="L180" s="147"/>
      <c r="M180" s="147">
        <v>1</v>
      </c>
      <c r="N180" s="289"/>
      <c r="O180" s="196"/>
      <c r="P180" s="180"/>
      <c r="Q180" s="174"/>
      <c r="R180" s="206">
        <v>0</v>
      </c>
      <c r="S180" s="168"/>
      <c r="T180" s="129" t="s">
        <v>64</v>
      </c>
      <c r="U180" s="147" t="s">
        <v>37</v>
      </c>
      <c r="V180" s="129"/>
      <c r="W180" s="163" t="s">
        <v>54</v>
      </c>
      <c r="X180" s="215"/>
      <c r="Y180" s="216">
        <v>0</v>
      </c>
      <c r="Z180" s="216">
        <v>0</v>
      </c>
      <c r="AA180" s="263"/>
      <c r="AB180" s="305"/>
      <c r="AC180" s="214"/>
    </row>
    <row r="181" spans="1:29" s="182" customFormat="1" hidden="1" x14ac:dyDescent="0.25">
      <c r="A181" s="131">
        <v>1</v>
      </c>
      <c r="B181" s="136">
        <v>1107006</v>
      </c>
      <c r="C181" s="127" t="s">
        <v>30</v>
      </c>
      <c r="D181" s="127" t="s">
        <v>385</v>
      </c>
      <c r="E181" s="297" t="s">
        <v>138</v>
      </c>
      <c r="F181" s="129" t="s">
        <v>384</v>
      </c>
      <c r="G181" s="147" t="s">
        <v>34</v>
      </c>
      <c r="H181" s="191">
        <f t="shared" si="2"/>
        <v>0</v>
      </c>
      <c r="I181" s="225"/>
      <c r="J181" s="149"/>
      <c r="K181" s="147"/>
      <c r="L181" s="147"/>
      <c r="M181" s="147">
        <v>1</v>
      </c>
      <c r="N181" s="289">
        <v>55</v>
      </c>
      <c r="O181" s="196"/>
      <c r="P181" s="180"/>
      <c r="Q181" s="174"/>
      <c r="R181" s="206">
        <v>0</v>
      </c>
      <c r="S181" s="168"/>
      <c r="T181" s="129" t="s">
        <v>36</v>
      </c>
      <c r="U181" s="147" t="s">
        <v>37</v>
      </c>
      <c r="V181" s="129"/>
      <c r="W181" s="163" t="s">
        <v>54</v>
      </c>
      <c r="X181" s="215"/>
      <c r="Y181" s="216">
        <v>0</v>
      </c>
      <c r="Z181" s="216">
        <v>0</v>
      </c>
      <c r="AA181" s="263"/>
      <c r="AB181" s="305"/>
      <c r="AC181" s="214"/>
    </row>
    <row r="182" spans="1:29" ht="24" hidden="1" x14ac:dyDescent="0.25">
      <c r="A182" s="131">
        <v>1</v>
      </c>
      <c r="B182" s="136">
        <v>1107007</v>
      </c>
      <c r="C182" s="127" t="s">
        <v>30</v>
      </c>
      <c r="D182" s="127" t="s">
        <v>386</v>
      </c>
      <c r="E182" s="297" t="s">
        <v>259</v>
      </c>
      <c r="F182" s="129" t="s">
        <v>33</v>
      </c>
      <c r="G182" s="147" t="s">
        <v>34</v>
      </c>
      <c r="H182" s="191">
        <f t="shared" si="2"/>
        <v>2.87</v>
      </c>
      <c r="I182" s="222" t="s">
        <v>2228</v>
      </c>
      <c r="J182" s="146">
        <v>0</v>
      </c>
      <c r="K182" s="147">
        <v>5</v>
      </c>
      <c r="L182" s="147">
        <v>1</v>
      </c>
      <c r="M182" s="147">
        <v>6</v>
      </c>
      <c r="N182" s="289">
        <v>8800</v>
      </c>
      <c r="O182" s="196"/>
      <c r="P182" s="180"/>
      <c r="Q182" s="174">
        <v>2.87</v>
      </c>
      <c r="R182" s="205">
        <v>0</v>
      </c>
      <c r="S182" s="165"/>
      <c r="T182" s="129" t="s">
        <v>234</v>
      </c>
      <c r="U182" s="147" t="s">
        <v>37</v>
      </c>
      <c r="V182" s="129"/>
      <c r="W182" s="163" t="s">
        <v>54</v>
      </c>
      <c r="X182" s="215"/>
      <c r="Y182" s="216">
        <v>0</v>
      </c>
      <c r="Z182" s="216">
        <v>0</v>
      </c>
      <c r="AA182" s="263"/>
      <c r="AB182" s="305"/>
    </row>
    <row r="183" spans="1:29" s="182" customFormat="1" hidden="1" x14ac:dyDescent="0.25">
      <c r="A183" s="131">
        <v>1</v>
      </c>
      <c r="B183" s="136">
        <v>1107008</v>
      </c>
      <c r="C183" s="127" t="s">
        <v>30</v>
      </c>
      <c r="D183" s="127" t="s">
        <v>387</v>
      </c>
      <c r="E183" s="297" t="s">
        <v>138</v>
      </c>
      <c r="F183" s="129" t="s">
        <v>384</v>
      </c>
      <c r="G183" s="147" t="s">
        <v>34</v>
      </c>
      <c r="H183" s="191">
        <f t="shared" si="2"/>
        <v>0</v>
      </c>
      <c r="I183" s="225"/>
      <c r="J183" s="149"/>
      <c r="K183" s="147">
        <v>12</v>
      </c>
      <c r="L183" s="147">
        <v>1</v>
      </c>
      <c r="M183" s="147">
        <v>13</v>
      </c>
      <c r="N183" s="289"/>
      <c r="O183" s="196"/>
      <c r="P183" s="180"/>
      <c r="Q183" s="174"/>
      <c r="R183" s="206">
        <v>0</v>
      </c>
      <c r="S183" s="168"/>
      <c r="T183" s="129" t="s">
        <v>64</v>
      </c>
      <c r="U183" s="147" t="s">
        <v>37</v>
      </c>
      <c r="V183" s="129"/>
      <c r="W183" s="163" t="s">
        <v>54</v>
      </c>
      <c r="X183" s="215"/>
      <c r="Y183" s="216">
        <v>0</v>
      </c>
      <c r="Z183" s="216">
        <v>0</v>
      </c>
      <c r="AA183" s="263"/>
      <c r="AB183" s="305"/>
      <c r="AC183" s="214"/>
    </row>
    <row r="184" spans="1:29" x14ac:dyDescent="0.25">
      <c r="A184" s="131">
        <v>1</v>
      </c>
      <c r="B184" s="136">
        <v>1107009</v>
      </c>
      <c r="C184" s="127" t="s">
        <v>30</v>
      </c>
      <c r="D184" s="127" t="s">
        <v>388</v>
      </c>
      <c r="E184" s="297" t="s">
        <v>80</v>
      </c>
      <c r="F184" s="129" t="s">
        <v>389</v>
      </c>
      <c r="G184" s="147" t="s">
        <v>34</v>
      </c>
      <c r="H184" s="191">
        <f t="shared" si="2"/>
        <v>5.847142857142857</v>
      </c>
      <c r="I184" s="222" t="s">
        <v>2084</v>
      </c>
      <c r="J184" s="146">
        <v>0</v>
      </c>
      <c r="K184" s="147">
        <v>6</v>
      </c>
      <c r="L184" s="147">
        <v>1</v>
      </c>
      <c r="M184" s="147">
        <v>7</v>
      </c>
      <c r="N184" s="289">
        <v>3500</v>
      </c>
      <c r="O184" s="195">
        <v>5.58</v>
      </c>
      <c r="P184" s="180">
        <v>45409</v>
      </c>
      <c r="Q184" s="174">
        <v>5.62</v>
      </c>
      <c r="R184" s="205">
        <v>0.22714285714285715</v>
      </c>
      <c r="S184" s="165"/>
      <c r="T184" s="129" t="s">
        <v>36</v>
      </c>
      <c r="U184" s="147" t="s">
        <v>37</v>
      </c>
      <c r="V184" s="129"/>
      <c r="W184" s="147" t="s">
        <v>2213</v>
      </c>
      <c r="X184" s="215" t="s">
        <v>1009</v>
      </c>
      <c r="Y184" s="216">
        <v>467.76093749999967</v>
      </c>
      <c r="Z184" s="216">
        <v>608.08921874999953</v>
      </c>
      <c r="AA184" s="263"/>
      <c r="AB184" s="305"/>
    </row>
    <row r="185" spans="1:29" x14ac:dyDescent="0.25">
      <c r="A185" s="131">
        <v>1</v>
      </c>
      <c r="B185" s="136">
        <v>1107010</v>
      </c>
      <c r="C185" s="127" t="s">
        <v>30</v>
      </c>
      <c r="D185" s="127" t="s">
        <v>393</v>
      </c>
      <c r="E185" s="297" t="s">
        <v>80</v>
      </c>
      <c r="F185" s="129" t="s">
        <v>389</v>
      </c>
      <c r="G185" s="147" t="s">
        <v>34</v>
      </c>
      <c r="H185" s="191">
        <f t="shared" si="2"/>
        <v>5.887142857142857</v>
      </c>
      <c r="I185" s="222" t="s">
        <v>2084</v>
      </c>
      <c r="J185" s="146">
        <v>0</v>
      </c>
      <c r="K185" s="147">
        <v>6</v>
      </c>
      <c r="L185" s="147">
        <v>1</v>
      </c>
      <c r="M185" s="147">
        <v>7</v>
      </c>
      <c r="N185" s="289">
        <v>3500</v>
      </c>
      <c r="O185" s="195">
        <v>2.5686</v>
      </c>
      <c r="P185" s="180">
        <v>44974</v>
      </c>
      <c r="Q185" s="174">
        <v>5.66</v>
      </c>
      <c r="R185" s="205">
        <v>0.22714285714285715</v>
      </c>
      <c r="S185" s="165"/>
      <c r="T185" s="129" t="s">
        <v>36</v>
      </c>
      <c r="U185" s="147" t="s">
        <v>37</v>
      </c>
      <c r="V185" s="129"/>
      <c r="W185" s="147" t="s">
        <v>2213</v>
      </c>
      <c r="X185" s="215" t="s">
        <v>1009</v>
      </c>
      <c r="Y185" s="216">
        <v>342.20833333333354</v>
      </c>
      <c r="Z185" s="216">
        <v>444.87083333333356</v>
      </c>
      <c r="AA185" s="263"/>
      <c r="AB185" s="305"/>
    </row>
    <row r="186" spans="1:29" s="182" customFormat="1" hidden="1" x14ac:dyDescent="0.25">
      <c r="A186" s="131">
        <v>1</v>
      </c>
      <c r="B186" s="136">
        <v>1107011</v>
      </c>
      <c r="C186" s="127" t="s">
        <v>30</v>
      </c>
      <c r="D186" s="127" t="s">
        <v>394</v>
      </c>
      <c r="E186" s="297" t="s">
        <v>380</v>
      </c>
      <c r="F186" s="129" t="s">
        <v>384</v>
      </c>
      <c r="G186" s="147" t="s">
        <v>34</v>
      </c>
      <c r="H186" s="191">
        <f t="shared" si="2"/>
        <v>0</v>
      </c>
      <c r="I186" s="225"/>
      <c r="J186" s="149"/>
      <c r="K186" s="147"/>
      <c r="L186" s="147"/>
      <c r="M186" s="147">
        <v>6</v>
      </c>
      <c r="N186" s="289">
        <v>1100</v>
      </c>
      <c r="O186" s="196"/>
      <c r="P186" s="180"/>
      <c r="Q186" s="174"/>
      <c r="R186" s="206">
        <v>0</v>
      </c>
      <c r="S186" s="168"/>
      <c r="T186" s="129" t="s">
        <v>36</v>
      </c>
      <c r="U186" s="147" t="s">
        <v>37</v>
      </c>
      <c r="V186" s="129"/>
      <c r="W186" s="163" t="s">
        <v>54</v>
      </c>
      <c r="X186" s="215"/>
      <c r="Y186" s="216">
        <v>0</v>
      </c>
      <c r="Z186" s="216">
        <v>0</v>
      </c>
      <c r="AA186" s="263"/>
      <c r="AB186" s="305"/>
      <c r="AC186" s="214"/>
    </row>
    <row r="187" spans="1:29" hidden="1" x14ac:dyDescent="0.25">
      <c r="A187" s="131">
        <v>1</v>
      </c>
      <c r="B187" s="136">
        <v>1107012</v>
      </c>
      <c r="C187" s="127" t="s">
        <v>30</v>
      </c>
      <c r="D187" s="127" t="s">
        <v>395</v>
      </c>
      <c r="E187" s="297" t="s">
        <v>317</v>
      </c>
      <c r="F187" s="129" t="s">
        <v>1748</v>
      </c>
      <c r="G187" s="147" t="s">
        <v>34</v>
      </c>
      <c r="H187" s="191">
        <f t="shared" si="2"/>
        <v>0</v>
      </c>
      <c r="I187" s="134" t="s">
        <v>2084</v>
      </c>
      <c r="J187" s="146">
        <v>0</v>
      </c>
      <c r="K187" s="147">
        <v>4</v>
      </c>
      <c r="L187" s="147">
        <v>2</v>
      </c>
      <c r="M187" s="147">
        <v>6</v>
      </c>
      <c r="N187" s="289">
        <v>1100</v>
      </c>
      <c r="O187" s="196"/>
      <c r="P187" s="180"/>
      <c r="Q187" s="174"/>
      <c r="R187" s="206">
        <v>0</v>
      </c>
      <c r="S187" s="168"/>
      <c r="T187" s="129" t="s">
        <v>36</v>
      </c>
      <c r="U187" s="147" t="s">
        <v>37</v>
      </c>
      <c r="V187" s="129"/>
      <c r="W187" s="163" t="s">
        <v>54</v>
      </c>
      <c r="X187" s="215"/>
      <c r="Y187" s="216">
        <v>0</v>
      </c>
      <c r="Z187" s="216">
        <v>0</v>
      </c>
      <c r="AA187" s="263"/>
      <c r="AB187" s="305"/>
    </row>
    <row r="188" spans="1:29" hidden="1" x14ac:dyDescent="0.25">
      <c r="A188" s="131">
        <v>1</v>
      </c>
      <c r="B188" s="136">
        <v>1107013</v>
      </c>
      <c r="C188" s="127" t="s">
        <v>30</v>
      </c>
      <c r="D188" s="127" t="s">
        <v>396</v>
      </c>
      <c r="E188" s="297" t="s">
        <v>380</v>
      </c>
      <c r="F188" s="129" t="s">
        <v>307</v>
      </c>
      <c r="G188" s="147" t="s">
        <v>34</v>
      </c>
      <c r="H188" s="191">
        <f t="shared" si="2"/>
        <v>0</v>
      </c>
      <c r="I188" s="134" t="s">
        <v>2084</v>
      </c>
      <c r="J188" s="146">
        <v>0</v>
      </c>
      <c r="K188" s="147">
        <v>2</v>
      </c>
      <c r="L188" s="147">
        <v>2</v>
      </c>
      <c r="M188" s="147">
        <v>4</v>
      </c>
      <c r="N188" s="289">
        <v>44</v>
      </c>
      <c r="O188" s="196"/>
      <c r="P188" s="180"/>
      <c r="Q188" s="174"/>
      <c r="R188" s="206">
        <v>0</v>
      </c>
      <c r="S188" s="165"/>
      <c r="T188" s="129" t="s">
        <v>36</v>
      </c>
      <c r="U188" s="147" t="s">
        <v>35</v>
      </c>
      <c r="V188" s="129"/>
      <c r="W188" s="163" t="s">
        <v>54</v>
      </c>
      <c r="X188" s="215"/>
      <c r="Y188" s="216">
        <v>0</v>
      </c>
      <c r="Z188" s="216">
        <v>0</v>
      </c>
      <c r="AA188" s="263"/>
      <c r="AB188" s="305"/>
    </row>
    <row r="189" spans="1:29" hidden="1" x14ac:dyDescent="0.25">
      <c r="A189" s="131">
        <v>1</v>
      </c>
      <c r="B189" s="136">
        <v>1107014</v>
      </c>
      <c r="C189" s="127" t="s">
        <v>30</v>
      </c>
      <c r="D189" s="127" t="s">
        <v>397</v>
      </c>
      <c r="E189" s="297" t="s">
        <v>380</v>
      </c>
      <c r="F189" s="129" t="s">
        <v>1748</v>
      </c>
      <c r="G189" s="147" t="s">
        <v>34</v>
      </c>
      <c r="H189" s="191">
        <f t="shared" si="2"/>
        <v>0</v>
      </c>
      <c r="I189" s="134" t="s">
        <v>2084</v>
      </c>
      <c r="J189" s="146">
        <v>0</v>
      </c>
      <c r="K189" s="147">
        <v>4</v>
      </c>
      <c r="L189" s="147">
        <v>2</v>
      </c>
      <c r="M189" s="147">
        <v>6</v>
      </c>
      <c r="N189" s="289"/>
      <c r="O189" s="196"/>
      <c r="P189" s="180"/>
      <c r="Q189" s="174"/>
      <c r="R189" s="205">
        <v>0</v>
      </c>
      <c r="S189" s="165"/>
      <c r="T189" s="129" t="s">
        <v>370</v>
      </c>
      <c r="U189" s="147" t="s">
        <v>37</v>
      </c>
      <c r="V189" s="129"/>
      <c r="W189" s="177" t="s">
        <v>54</v>
      </c>
      <c r="X189" s="215"/>
      <c r="Y189" s="216">
        <v>0</v>
      </c>
      <c r="Z189" s="216">
        <v>0</v>
      </c>
      <c r="AA189" s="263"/>
      <c r="AB189" s="305"/>
    </row>
    <row r="190" spans="1:29" x14ac:dyDescent="0.25">
      <c r="A190" s="131">
        <v>1</v>
      </c>
      <c r="B190" s="136">
        <v>1107015</v>
      </c>
      <c r="C190" s="127" t="s">
        <v>30</v>
      </c>
      <c r="D190" s="127" t="s">
        <v>398</v>
      </c>
      <c r="E190" s="297" t="s">
        <v>380</v>
      </c>
      <c r="F190" s="129" t="s">
        <v>1788</v>
      </c>
      <c r="G190" s="147" t="s">
        <v>34</v>
      </c>
      <c r="H190" s="191">
        <f t="shared" si="2"/>
        <v>4.5999999999999996</v>
      </c>
      <c r="I190" s="222" t="s">
        <v>2084</v>
      </c>
      <c r="J190" s="146">
        <v>0</v>
      </c>
      <c r="K190" s="147">
        <v>11</v>
      </c>
      <c r="L190" s="147">
        <v>1</v>
      </c>
      <c r="M190" s="147">
        <v>12</v>
      </c>
      <c r="N190" s="289">
        <v>3000</v>
      </c>
      <c r="O190" s="195">
        <f>3.75+0.05</f>
        <v>3.8</v>
      </c>
      <c r="P190" s="180">
        <v>46132</v>
      </c>
      <c r="Q190" s="174">
        <v>4.55</v>
      </c>
      <c r="R190" s="205">
        <v>0.05</v>
      </c>
      <c r="S190" s="165"/>
      <c r="T190" s="129" t="s">
        <v>36</v>
      </c>
      <c r="U190" s="147" t="s">
        <v>37</v>
      </c>
      <c r="V190" s="129"/>
      <c r="W190" s="147" t="s">
        <v>2213</v>
      </c>
      <c r="X190" s="215" t="s">
        <v>1009</v>
      </c>
      <c r="Y190" s="216">
        <v>2126.2220833333336</v>
      </c>
      <c r="Z190" s="216">
        <v>2923.5553645833338</v>
      </c>
      <c r="AA190" s="263"/>
      <c r="AB190" s="305"/>
    </row>
    <row r="191" spans="1:29" s="182" customFormat="1" hidden="1" x14ac:dyDescent="0.25">
      <c r="A191" s="131">
        <v>1</v>
      </c>
      <c r="B191" s="136">
        <v>1107016</v>
      </c>
      <c r="C191" s="127" t="s">
        <v>30</v>
      </c>
      <c r="D191" s="127" t="s">
        <v>399</v>
      </c>
      <c r="E191" s="297" t="s">
        <v>138</v>
      </c>
      <c r="F191" s="129" t="s">
        <v>400</v>
      </c>
      <c r="G191" s="147" t="s">
        <v>34</v>
      </c>
      <c r="H191" s="191">
        <f t="shared" si="2"/>
        <v>4.21</v>
      </c>
      <c r="I191" s="134"/>
      <c r="J191" s="150"/>
      <c r="K191" s="147"/>
      <c r="L191" s="147"/>
      <c r="M191" s="147">
        <v>6</v>
      </c>
      <c r="N191" s="289"/>
      <c r="O191" s="196"/>
      <c r="P191" s="180"/>
      <c r="Q191" s="174">
        <v>4.21</v>
      </c>
      <c r="R191" s="205"/>
      <c r="S191" s="165" t="s">
        <v>35</v>
      </c>
      <c r="T191" s="129" t="s">
        <v>261</v>
      </c>
      <c r="U191" s="147" t="s">
        <v>35</v>
      </c>
      <c r="V191" s="129"/>
      <c r="W191" s="177" t="s">
        <v>54</v>
      </c>
      <c r="X191" s="215"/>
      <c r="Y191" s="216">
        <v>0</v>
      </c>
      <c r="Z191" s="216">
        <v>0</v>
      </c>
      <c r="AA191" s="263"/>
      <c r="AB191" s="305"/>
      <c r="AC191" s="212"/>
    </row>
    <row r="192" spans="1:29" x14ac:dyDescent="0.25">
      <c r="A192" s="131">
        <v>1</v>
      </c>
      <c r="B192" s="136">
        <v>1107017</v>
      </c>
      <c r="C192" s="127" t="s">
        <v>30</v>
      </c>
      <c r="D192" s="127" t="s">
        <v>403</v>
      </c>
      <c r="E192" s="297" t="s">
        <v>181</v>
      </c>
      <c r="F192" s="129" t="s">
        <v>2403</v>
      </c>
      <c r="G192" s="147" t="s">
        <v>34</v>
      </c>
      <c r="H192" s="191">
        <f t="shared" si="2"/>
        <v>5.3199999999999994</v>
      </c>
      <c r="I192" s="222" t="s">
        <v>2084</v>
      </c>
      <c r="J192" s="146">
        <v>0</v>
      </c>
      <c r="K192" s="147">
        <v>8</v>
      </c>
      <c r="L192" s="147">
        <v>2</v>
      </c>
      <c r="M192" s="147">
        <v>10</v>
      </c>
      <c r="N192" s="289">
        <v>1400</v>
      </c>
      <c r="O192" s="195">
        <v>4.76</v>
      </c>
      <c r="P192" s="180">
        <v>45146</v>
      </c>
      <c r="Q192" s="174">
        <v>5.27</v>
      </c>
      <c r="R192" s="205">
        <v>0.05</v>
      </c>
      <c r="S192" s="165"/>
      <c r="T192" s="129" t="s">
        <v>36</v>
      </c>
      <c r="U192" s="147" t="s">
        <v>37</v>
      </c>
      <c r="V192" s="129"/>
      <c r="W192" s="147" t="s">
        <v>2213</v>
      </c>
      <c r="X192" s="215" t="s">
        <v>1009</v>
      </c>
      <c r="Y192" s="216">
        <v>464.75</v>
      </c>
      <c r="Z192" s="216">
        <v>572</v>
      </c>
      <c r="AA192" s="263"/>
      <c r="AB192" s="305"/>
    </row>
    <row r="193" spans="1:29" x14ac:dyDescent="0.25">
      <c r="A193" s="131">
        <v>1</v>
      </c>
      <c r="B193" s="136">
        <v>1107018</v>
      </c>
      <c r="C193" s="127" t="s">
        <v>30</v>
      </c>
      <c r="D193" s="127" t="s">
        <v>404</v>
      </c>
      <c r="E193" s="297" t="s">
        <v>138</v>
      </c>
      <c r="F193" s="129" t="s">
        <v>323</v>
      </c>
      <c r="G193" s="147" t="s">
        <v>34</v>
      </c>
      <c r="H193" s="191">
        <f t="shared" si="2"/>
        <v>14.4</v>
      </c>
      <c r="I193" s="222" t="s">
        <v>2084</v>
      </c>
      <c r="J193" s="146">
        <v>30</v>
      </c>
      <c r="K193" s="147">
        <v>8</v>
      </c>
      <c r="L193" s="147">
        <v>2</v>
      </c>
      <c r="M193" s="147">
        <v>10</v>
      </c>
      <c r="N193" s="289">
        <v>441</v>
      </c>
      <c r="O193" s="195"/>
      <c r="P193" s="180">
        <v>45355</v>
      </c>
      <c r="Q193" s="174">
        <v>14.35</v>
      </c>
      <c r="R193" s="205">
        <v>0.05</v>
      </c>
      <c r="S193" s="165"/>
      <c r="T193" s="129" t="s">
        <v>36</v>
      </c>
      <c r="U193" s="147" t="s">
        <v>35</v>
      </c>
      <c r="V193" s="129"/>
      <c r="W193" s="147" t="s">
        <v>2213</v>
      </c>
      <c r="X193" s="215" t="s">
        <v>1906</v>
      </c>
      <c r="Y193" s="216">
        <v>69.197916666666671</v>
      </c>
      <c r="Z193" s="216">
        <v>85.166666666666671</v>
      </c>
      <c r="AA193" s="263"/>
      <c r="AB193" s="305"/>
    </row>
    <row r="194" spans="1:29" x14ac:dyDescent="0.25">
      <c r="A194" s="131">
        <v>1</v>
      </c>
      <c r="B194" s="136">
        <v>1107019</v>
      </c>
      <c r="C194" s="127" t="s">
        <v>30</v>
      </c>
      <c r="D194" s="127" t="s">
        <v>405</v>
      </c>
      <c r="E194" s="297" t="s">
        <v>380</v>
      </c>
      <c r="F194" s="129" t="s">
        <v>1788</v>
      </c>
      <c r="G194" s="147" t="s">
        <v>34</v>
      </c>
      <c r="H194" s="191">
        <f t="shared" si="2"/>
        <v>3.9</v>
      </c>
      <c r="I194" s="235" t="s">
        <v>2084</v>
      </c>
      <c r="J194" s="146">
        <v>0</v>
      </c>
      <c r="K194" s="147">
        <v>8</v>
      </c>
      <c r="L194" s="147">
        <v>2</v>
      </c>
      <c r="M194" s="147">
        <v>10</v>
      </c>
      <c r="N194" s="289">
        <v>220</v>
      </c>
      <c r="O194" s="195">
        <v>4.4800000000000004</v>
      </c>
      <c r="P194" s="180">
        <v>45373</v>
      </c>
      <c r="Q194" s="174">
        <v>3.85</v>
      </c>
      <c r="R194" s="205">
        <v>0.05</v>
      </c>
      <c r="S194" s="165"/>
      <c r="T194" s="129" t="s">
        <v>2091</v>
      </c>
      <c r="U194" s="147" t="s">
        <v>35</v>
      </c>
      <c r="V194" s="129"/>
      <c r="W194" s="147" t="s">
        <v>2213</v>
      </c>
      <c r="X194" s="215" t="s">
        <v>1009</v>
      </c>
      <c r="Y194" s="216">
        <v>0</v>
      </c>
      <c r="Z194" s="216">
        <v>0</v>
      </c>
      <c r="AA194" s="263"/>
      <c r="AB194" s="305"/>
    </row>
    <row r="195" spans="1:29" ht="24" x14ac:dyDescent="0.25">
      <c r="A195" s="131">
        <v>1</v>
      </c>
      <c r="B195" s="136">
        <v>1108001</v>
      </c>
      <c r="C195" s="127" t="s">
        <v>30</v>
      </c>
      <c r="D195" s="127" t="s">
        <v>1966</v>
      </c>
      <c r="E195" s="151" t="s">
        <v>46</v>
      </c>
      <c r="F195" s="129" t="s">
        <v>47</v>
      </c>
      <c r="G195" s="147" t="s">
        <v>34</v>
      </c>
      <c r="H195" s="191">
        <f t="shared" ref="H195:H258" si="3">Q195+R195</f>
        <v>3.39</v>
      </c>
      <c r="I195" s="222" t="s">
        <v>2228</v>
      </c>
      <c r="J195" s="146">
        <v>30</v>
      </c>
      <c r="K195" s="147">
        <v>9</v>
      </c>
      <c r="L195" s="147">
        <v>1</v>
      </c>
      <c r="M195" s="147">
        <v>10</v>
      </c>
      <c r="N195" s="289">
        <v>6400</v>
      </c>
      <c r="O195" s="195">
        <v>3.41</v>
      </c>
      <c r="P195" s="180">
        <v>45947</v>
      </c>
      <c r="Q195" s="174">
        <v>3.39</v>
      </c>
      <c r="R195" s="207">
        <v>0</v>
      </c>
      <c r="S195" s="165" t="s">
        <v>35</v>
      </c>
      <c r="T195" s="129" t="s">
        <v>36</v>
      </c>
      <c r="U195" s="147" t="s">
        <v>37</v>
      </c>
      <c r="V195" s="129"/>
      <c r="W195" s="147" t="s">
        <v>2213</v>
      </c>
      <c r="X195" s="215" t="s">
        <v>1009</v>
      </c>
      <c r="Y195" s="216">
        <v>6675.3799395833321</v>
      </c>
      <c r="Z195" s="216">
        <v>8215.8522333333312</v>
      </c>
      <c r="AA195" s="263"/>
      <c r="AB195" s="305"/>
      <c r="AC195" s="285"/>
    </row>
    <row r="196" spans="1:29" hidden="1" x14ac:dyDescent="0.25">
      <c r="A196" s="131">
        <v>1</v>
      </c>
      <c r="B196" s="136">
        <v>1108002</v>
      </c>
      <c r="C196" s="127" t="s">
        <v>30</v>
      </c>
      <c r="D196" s="127" t="s">
        <v>407</v>
      </c>
      <c r="E196" s="151" t="s">
        <v>46</v>
      </c>
      <c r="F196" s="129" t="s">
        <v>36</v>
      </c>
      <c r="G196" s="147" t="s">
        <v>34</v>
      </c>
      <c r="H196" s="191">
        <f t="shared" si="3"/>
        <v>0</v>
      </c>
      <c r="I196" s="181" t="s">
        <v>2218</v>
      </c>
      <c r="J196" s="149"/>
      <c r="K196" s="147">
        <v>2</v>
      </c>
      <c r="L196" s="147">
        <v>1</v>
      </c>
      <c r="M196" s="147">
        <v>3</v>
      </c>
      <c r="N196" s="289">
        <v>6000</v>
      </c>
      <c r="O196" s="196"/>
      <c r="P196" s="180"/>
      <c r="Q196" s="174"/>
      <c r="R196" s="206">
        <v>0</v>
      </c>
      <c r="S196" s="168"/>
      <c r="T196" s="129" t="s">
        <v>36</v>
      </c>
      <c r="U196" s="147" t="s">
        <v>37</v>
      </c>
      <c r="V196" s="129"/>
      <c r="W196" s="163" t="s">
        <v>2531</v>
      </c>
      <c r="X196" s="215"/>
      <c r="Y196" s="216">
        <v>0</v>
      </c>
      <c r="Z196" s="216">
        <v>0</v>
      </c>
      <c r="AA196" s="263"/>
      <c r="AB196" s="305"/>
    </row>
    <row r="197" spans="1:29" x14ac:dyDescent="0.25">
      <c r="A197" s="131">
        <v>1</v>
      </c>
      <c r="B197" s="136">
        <v>1108003</v>
      </c>
      <c r="C197" s="127" t="s">
        <v>30</v>
      </c>
      <c r="D197" s="127" t="s">
        <v>408</v>
      </c>
      <c r="E197" s="151" t="s">
        <v>155</v>
      </c>
      <c r="F197" s="129" t="s">
        <v>307</v>
      </c>
      <c r="G197" s="147" t="s">
        <v>34</v>
      </c>
      <c r="H197" s="191">
        <f t="shared" si="3"/>
        <v>3.65</v>
      </c>
      <c r="I197" s="222" t="s">
        <v>2084</v>
      </c>
      <c r="J197" s="146">
        <v>0</v>
      </c>
      <c r="K197" s="147">
        <v>10</v>
      </c>
      <c r="L197" s="147">
        <v>2</v>
      </c>
      <c r="M197" s="147">
        <v>12</v>
      </c>
      <c r="N197" s="289">
        <v>220</v>
      </c>
      <c r="O197" s="195">
        <v>4.13</v>
      </c>
      <c r="P197" s="180">
        <v>46037</v>
      </c>
      <c r="Q197" s="174">
        <v>3.6</v>
      </c>
      <c r="R197" s="205">
        <v>0.05</v>
      </c>
      <c r="S197" s="165"/>
      <c r="T197" s="129" t="s">
        <v>36</v>
      </c>
      <c r="U197" s="147" t="s">
        <v>37</v>
      </c>
      <c r="V197" s="129"/>
      <c r="W197" s="147" t="s">
        <v>2213</v>
      </c>
      <c r="X197" s="215" t="s">
        <v>1009</v>
      </c>
      <c r="Y197" s="216">
        <v>59.625</v>
      </c>
      <c r="Z197" s="216">
        <v>71.55</v>
      </c>
      <c r="AA197" s="263"/>
      <c r="AB197" s="305"/>
    </row>
    <row r="198" spans="1:29" ht="24" hidden="1" x14ac:dyDescent="0.25">
      <c r="A198" s="131">
        <v>1</v>
      </c>
      <c r="B198" s="136">
        <v>1108004</v>
      </c>
      <c r="C198" s="127" t="s">
        <v>30</v>
      </c>
      <c r="D198" s="127" t="s">
        <v>409</v>
      </c>
      <c r="E198" s="151" t="s">
        <v>46</v>
      </c>
      <c r="F198" s="129" t="s">
        <v>47</v>
      </c>
      <c r="G198" s="147" t="s">
        <v>34</v>
      </c>
      <c r="H198" s="191">
        <f t="shared" si="3"/>
        <v>4.57</v>
      </c>
      <c r="I198" s="222" t="s">
        <v>2228</v>
      </c>
      <c r="J198" s="146">
        <v>30</v>
      </c>
      <c r="K198" s="147">
        <v>9</v>
      </c>
      <c r="L198" s="147">
        <v>1</v>
      </c>
      <c r="M198" s="147">
        <v>10</v>
      </c>
      <c r="N198" s="289">
        <v>6400</v>
      </c>
      <c r="O198" s="196"/>
      <c r="P198" s="180"/>
      <c r="Q198" s="174">
        <v>4.57</v>
      </c>
      <c r="R198" s="205">
        <v>0</v>
      </c>
      <c r="S198" s="165" t="s">
        <v>35</v>
      </c>
      <c r="T198" s="129" t="s">
        <v>36</v>
      </c>
      <c r="U198" s="147" t="s">
        <v>37</v>
      </c>
      <c r="V198" s="129"/>
      <c r="W198" s="177" t="s">
        <v>54</v>
      </c>
      <c r="X198" s="215"/>
      <c r="Y198" s="216">
        <v>0</v>
      </c>
      <c r="Z198" s="216">
        <v>0</v>
      </c>
      <c r="AA198" s="263"/>
      <c r="AB198" s="305"/>
    </row>
    <row r="199" spans="1:29" x14ac:dyDescent="0.25">
      <c r="A199" s="131">
        <v>1</v>
      </c>
      <c r="B199" s="136">
        <v>1108005</v>
      </c>
      <c r="C199" s="127" t="s">
        <v>30</v>
      </c>
      <c r="D199" s="127" t="s">
        <v>410</v>
      </c>
      <c r="E199" s="297" t="s">
        <v>46</v>
      </c>
      <c r="F199" s="129" t="s">
        <v>1611</v>
      </c>
      <c r="G199" s="147" t="s">
        <v>34</v>
      </c>
      <c r="H199" s="191">
        <f t="shared" si="3"/>
        <v>1.7850000000000001</v>
      </c>
      <c r="I199" s="222" t="s">
        <v>2084</v>
      </c>
      <c r="J199" s="146">
        <v>0</v>
      </c>
      <c r="K199" s="147">
        <v>5</v>
      </c>
      <c r="L199" s="147">
        <v>2</v>
      </c>
      <c r="M199" s="147">
        <v>7</v>
      </c>
      <c r="N199" s="289">
        <v>2000</v>
      </c>
      <c r="O199" s="174">
        <v>1.778</v>
      </c>
      <c r="P199" s="180">
        <v>46059</v>
      </c>
      <c r="Q199" s="174">
        <v>1.7350000000000001</v>
      </c>
      <c r="R199" s="205">
        <v>0.05</v>
      </c>
      <c r="S199" s="165"/>
      <c r="T199" s="129" t="s">
        <v>36</v>
      </c>
      <c r="U199" s="147" t="s">
        <v>37</v>
      </c>
      <c r="V199" s="129"/>
      <c r="W199" s="147" t="s">
        <v>2213</v>
      </c>
      <c r="X199" s="215" t="s">
        <v>1009</v>
      </c>
      <c r="Y199" s="216">
        <v>676.3960000000003</v>
      </c>
      <c r="Z199" s="216">
        <v>879.31480000000033</v>
      </c>
      <c r="AA199" s="263"/>
      <c r="AB199" s="305"/>
    </row>
    <row r="200" spans="1:29" s="182" customFormat="1" ht="24" hidden="1" x14ac:dyDescent="0.25">
      <c r="A200" s="131">
        <v>1</v>
      </c>
      <c r="B200" s="136">
        <v>1108006</v>
      </c>
      <c r="C200" s="127" t="s">
        <v>30</v>
      </c>
      <c r="D200" s="127" t="s">
        <v>411</v>
      </c>
      <c r="E200" s="151" t="s">
        <v>46</v>
      </c>
      <c r="F200" s="136" t="s">
        <v>1981</v>
      </c>
      <c r="G200" s="147" t="s">
        <v>34</v>
      </c>
      <c r="H200" s="191">
        <f t="shared" si="3"/>
        <v>0</v>
      </c>
      <c r="I200" s="222" t="s">
        <v>2228</v>
      </c>
      <c r="J200" s="149"/>
      <c r="K200" s="147"/>
      <c r="L200" s="147"/>
      <c r="M200" s="147">
        <v>10</v>
      </c>
      <c r="N200" s="289">
        <v>4000</v>
      </c>
      <c r="O200" s="196"/>
      <c r="P200" s="180"/>
      <c r="Q200" s="174"/>
      <c r="R200" s="206">
        <v>0</v>
      </c>
      <c r="S200" s="168"/>
      <c r="T200" s="129" t="s">
        <v>64</v>
      </c>
      <c r="U200" s="147" t="s">
        <v>37</v>
      </c>
      <c r="V200" s="129"/>
      <c r="W200" s="163" t="s">
        <v>54</v>
      </c>
      <c r="X200" s="215"/>
      <c r="Y200" s="216">
        <v>0</v>
      </c>
      <c r="Z200" s="216">
        <v>0</v>
      </c>
      <c r="AA200" s="263"/>
      <c r="AB200" s="305"/>
      <c r="AC200" s="214"/>
    </row>
    <row r="201" spans="1:29" ht="24" hidden="1" x14ac:dyDescent="0.25">
      <c r="A201" s="131">
        <v>1</v>
      </c>
      <c r="B201" s="136">
        <v>1108007</v>
      </c>
      <c r="C201" s="127" t="s">
        <v>30</v>
      </c>
      <c r="D201" s="127" t="s">
        <v>412</v>
      </c>
      <c r="E201" s="151" t="s">
        <v>46</v>
      </c>
      <c r="F201" s="129" t="s">
        <v>47</v>
      </c>
      <c r="G201" s="147" t="s">
        <v>34</v>
      </c>
      <c r="H201" s="191">
        <f t="shared" si="3"/>
        <v>0</v>
      </c>
      <c r="I201" s="222" t="s">
        <v>2228</v>
      </c>
      <c r="J201" s="148">
        <v>30</v>
      </c>
      <c r="K201" s="147">
        <v>9</v>
      </c>
      <c r="L201" s="147">
        <v>1</v>
      </c>
      <c r="M201" s="147">
        <v>10</v>
      </c>
      <c r="N201" s="289">
        <v>6400</v>
      </c>
      <c r="O201" s="196"/>
      <c r="P201" s="180"/>
      <c r="Q201" s="174"/>
      <c r="R201" s="206">
        <v>0</v>
      </c>
      <c r="S201" s="168" t="s">
        <v>35</v>
      </c>
      <c r="T201" s="129" t="s">
        <v>36</v>
      </c>
      <c r="U201" s="147" t="s">
        <v>37</v>
      </c>
      <c r="V201" s="129"/>
      <c r="W201" s="163" t="s">
        <v>54</v>
      </c>
      <c r="X201" s="215"/>
      <c r="Y201" s="216">
        <v>0</v>
      </c>
      <c r="Z201" s="216">
        <v>0</v>
      </c>
      <c r="AA201" s="263"/>
      <c r="AB201" s="305"/>
    </row>
    <row r="202" spans="1:29" s="182" customFormat="1" ht="24" hidden="1" x14ac:dyDescent="0.25">
      <c r="A202" s="131">
        <v>1</v>
      </c>
      <c r="B202" s="136">
        <v>1108008</v>
      </c>
      <c r="C202" s="127" t="s">
        <v>30</v>
      </c>
      <c r="D202" s="127" t="s">
        <v>413</v>
      </c>
      <c r="E202" s="151" t="s">
        <v>46</v>
      </c>
      <c r="F202" s="136" t="s">
        <v>1981</v>
      </c>
      <c r="G202" s="147" t="s">
        <v>34</v>
      </c>
      <c r="H202" s="191">
        <f t="shared" si="3"/>
        <v>0</v>
      </c>
      <c r="I202" s="222" t="s">
        <v>2228</v>
      </c>
      <c r="J202" s="149"/>
      <c r="K202" s="147"/>
      <c r="L202" s="147"/>
      <c r="M202" s="147">
        <v>10</v>
      </c>
      <c r="N202" s="289">
        <v>2000</v>
      </c>
      <c r="O202" s="196"/>
      <c r="P202" s="180"/>
      <c r="Q202" s="174"/>
      <c r="R202" s="206">
        <v>0</v>
      </c>
      <c r="S202" s="168"/>
      <c r="T202" s="129" t="s">
        <v>64</v>
      </c>
      <c r="U202" s="147" t="s">
        <v>37</v>
      </c>
      <c r="V202" s="129"/>
      <c r="W202" s="163" t="s">
        <v>54</v>
      </c>
      <c r="X202" s="215"/>
      <c r="Y202" s="216">
        <v>0</v>
      </c>
      <c r="Z202" s="216">
        <v>0</v>
      </c>
      <c r="AA202" s="263"/>
      <c r="AB202" s="305"/>
      <c r="AC202" s="214"/>
    </row>
    <row r="203" spans="1:29" ht="24" x14ac:dyDescent="0.25">
      <c r="A203" s="131">
        <v>1</v>
      </c>
      <c r="B203" s="136">
        <v>1108009</v>
      </c>
      <c r="C203" s="127" t="s">
        <v>30</v>
      </c>
      <c r="D203" s="127" t="s">
        <v>414</v>
      </c>
      <c r="E203" s="151" t="s">
        <v>49</v>
      </c>
      <c r="F203" s="129" t="s">
        <v>1642</v>
      </c>
      <c r="G203" s="147" t="s">
        <v>34</v>
      </c>
      <c r="H203" s="191">
        <f t="shared" si="3"/>
        <v>4</v>
      </c>
      <c r="I203" s="222" t="s">
        <v>2184</v>
      </c>
      <c r="J203" s="146">
        <v>45</v>
      </c>
      <c r="K203" s="147">
        <v>2</v>
      </c>
      <c r="L203" s="147">
        <v>2</v>
      </c>
      <c r="M203" s="147">
        <v>4</v>
      </c>
      <c r="N203" s="289">
        <v>4402</v>
      </c>
      <c r="O203" s="195">
        <v>6.51</v>
      </c>
      <c r="P203" s="180">
        <v>45371</v>
      </c>
      <c r="Q203" s="174">
        <v>3.95</v>
      </c>
      <c r="R203" s="205">
        <v>0.05</v>
      </c>
      <c r="S203" s="165"/>
      <c r="T203" s="129" t="s">
        <v>2451</v>
      </c>
      <c r="U203" s="147" t="s">
        <v>37</v>
      </c>
      <c r="V203" s="129"/>
      <c r="W203" s="147" t="s">
        <v>2213</v>
      </c>
      <c r="X203" s="215" t="s">
        <v>1009</v>
      </c>
      <c r="Y203" s="216">
        <v>701.28974225193349</v>
      </c>
      <c r="Z203" s="216">
        <v>1001.8424889313336</v>
      </c>
      <c r="AA203" s="263"/>
      <c r="AB203" s="305"/>
    </row>
    <row r="204" spans="1:29" x14ac:dyDescent="0.25">
      <c r="A204" s="131">
        <v>1</v>
      </c>
      <c r="B204" s="136">
        <v>1108010</v>
      </c>
      <c r="C204" s="127" t="s">
        <v>30</v>
      </c>
      <c r="D204" s="127" t="s">
        <v>415</v>
      </c>
      <c r="E204" s="151" t="s">
        <v>416</v>
      </c>
      <c r="F204" s="129" t="s">
        <v>1791</v>
      </c>
      <c r="G204" s="147" t="s">
        <v>34</v>
      </c>
      <c r="H204" s="191">
        <f t="shared" si="3"/>
        <v>5.54</v>
      </c>
      <c r="I204" s="235" t="s">
        <v>2084</v>
      </c>
      <c r="J204" s="146">
        <v>30</v>
      </c>
      <c r="K204" s="147">
        <v>8</v>
      </c>
      <c r="L204" s="147">
        <v>2</v>
      </c>
      <c r="M204" s="147">
        <v>10</v>
      </c>
      <c r="N204" s="289">
        <v>1102</v>
      </c>
      <c r="O204" s="174">
        <v>6.59</v>
      </c>
      <c r="P204" s="180">
        <v>46077</v>
      </c>
      <c r="Q204" s="174">
        <v>5.49</v>
      </c>
      <c r="R204" s="205">
        <v>0.05</v>
      </c>
      <c r="S204" s="165"/>
      <c r="T204" s="129" t="s">
        <v>1870</v>
      </c>
      <c r="U204" s="147" t="s">
        <v>37</v>
      </c>
      <c r="V204" s="129"/>
      <c r="W204" s="147" t="s">
        <v>2213</v>
      </c>
      <c r="X204" s="215" t="s">
        <v>1009</v>
      </c>
      <c r="Y204" s="216">
        <v>7.628400000000001</v>
      </c>
      <c r="Z204" s="216">
        <v>9.3888000000000016</v>
      </c>
      <c r="AA204" s="263"/>
      <c r="AB204" s="305"/>
    </row>
    <row r="205" spans="1:29" s="182" customFormat="1" ht="24" hidden="1" x14ac:dyDescent="0.25">
      <c r="A205" s="131">
        <v>1</v>
      </c>
      <c r="B205" s="136">
        <v>1108011</v>
      </c>
      <c r="C205" s="127" t="s">
        <v>30</v>
      </c>
      <c r="D205" s="127" t="s">
        <v>417</v>
      </c>
      <c r="E205" s="151" t="s">
        <v>416</v>
      </c>
      <c r="F205" s="136" t="s">
        <v>1981</v>
      </c>
      <c r="G205" s="147" t="s">
        <v>34</v>
      </c>
      <c r="H205" s="191">
        <f t="shared" si="3"/>
        <v>3.48</v>
      </c>
      <c r="I205" s="222" t="s">
        <v>2228</v>
      </c>
      <c r="J205" s="150"/>
      <c r="K205" s="147"/>
      <c r="L205" s="147"/>
      <c r="M205" s="147">
        <v>10</v>
      </c>
      <c r="N205" s="289">
        <v>2200</v>
      </c>
      <c r="O205" s="196"/>
      <c r="P205" s="180"/>
      <c r="Q205" s="174">
        <v>3.48</v>
      </c>
      <c r="R205" s="205"/>
      <c r="S205" s="168"/>
      <c r="T205" s="129" t="s">
        <v>64</v>
      </c>
      <c r="U205" s="147" t="s">
        <v>37</v>
      </c>
      <c r="V205" s="129"/>
      <c r="W205" s="177" t="s">
        <v>54</v>
      </c>
      <c r="X205" s="215"/>
      <c r="Y205" s="216">
        <v>0</v>
      </c>
      <c r="Z205" s="216">
        <v>0</v>
      </c>
      <c r="AA205" s="263"/>
      <c r="AB205" s="305"/>
      <c r="AC205" s="214"/>
    </row>
    <row r="206" spans="1:29" s="182" customFormat="1" hidden="1" x14ac:dyDescent="0.25">
      <c r="A206" s="131">
        <v>1</v>
      </c>
      <c r="B206" s="136">
        <v>1108012</v>
      </c>
      <c r="C206" s="127" t="s">
        <v>30</v>
      </c>
      <c r="D206" s="127" t="s">
        <v>418</v>
      </c>
      <c r="E206" s="151" t="s">
        <v>416</v>
      </c>
      <c r="F206" s="129" t="s">
        <v>419</v>
      </c>
      <c r="G206" s="147" t="s">
        <v>34</v>
      </c>
      <c r="H206" s="191">
        <f t="shared" si="3"/>
        <v>0</v>
      </c>
      <c r="I206" s="225"/>
      <c r="J206" s="149"/>
      <c r="K206" s="147">
        <v>11</v>
      </c>
      <c r="L206" s="147">
        <v>1</v>
      </c>
      <c r="M206" s="147">
        <v>12</v>
      </c>
      <c r="N206" s="289"/>
      <c r="O206" s="196"/>
      <c r="P206" s="180"/>
      <c r="Q206" s="174"/>
      <c r="R206" s="206">
        <v>0</v>
      </c>
      <c r="S206" s="168"/>
      <c r="T206" s="129" t="s">
        <v>64</v>
      </c>
      <c r="U206" s="147" t="s">
        <v>37</v>
      </c>
      <c r="V206" s="129"/>
      <c r="W206" s="163" t="s">
        <v>54</v>
      </c>
      <c r="X206" s="215"/>
      <c r="Y206" s="216">
        <v>0</v>
      </c>
      <c r="Z206" s="216">
        <v>0</v>
      </c>
      <c r="AA206" s="263"/>
      <c r="AB206" s="305"/>
      <c r="AC206" s="214"/>
    </row>
    <row r="207" spans="1:29" ht="24" x14ac:dyDescent="0.25">
      <c r="A207" s="131">
        <v>1</v>
      </c>
      <c r="B207" s="136">
        <v>1108013</v>
      </c>
      <c r="C207" s="127" t="s">
        <v>30</v>
      </c>
      <c r="D207" s="129" t="s">
        <v>1965</v>
      </c>
      <c r="E207" s="151" t="s">
        <v>46</v>
      </c>
      <c r="F207" s="129" t="s">
        <v>307</v>
      </c>
      <c r="G207" s="147" t="s">
        <v>34</v>
      </c>
      <c r="H207" s="191">
        <f t="shared" si="3"/>
        <v>4</v>
      </c>
      <c r="I207" s="222" t="s">
        <v>2228</v>
      </c>
      <c r="J207" s="146">
        <v>0</v>
      </c>
      <c r="K207" s="147">
        <v>9</v>
      </c>
      <c r="L207" s="147">
        <v>1</v>
      </c>
      <c r="M207" s="147">
        <v>10</v>
      </c>
      <c r="N207" s="289">
        <v>1600</v>
      </c>
      <c r="O207" s="174">
        <v>3.31</v>
      </c>
      <c r="P207" s="180">
        <v>46139</v>
      </c>
      <c r="Q207" s="174">
        <v>3.95</v>
      </c>
      <c r="R207" s="207">
        <v>0.05</v>
      </c>
      <c r="S207" s="165" t="s">
        <v>35</v>
      </c>
      <c r="T207" s="129" t="s">
        <v>36</v>
      </c>
      <c r="U207" s="147" t="s">
        <v>37</v>
      </c>
      <c r="V207" s="129"/>
      <c r="W207" s="147" t="s">
        <v>2213</v>
      </c>
      <c r="X207" s="215" t="s">
        <v>1009</v>
      </c>
      <c r="Y207" s="216">
        <v>1135.494777083333</v>
      </c>
      <c r="Z207" s="216">
        <v>1397.5320333333329</v>
      </c>
      <c r="AA207" s="263"/>
      <c r="AB207" s="305"/>
      <c r="AC207" s="285"/>
    </row>
    <row r="208" spans="1:29" s="182" customFormat="1" hidden="1" x14ac:dyDescent="0.25">
      <c r="A208" s="131">
        <v>1</v>
      </c>
      <c r="B208" s="136">
        <v>1108014</v>
      </c>
      <c r="C208" s="127" t="s">
        <v>30</v>
      </c>
      <c r="D208" s="129" t="s">
        <v>421</v>
      </c>
      <c r="E208" s="151" t="s">
        <v>46</v>
      </c>
      <c r="F208" s="129" t="s">
        <v>422</v>
      </c>
      <c r="G208" s="147" t="s">
        <v>34</v>
      </c>
      <c r="H208" s="191">
        <f t="shared" si="3"/>
        <v>1.9946999999999999</v>
      </c>
      <c r="I208" s="134"/>
      <c r="J208" s="150"/>
      <c r="K208" s="147"/>
      <c r="L208" s="147"/>
      <c r="M208" s="147">
        <v>8</v>
      </c>
      <c r="N208" s="289">
        <v>6000</v>
      </c>
      <c r="O208" s="196"/>
      <c r="P208" s="180"/>
      <c r="Q208" s="174">
        <v>1.599</v>
      </c>
      <c r="R208" s="205">
        <v>0.3957</v>
      </c>
      <c r="S208" s="165" t="s">
        <v>35</v>
      </c>
      <c r="T208" s="129" t="s">
        <v>36</v>
      </c>
      <c r="U208" s="147" t="s">
        <v>37</v>
      </c>
      <c r="V208" s="129"/>
      <c r="W208" s="177" t="s">
        <v>54</v>
      </c>
      <c r="X208" s="215"/>
      <c r="Y208" s="216">
        <v>0</v>
      </c>
      <c r="Z208" s="216">
        <v>0</v>
      </c>
      <c r="AA208" s="263"/>
      <c r="AB208" s="305"/>
      <c r="AC208" s="212"/>
    </row>
    <row r="209" spans="1:29" s="182" customFormat="1" hidden="1" x14ac:dyDescent="0.25">
      <c r="A209" s="131">
        <v>1</v>
      </c>
      <c r="B209" s="136">
        <v>1108015</v>
      </c>
      <c r="C209" s="127" t="s">
        <v>30</v>
      </c>
      <c r="D209" s="129" t="s">
        <v>425</v>
      </c>
      <c r="E209" s="151" t="s">
        <v>46</v>
      </c>
      <c r="F209" s="129" t="s">
        <v>426</v>
      </c>
      <c r="G209" s="147" t="s">
        <v>34</v>
      </c>
      <c r="H209" s="191">
        <f t="shared" si="3"/>
        <v>0</v>
      </c>
      <c r="I209" s="225"/>
      <c r="J209" s="149"/>
      <c r="K209" s="147">
        <v>11</v>
      </c>
      <c r="L209" s="147">
        <v>1</v>
      </c>
      <c r="M209" s="147">
        <v>12</v>
      </c>
      <c r="N209" s="289">
        <v>55</v>
      </c>
      <c r="O209" s="196"/>
      <c r="P209" s="180"/>
      <c r="Q209" s="174"/>
      <c r="R209" s="206">
        <v>0</v>
      </c>
      <c r="S209" s="168"/>
      <c r="T209" s="129" t="s">
        <v>36</v>
      </c>
      <c r="U209" s="147" t="s">
        <v>37</v>
      </c>
      <c r="V209" s="129"/>
      <c r="W209" s="163" t="s">
        <v>54</v>
      </c>
      <c r="X209" s="215"/>
      <c r="Y209" s="216">
        <v>0</v>
      </c>
      <c r="Z209" s="216">
        <v>0</v>
      </c>
      <c r="AA209" s="263"/>
      <c r="AB209" s="305"/>
      <c r="AC209" s="214"/>
    </row>
    <row r="210" spans="1:29" x14ac:dyDescent="0.25">
      <c r="A210" s="131">
        <v>1</v>
      </c>
      <c r="B210" s="136">
        <v>1108016</v>
      </c>
      <c r="C210" s="127" t="s">
        <v>30</v>
      </c>
      <c r="D210" s="129" t="s">
        <v>1680</v>
      </c>
      <c r="E210" s="151" t="s">
        <v>46</v>
      </c>
      <c r="F210" s="129" t="s">
        <v>307</v>
      </c>
      <c r="G210" s="147" t="s">
        <v>34</v>
      </c>
      <c r="H210" s="191">
        <f t="shared" si="3"/>
        <v>2.0089999999999999</v>
      </c>
      <c r="I210" s="222" t="s">
        <v>2084</v>
      </c>
      <c r="J210" s="146">
        <v>0</v>
      </c>
      <c r="K210" s="147">
        <v>5</v>
      </c>
      <c r="L210" s="147">
        <v>2</v>
      </c>
      <c r="M210" s="147">
        <v>7</v>
      </c>
      <c r="N210" s="289">
        <v>5600</v>
      </c>
      <c r="O210" s="174">
        <f>1.932+0.05</f>
        <v>1.982</v>
      </c>
      <c r="P210" s="180">
        <v>46149</v>
      </c>
      <c r="Q210" s="174">
        <v>1.9590000000000001</v>
      </c>
      <c r="R210" s="205">
        <v>0.05</v>
      </c>
      <c r="S210" s="165"/>
      <c r="T210" s="129" t="s">
        <v>36</v>
      </c>
      <c r="U210" s="147" t="s">
        <v>37</v>
      </c>
      <c r="V210" s="129"/>
      <c r="W210" s="147" t="s">
        <v>2213</v>
      </c>
      <c r="X210" s="215" t="s">
        <v>1009</v>
      </c>
      <c r="Y210" s="216">
        <v>5082.4618541666678</v>
      </c>
      <c r="Z210" s="216">
        <v>6607.2004104166681</v>
      </c>
      <c r="AA210" s="263"/>
      <c r="AB210" s="305"/>
    </row>
    <row r="211" spans="1:29" ht="24" x14ac:dyDescent="0.25">
      <c r="A211" s="131">
        <v>1</v>
      </c>
      <c r="B211" s="136">
        <v>1108017</v>
      </c>
      <c r="C211" s="127" t="s">
        <v>30</v>
      </c>
      <c r="D211" s="137" t="s">
        <v>428</v>
      </c>
      <c r="E211" s="151" t="s">
        <v>46</v>
      </c>
      <c r="F211" s="129" t="s">
        <v>307</v>
      </c>
      <c r="G211" s="147" t="s">
        <v>34</v>
      </c>
      <c r="H211" s="191">
        <f t="shared" si="3"/>
        <v>2.15</v>
      </c>
      <c r="I211" s="222" t="s">
        <v>2228</v>
      </c>
      <c r="J211" s="146">
        <v>30</v>
      </c>
      <c r="K211" s="147">
        <v>9</v>
      </c>
      <c r="L211" s="147">
        <v>1</v>
      </c>
      <c r="M211" s="147">
        <v>10</v>
      </c>
      <c r="N211" s="289">
        <v>6400</v>
      </c>
      <c r="O211" s="174">
        <v>2.52</v>
      </c>
      <c r="P211" s="180">
        <v>46041</v>
      </c>
      <c r="Q211" s="174">
        <v>2.1</v>
      </c>
      <c r="R211" s="207">
        <v>0.05</v>
      </c>
      <c r="S211" s="165" t="s">
        <v>35</v>
      </c>
      <c r="T211" s="129" t="s">
        <v>36</v>
      </c>
      <c r="U211" s="147" t="s">
        <v>37</v>
      </c>
      <c r="V211" s="129"/>
      <c r="W211" s="147" t="s">
        <v>2213</v>
      </c>
      <c r="X211" s="215" t="s">
        <v>1009</v>
      </c>
      <c r="Y211" s="216">
        <v>276.07558333333327</v>
      </c>
      <c r="Z211" s="216">
        <v>339.78533333333326</v>
      </c>
      <c r="AA211" s="263"/>
      <c r="AB211" s="305"/>
      <c r="AC211" s="285"/>
    </row>
    <row r="212" spans="1:29" s="182" customFormat="1" hidden="1" x14ac:dyDescent="0.25">
      <c r="A212" s="131">
        <v>1</v>
      </c>
      <c r="B212" s="136">
        <v>1108018</v>
      </c>
      <c r="C212" s="127" t="s">
        <v>30</v>
      </c>
      <c r="D212" s="129" t="s">
        <v>429</v>
      </c>
      <c r="E212" s="151" t="s">
        <v>46</v>
      </c>
      <c r="F212" s="129" t="s">
        <v>426</v>
      </c>
      <c r="G212" s="147" t="s">
        <v>34</v>
      </c>
      <c r="H212" s="191">
        <f t="shared" si="3"/>
        <v>0</v>
      </c>
      <c r="I212" s="225"/>
      <c r="J212" s="149"/>
      <c r="K212" s="147"/>
      <c r="L212" s="147"/>
      <c r="M212" s="147">
        <v>3</v>
      </c>
      <c r="N212" s="289">
        <v>2000</v>
      </c>
      <c r="O212" s="196"/>
      <c r="P212" s="180"/>
      <c r="Q212" s="174"/>
      <c r="R212" s="206">
        <v>0</v>
      </c>
      <c r="S212" s="168"/>
      <c r="T212" s="129" t="s">
        <v>36</v>
      </c>
      <c r="U212" s="147" t="s">
        <v>37</v>
      </c>
      <c r="V212" s="129"/>
      <c r="W212" s="163" t="s">
        <v>54</v>
      </c>
      <c r="X212" s="215"/>
      <c r="Y212" s="216">
        <v>0</v>
      </c>
      <c r="Z212" s="216">
        <v>0</v>
      </c>
      <c r="AA212" s="263"/>
      <c r="AB212" s="305"/>
      <c r="AC212" s="214"/>
    </row>
    <row r="213" spans="1:29" hidden="1" x14ac:dyDescent="0.25">
      <c r="A213" s="131">
        <v>1</v>
      </c>
      <c r="B213" s="136">
        <v>1108020</v>
      </c>
      <c r="C213" s="127" t="s">
        <v>30</v>
      </c>
      <c r="D213" s="129" t="s">
        <v>430</v>
      </c>
      <c r="E213" s="151" t="s">
        <v>46</v>
      </c>
      <c r="F213" s="129" t="s">
        <v>1788</v>
      </c>
      <c r="G213" s="147" t="s">
        <v>34</v>
      </c>
      <c r="H213" s="191">
        <f t="shared" si="3"/>
        <v>4.63</v>
      </c>
      <c r="I213" s="181" t="s">
        <v>2084</v>
      </c>
      <c r="J213" s="146">
        <v>0</v>
      </c>
      <c r="K213" s="147">
        <v>8</v>
      </c>
      <c r="L213" s="147">
        <v>2</v>
      </c>
      <c r="M213" s="147">
        <v>10</v>
      </c>
      <c r="N213" s="289">
        <v>165</v>
      </c>
      <c r="O213" s="196"/>
      <c r="P213" s="180"/>
      <c r="Q213" s="174">
        <v>2.78</v>
      </c>
      <c r="R213" s="205">
        <v>1.85</v>
      </c>
      <c r="S213" s="165"/>
      <c r="T213" s="129" t="s">
        <v>36</v>
      </c>
      <c r="U213" s="147" t="s">
        <v>37</v>
      </c>
      <c r="V213" s="129"/>
      <c r="W213" s="177" t="s">
        <v>54</v>
      </c>
      <c r="X213" s="215"/>
      <c r="Y213" s="216">
        <v>0</v>
      </c>
      <c r="Z213" s="216">
        <v>0</v>
      </c>
      <c r="AA213" s="263"/>
      <c r="AB213" s="305"/>
    </row>
    <row r="214" spans="1:29" hidden="1" x14ac:dyDescent="0.25">
      <c r="A214" s="131">
        <v>1</v>
      </c>
      <c r="B214" s="136">
        <v>1108021</v>
      </c>
      <c r="C214" s="127" t="s">
        <v>30</v>
      </c>
      <c r="D214" s="127" t="s">
        <v>431</v>
      </c>
      <c r="E214" s="151" t="s">
        <v>432</v>
      </c>
      <c r="F214" s="129" t="s">
        <v>1748</v>
      </c>
      <c r="G214" s="147" t="s">
        <v>34</v>
      </c>
      <c r="H214" s="191">
        <f t="shared" si="3"/>
        <v>10.42</v>
      </c>
      <c r="I214" s="134" t="s">
        <v>2084</v>
      </c>
      <c r="J214" s="146">
        <v>0</v>
      </c>
      <c r="K214" s="147">
        <v>8</v>
      </c>
      <c r="L214" s="147">
        <v>2</v>
      </c>
      <c r="M214" s="147">
        <v>10</v>
      </c>
      <c r="N214" s="289">
        <v>200</v>
      </c>
      <c r="O214" s="195"/>
      <c r="P214" s="180">
        <v>44817</v>
      </c>
      <c r="Q214" s="174">
        <v>10.37</v>
      </c>
      <c r="R214" s="205">
        <v>0.05</v>
      </c>
      <c r="S214" s="165"/>
      <c r="T214" s="129" t="s">
        <v>1681</v>
      </c>
      <c r="U214" s="147" t="s">
        <v>37</v>
      </c>
      <c r="V214" s="129"/>
      <c r="W214" s="177" t="s">
        <v>54</v>
      </c>
      <c r="X214" s="215" t="s">
        <v>1913</v>
      </c>
      <c r="Y214" s="216">
        <v>0</v>
      </c>
      <c r="Z214" s="216">
        <v>0</v>
      </c>
      <c r="AA214" s="263"/>
      <c r="AB214" s="305"/>
    </row>
    <row r="215" spans="1:29" x14ac:dyDescent="0.25">
      <c r="A215" s="131">
        <v>1</v>
      </c>
      <c r="B215" s="136">
        <v>1108022</v>
      </c>
      <c r="C215" s="127" t="s">
        <v>30</v>
      </c>
      <c r="D215" s="127" t="s">
        <v>435</v>
      </c>
      <c r="E215" s="151" t="s">
        <v>436</v>
      </c>
      <c r="F215" s="129" t="s">
        <v>1788</v>
      </c>
      <c r="G215" s="147" t="s">
        <v>34</v>
      </c>
      <c r="H215" s="191">
        <f t="shared" si="3"/>
        <v>16.63</v>
      </c>
      <c r="I215" s="235" t="s">
        <v>2084</v>
      </c>
      <c r="J215" s="146">
        <v>0</v>
      </c>
      <c r="K215" s="147">
        <v>9</v>
      </c>
      <c r="L215" s="147">
        <v>1</v>
      </c>
      <c r="M215" s="147">
        <v>10</v>
      </c>
      <c r="N215" s="289">
        <v>176</v>
      </c>
      <c r="O215" s="195">
        <v>15.63</v>
      </c>
      <c r="P215" s="180">
        <v>45806</v>
      </c>
      <c r="Q215" s="174">
        <v>16.579999999999998</v>
      </c>
      <c r="R215" s="205">
        <v>0.05</v>
      </c>
      <c r="S215" s="165"/>
      <c r="T215" s="129" t="s">
        <v>36</v>
      </c>
      <c r="U215" s="147" t="s">
        <v>37</v>
      </c>
      <c r="V215" s="129"/>
      <c r="W215" s="147" t="s">
        <v>2213</v>
      </c>
      <c r="X215" s="215" t="s">
        <v>1856</v>
      </c>
      <c r="Y215" s="216">
        <v>42.514499999999998</v>
      </c>
      <c r="Z215" s="216">
        <v>60.734999999999992</v>
      </c>
      <c r="AA215" s="263"/>
      <c r="AB215" s="305"/>
    </row>
    <row r="216" spans="1:29" x14ac:dyDescent="0.25">
      <c r="A216" s="131">
        <v>1</v>
      </c>
      <c r="B216" s="136">
        <v>1108023</v>
      </c>
      <c r="C216" s="127" t="s">
        <v>30</v>
      </c>
      <c r="D216" s="127" t="s">
        <v>437</v>
      </c>
      <c r="E216" s="151" t="s">
        <v>438</v>
      </c>
      <c r="F216" s="129" t="s">
        <v>1791</v>
      </c>
      <c r="G216" s="147" t="s">
        <v>34</v>
      </c>
      <c r="H216" s="191">
        <f t="shared" si="3"/>
        <v>6.3199999999999994</v>
      </c>
      <c r="I216" s="235" t="s">
        <v>2084</v>
      </c>
      <c r="J216" s="146">
        <v>30</v>
      </c>
      <c r="K216" s="147">
        <v>8</v>
      </c>
      <c r="L216" s="147">
        <v>2</v>
      </c>
      <c r="M216" s="147">
        <v>10</v>
      </c>
      <c r="N216" s="289">
        <v>551</v>
      </c>
      <c r="O216" s="195">
        <v>7.59</v>
      </c>
      <c r="P216" s="180">
        <v>46114</v>
      </c>
      <c r="Q216" s="174">
        <v>6.27</v>
      </c>
      <c r="R216" s="205">
        <v>0.05</v>
      </c>
      <c r="S216" s="165"/>
      <c r="T216" s="129" t="s">
        <v>36</v>
      </c>
      <c r="U216" s="147" t="s">
        <v>37</v>
      </c>
      <c r="V216" s="129"/>
      <c r="W216" s="147" t="s">
        <v>2213</v>
      </c>
      <c r="X216" s="215" t="s">
        <v>1009</v>
      </c>
      <c r="Y216" s="216">
        <v>128.91666666666666</v>
      </c>
      <c r="Z216" s="216">
        <v>158.66666666666666</v>
      </c>
      <c r="AA216" s="263"/>
      <c r="AB216" s="305"/>
    </row>
    <row r="217" spans="1:29" ht="24" x14ac:dyDescent="0.25">
      <c r="A217" s="131">
        <v>1</v>
      </c>
      <c r="B217" s="136">
        <v>1108024</v>
      </c>
      <c r="C217" s="127" t="s">
        <v>30</v>
      </c>
      <c r="D217" s="127" t="s">
        <v>442</v>
      </c>
      <c r="E217" s="151" t="s">
        <v>432</v>
      </c>
      <c r="F217" s="129" t="s">
        <v>47</v>
      </c>
      <c r="G217" s="147" t="s">
        <v>34</v>
      </c>
      <c r="H217" s="191">
        <f t="shared" si="3"/>
        <v>3.18</v>
      </c>
      <c r="I217" s="222" t="s">
        <v>2228</v>
      </c>
      <c r="J217" s="146">
        <v>30</v>
      </c>
      <c r="K217" s="147">
        <v>9</v>
      </c>
      <c r="L217" s="147">
        <v>1</v>
      </c>
      <c r="M217" s="147">
        <v>10</v>
      </c>
      <c r="N217" s="289">
        <v>6400</v>
      </c>
      <c r="O217" s="195">
        <v>2.21</v>
      </c>
      <c r="P217" s="180">
        <v>44974</v>
      </c>
      <c r="Q217" s="174">
        <v>3.18</v>
      </c>
      <c r="R217" s="205">
        <v>0</v>
      </c>
      <c r="S217" s="165" t="s">
        <v>35</v>
      </c>
      <c r="T217" s="129" t="s">
        <v>36</v>
      </c>
      <c r="U217" s="147" t="s">
        <v>37</v>
      </c>
      <c r="V217" s="129"/>
      <c r="W217" s="147" t="s">
        <v>2213</v>
      </c>
      <c r="X217" s="215" t="s">
        <v>1906</v>
      </c>
      <c r="Y217" s="216">
        <v>0</v>
      </c>
      <c r="Z217" s="216">
        <v>0</v>
      </c>
      <c r="AA217" s="263"/>
      <c r="AB217" s="305"/>
    </row>
    <row r="218" spans="1:29" s="182" customFormat="1" hidden="1" x14ac:dyDescent="0.25">
      <c r="A218" s="131">
        <v>1</v>
      </c>
      <c r="B218" s="136">
        <v>1108025</v>
      </c>
      <c r="C218" s="127" t="s">
        <v>30</v>
      </c>
      <c r="D218" s="129" t="s">
        <v>443</v>
      </c>
      <c r="E218" s="151" t="s">
        <v>146</v>
      </c>
      <c r="F218" s="129" t="s">
        <v>444</v>
      </c>
      <c r="G218" s="147" t="s">
        <v>34</v>
      </c>
      <c r="H218" s="191">
        <f t="shared" si="3"/>
        <v>0</v>
      </c>
      <c r="I218" s="225"/>
      <c r="J218" s="149"/>
      <c r="K218" s="147"/>
      <c r="L218" s="147"/>
      <c r="M218" s="147">
        <v>4</v>
      </c>
      <c r="N218" s="289">
        <v>2000</v>
      </c>
      <c r="O218" s="196"/>
      <c r="P218" s="180"/>
      <c r="Q218" s="174"/>
      <c r="R218" s="206">
        <v>0</v>
      </c>
      <c r="S218" s="165" t="s">
        <v>35</v>
      </c>
      <c r="T218" s="129" t="s">
        <v>36</v>
      </c>
      <c r="U218" s="147" t="s">
        <v>37</v>
      </c>
      <c r="V218" s="129"/>
      <c r="W218" s="163" t="s">
        <v>54</v>
      </c>
      <c r="X218" s="215"/>
      <c r="Y218" s="216">
        <v>0</v>
      </c>
      <c r="Z218" s="216">
        <v>0</v>
      </c>
      <c r="AA218" s="263"/>
      <c r="AB218" s="305"/>
      <c r="AC218" s="214"/>
    </row>
    <row r="219" spans="1:29" hidden="1" x14ac:dyDescent="0.25">
      <c r="A219" s="131">
        <v>1</v>
      </c>
      <c r="B219" s="136">
        <v>1108026</v>
      </c>
      <c r="C219" s="127" t="s">
        <v>30</v>
      </c>
      <c r="D219" s="129" t="s">
        <v>446</v>
      </c>
      <c r="E219" s="151" t="s">
        <v>447</v>
      </c>
      <c r="F219" s="129" t="s">
        <v>307</v>
      </c>
      <c r="G219" s="147" t="s">
        <v>34</v>
      </c>
      <c r="H219" s="191">
        <f t="shared" si="3"/>
        <v>0</v>
      </c>
      <c r="I219" s="134" t="s">
        <v>2084</v>
      </c>
      <c r="J219" s="146">
        <v>0</v>
      </c>
      <c r="K219" s="147">
        <v>2</v>
      </c>
      <c r="L219" s="147">
        <v>2</v>
      </c>
      <c r="M219" s="147">
        <v>4</v>
      </c>
      <c r="N219" s="289">
        <v>6400</v>
      </c>
      <c r="O219" s="196"/>
      <c r="P219" s="180"/>
      <c r="Q219" s="174"/>
      <c r="R219" s="206">
        <v>0</v>
      </c>
      <c r="S219" s="165"/>
      <c r="T219" s="129" t="s">
        <v>162</v>
      </c>
      <c r="U219" s="147" t="s">
        <v>35</v>
      </c>
      <c r="V219" s="129"/>
      <c r="W219" s="163" t="s">
        <v>54</v>
      </c>
      <c r="X219" s="215"/>
      <c r="Y219" s="216">
        <v>0</v>
      </c>
      <c r="Z219" s="216">
        <v>0</v>
      </c>
      <c r="AA219" s="263"/>
      <c r="AB219" s="305"/>
    </row>
    <row r="220" spans="1:29" hidden="1" x14ac:dyDescent="0.25">
      <c r="A220" s="131">
        <v>1</v>
      </c>
      <c r="B220" s="136">
        <v>1108027</v>
      </c>
      <c r="C220" s="127" t="s">
        <v>30</v>
      </c>
      <c r="D220" s="129" t="s">
        <v>448</v>
      </c>
      <c r="E220" s="151" t="s">
        <v>127</v>
      </c>
      <c r="F220" s="129" t="s">
        <v>307</v>
      </c>
      <c r="G220" s="147" t="s">
        <v>34</v>
      </c>
      <c r="H220" s="191">
        <f t="shared" si="3"/>
        <v>0</v>
      </c>
      <c r="I220" s="134" t="s">
        <v>2084</v>
      </c>
      <c r="J220" s="146">
        <v>0</v>
      </c>
      <c r="K220" s="147">
        <v>2</v>
      </c>
      <c r="L220" s="147">
        <v>2</v>
      </c>
      <c r="M220" s="147">
        <v>4</v>
      </c>
      <c r="N220" s="289">
        <v>55</v>
      </c>
      <c r="O220" s="197">
        <v>15.519</v>
      </c>
      <c r="P220" s="180"/>
      <c r="Q220" s="174"/>
      <c r="R220" s="206">
        <v>0</v>
      </c>
      <c r="S220" s="165"/>
      <c r="T220" s="129" t="s">
        <v>36</v>
      </c>
      <c r="U220" s="147" t="s">
        <v>35</v>
      </c>
      <c r="V220" s="129"/>
      <c r="W220" s="163" t="s">
        <v>54</v>
      </c>
      <c r="X220" s="215"/>
      <c r="Y220" s="216">
        <v>0</v>
      </c>
      <c r="Z220" s="216">
        <v>0</v>
      </c>
      <c r="AA220" s="263"/>
      <c r="AB220" s="305"/>
    </row>
    <row r="221" spans="1:29" s="182" customFormat="1" hidden="1" x14ac:dyDescent="0.25">
      <c r="A221" s="131">
        <v>1</v>
      </c>
      <c r="B221" s="136">
        <v>1108028</v>
      </c>
      <c r="C221" s="127" t="s">
        <v>30</v>
      </c>
      <c r="D221" s="129" t="s">
        <v>449</v>
      </c>
      <c r="E221" s="151" t="s">
        <v>450</v>
      </c>
      <c r="F221" s="129" t="s">
        <v>276</v>
      </c>
      <c r="G221" s="147" t="s">
        <v>34</v>
      </c>
      <c r="H221" s="191">
        <f t="shared" si="3"/>
        <v>2.83</v>
      </c>
      <c r="I221" s="134"/>
      <c r="J221" s="150"/>
      <c r="K221" s="147"/>
      <c r="L221" s="147"/>
      <c r="M221" s="147">
        <v>7</v>
      </c>
      <c r="N221" s="289">
        <v>500</v>
      </c>
      <c r="O221" s="196"/>
      <c r="P221" s="180"/>
      <c r="Q221" s="174">
        <v>2.83</v>
      </c>
      <c r="R221" s="205">
        <v>0</v>
      </c>
      <c r="S221" s="165"/>
      <c r="T221" s="129" t="s">
        <v>102</v>
      </c>
      <c r="U221" s="147" t="s">
        <v>35</v>
      </c>
      <c r="V221" s="129"/>
      <c r="W221" s="177" t="s">
        <v>54</v>
      </c>
      <c r="X221" s="215"/>
      <c r="Y221" s="216">
        <v>0</v>
      </c>
      <c r="Z221" s="216">
        <v>0</v>
      </c>
      <c r="AA221" s="263"/>
      <c r="AB221" s="305"/>
      <c r="AC221" s="212"/>
    </row>
    <row r="222" spans="1:29" ht="24" hidden="1" x14ac:dyDescent="0.25">
      <c r="A222" s="131">
        <v>1</v>
      </c>
      <c r="B222" s="136">
        <v>1108029</v>
      </c>
      <c r="C222" s="127" t="s">
        <v>30</v>
      </c>
      <c r="D222" s="129" t="s">
        <v>451</v>
      </c>
      <c r="E222" s="147" t="s">
        <v>416</v>
      </c>
      <c r="F222" s="129" t="s">
        <v>164</v>
      </c>
      <c r="G222" s="147" t="s">
        <v>34</v>
      </c>
      <c r="H222" s="191">
        <f t="shared" si="3"/>
        <v>1.6133999999999999</v>
      </c>
      <c r="I222" s="222" t="s">
        <v>2226</v>
      </c>
      <c r="J222" s="146">
        <v>0</v>
      </c>
      <c r="K222" s="147">
        <v>8</v>
      </c>
      <c r="L222" s="147">
        <v>6</v>
      </c>
      <c r="M222" s="147">
        <v>14</v>
      </c>
      <c r="N222" s="289">
        <v>10000</v>
      </c>
      <c r="O222" s="196"/>
      <c r="P222" s="180">
        <v>45363</v>
      </c>
      <c r="Q222" s="178">
        <v>1.6133999999999999</v>
      </c>
      <c r="R222" s="205"/>
      <c r="S222" s="165" t="s">
        <v>35</v>
      </c>
      <c r="T222" s="129" t="s">
        <v>36</v>
      </c>
      <c r="U222" s="147" t="s">
        <v>37</v>
      </c>
      <c r="V222" s="129"/>
      <c r="W222" s="177" t="s">
        <v>54</v>
      </c>
      <c r="X222" s="215" t="s">
        <v>1920</v>
      </c>
      <c r="Y222" s="216">
        <v>0</v>
      </c>
      <c r="Z222" s="216">
        <v>0</v>
      </c>
      <c r="AA222" s="263"/>
      <c r="AB222" s="305"/>
    </row>
    <row r="223" spans="1:29" ht="24" x14ac:dyDescent="0.25">
      <c r="A223" s="131">
        <v>1</v>
      </c>
      <c r="B223" s="136">
        <v>1108030</v>
      </c>
      <c r="C223" s="127" t="s">
        <v>30</v>
      </c>
      <c r="D223" s="129" t="s">
        <v>1814</v>
      </c>
      <c r="E223" s="147" t="s">
        <v>2079</v>
      </c>
      <c r="F223" s="129" t="s">
        <v>164</v>
      </c>
      <c r="G223" s="147" t="s">
        <v>34</v>
      </c>
      <c r="H223" s="191">
        <f t="shared" si="3"/>
        <v>1.6593851851851851</v>
      </c>
      <c r="I223" s="222" t="s">
        <v>2226</v>
      </c>
      <c r="J223" s="146">
        <v>0</v>
      </c>
      <c r="K223" s="147">
        <v>8</v>
      </c>
      <c r="L223" s="147">
        <v>6</v>
      </c>
      <c r="M223" s="147">
        <v>15</v>
      </c>
      <c r="N223" s="289">
        <v>40500</v>
      </c>
      <c r="O223" s="195">
        <f>1.2102+0.1852</f>
        <v>1.3954</v>
      </c>
      <c r="P223" s="180">
        <v>46126</v>
      </c>
      <c r="Q223" s="178">
        <v>1.4742</v>
      </c>
      <c r="R223" s="205">
        <f>7500/N223</f>
        <v>0.18518518518518517</v>
      </c>
      <c r="S223" s="165" t="s">
        <v>35</v>
      </c>
      <c r="T223" s="129" t="s">
        <v>36</v>
      </c>
      <c r="U223" s="147" t="s">
        <v>37</v>
      </c>
      <c r="V223" s="129"/>
      <c r="W223" s="147" t="s">
        <v>2213</v>
      </c>
      <c r="X223" s="215" t="s">
        <v>1920</v>
      </c>
      <c r="Y223" s="216">
        <v>26451.934408333334</v>
      </c>
      <c r="Z223" s="216">
        <v>31119.922833333334</v>
      </c>
      <c r="AA223" s="263"/>
      <c r="AB223" s="305"/>
    </row>
    <row r="224" spans="1:29" s="182" customFormat="1" hidden="1" x14ac:dyDescent="0.25">
      <c r="A224" s="131">
        <v>1</v>
      </c>
      <c r="B224" s="136">
        <v>1108031</v>
      </c>
      <c r="C224" s="127" t="s">
        <v>30</v>
      </c>
      <c r="D224" s="129" t="s">
        <v>455</v>
      </c>
      <c r="E224" s="147" t="s">
        <v>416</v>
      </c>
      <c r="F224" s="129" t="s">
        <v>400</v>
      </c>
      <c r="G224" s="147" t="s">
        <v>34</v>
      </c>
      <c r="H224" s="191">
        <f t="shared" si="3"/>
        <v>4.5199999999999996</v>
      </c>
      <c r="I224" s="134"/>
      <c r="J224" s="150"/>
      <c r="K224" s="147"/>
      <c r="L224" s="147"/>
      <c r="M224" s="147">
        <v>6</v>
      </c>
      <c r="N224" s="289"/>
      <c r="O224" s="196"/>
      <c r="P224" s="180"/>
      <c r="Q224" s="174">
        <v>4.5199999999999996</v>
      </c>
      <c r="R224" s="205"/>
      <c r="S224" s="165" t="s">
        <v>35</v>
      </c>
      <c r="T224" s="129" t="s">
        <v>261</v>
      </c>
      <c r="U224" s="147" t="s">
        <v>35</v>
      </c>
      <c r="V224" s="129"/>
      <c r="W224" s="177" t="s">
        <v>54</v>
      </c>
      <c r="X224" s="215"/>
      <c r="Y224" s="216">
        <v>0</v>
      </c>
      <c r="Z224" s="216">
        <v>0</v>
      </c>
      <c r="AA224" s="263"/>
      <c r="AB224" s="305"/>
      <c r="AC224" s="212"/>
    </row>
    <row r="225" spans="1:29" hidden="1" x14ac:dyDescent="0.25">
      <c r="A225" s="131">
        <v>1</v>
      </c>
      <c r="B225" s="136">
        <v>1108032</v>
      </c>
      <c r="C225" s="127" t="s">
        <v>30</v>
      </c>
      <c r="D225" s="129" t="s">
        <v>456</v>
      </c>
      <c r="E225" s="147" t="s">
        <v>416</v>
      </c>
      <c r="F225" s="129" t="s">
        <v>1791</v>
      </c>
      <c r="G225" s="147" t="s">
        <v>34</v>
      </c>
      <c r="H225" s="191">
        <f t="shared" si="3"/>
        <v>10.64</v>
      </c>
      <c r="I225" s="181" t="s">
        <v>2084</v>
      </c>
      <c r="J225" s="146">
        <v>30</v>
      </c>
      <c r="K225" s="147">
        <v>8</v>
      </c>
      <c r="L225" s="147">
        <v>2</v>
      </c>
      <c r="M225" s="147">
        <v>10</v>
      </c>
      <c r="N225" s="289">
        <v>55</v>
      </c>
      <c r="O225" s="196"/>
      <c r="P225" s="180"/>
      <c r="Q225" s="174">
        <v>10.64</v>
      </c>
      <c r="R225" s="205">
        <v>0</v>
      </c>
      <c r="S225" s="165"/>
      <c r="T225" s="129" t="s">
        <v>102</v>
      </c>
      <c r="U225" s="147" t="s">
        <v>35</v>
      </c>
      <c r="V225" s="129"/>
      <c r="W225" s="177" t="s">
        <v>54</v>
      </c>
      <c r="X225" s="215"/>
      <c r="Y225" s="216">
        <v>0</v>
      </c>
      <c r="Z225" s="216">
        <v>0</v>
      </c>
      <c r="AA225" s="263"/>
      <c r="AB225" s="305"/>
    </row>
    <row r="226" spans="1:29" hidden="1" x14ac:dyDescent="0.25">
      <c r="A226" s="131">
        <v>1</v>
      </c>
      <c r="B226" s="136">
        <v>1108033</v>
      </c>
      <c r="C226" s="127" t="s">
        <v>30</v>
      </c>
      <c r="D226" s="155" t="s">
        <v>1661</v>
      </c>
      <c r="E226" s="147" t="s">
        <v>416</v>
      </c>
      <c r="F226" s="129" t="s">
        <v>1791</v>
      </c>
      <c r="G226" s="147" t="s">
        <v>34</v>
      </c>
      <c r="H226" s="191">
        <f t="shared" si="3"/>
        <v>7.08</v>
      </c>
      <c r="I226" s="181" t="s">
        <v>2084</v>
      </c>
      <c r="J226" s="146">
        <v>30</v>
      </c>
      <c r="K226" s="147">
        <v>8</v>
      </c>
      <c r="L226" s="147">
        <v>2</v>
      </c>
      <c r="M226" s="147">
        <v>10</v>
      </c>
      <c r="N226" s="289">
        <v>1102</v>
      </c>
      <c r="O226" s="196"/>
      <c r="P226" s="180">
        <v>44684</v>
      </c>
      <c r="Q226" s="174">
        <v>7.08</v>
      </c>
      <c r="R226" s="205">
        <v>0</v>
      </c>
      <c r="S226" s="165"/>
      <c r="T226" s="129" t="s">
        <v>102</v>
      </c>
      <c r="U226" s="147" t="s">
        <v>35</v>
      </c>
      <c r="V226" s="129"/>
      <c r="W226" s="177" t="s">
        <v>54</v>
      </c>
      <c r="X226" s="215"/>
      <c r="Y226" s="216">
        <v>0</v>
      </c>
      <c r="Z226" s="216">
        <v>0</v>
      </c>
      <c r="AA226" s="263"/>
      <c r="AB226" s="305"/>
    </row>
    <row r="227" spans="1:29" s="182" customFormat="1" ht="24" hidden="1" x14ac:dyDescent="0.25">
      <c r="A227" s="131">
        <v>1</v>
      </c>
      <c r="B227" s="136">
        <v>1108034</v>
      </c>
      <c r="C227" s="127" t="s">
        <v>30</v>
      </c>
      <c r="D227" s="127" t="s">
        <v>458</v>
      </c>
      <c r="E227" s="147" t="s">
        <v>416</v>
      </c>
      <c r="F227" s="136" t="s">
        <v>1981</v>
      </c>
      <c r="G227" s="147" t="s">
        <v>34</v>
      </c>
      <c r="H227" s="191">
        <f t="shared" si="3"/>
        <v>0</v>
      </c>
      <c r="I227" s="222" t="s">
        <v>2228</v>
      </c>
      <c r="J227" s="149"/>
      <c r="K227" s="147"/>
      <c r="L227" s="147"/>
      <c r="M227" s="147">
        <v>10</v>
      </c>
      <c r="N227" s="289">
        <v>55</v>
      </c>
      <c r="O227" s="196"/>
      <c r="P227" s="180"/>
      <c r="Q227" s="174"/>
      <c r="R227" s="206">
        <v>0</v>
      </c>
      <c r="S227" s="165"/>
      <c r="T227" s="129" t="s">
        <v>64</v>
      </c>
      <c r="U227" s="147" t="s">
        <v>37</v>
      </c>
      <c r="V227" s="129"/>
      <c r="W227" s="163" t="s">
        <v>54</v>
      </c>
      <c r="X227" s="215"/>
      <c r="Y227" s="216">
        <v>0</v>
      </c>
      <c r="Z227" s="216">
        <v>0</v>
      </c>
      <c r="AA227" s="263"/>
      <c r="AB227" s="305"/>
      <c r="AC227" s="214"/>
    </row>
    <row r="228" spans="1:29" hidden="1" x14ac:dyDescent="0.25">
      <c r="A228" s="131">
        <v>1</v>
      </c>
      <c r="B228" s="136">
        <v>1108035</v>
      </c>
      <c r="C228" s="127" t="s">
        <v>30</v>
      </c>
      <c r="D228" s="127" t="s">
        <v>459</v>
      </c>
      <c r="E228" s="147" t="s">
        <v>416</v>
      </c>
      <c r="F228" s="129" t="s">
        <v>1791</v>
      </c>
      <c r="G228" s="147" t="s">
        <v>34</v>
      </c>
      <c r="H228" s="191">
        <f t="shared" si="3"/>
        <v>6.62</v>
      </c>
      <c r="I228" s="181" t="s">
        <v>2084</v>
      </c>
      <c r="J228" s="146">
        <v>30</v>
      </c>
      <c r="K228" s="147">
        <v>8</v>
      </c>
      <c r="L228" s="147">
        <v>2</v>
      </c>
      <c r="M228" s="147">
        <v>10</v>
      </c>
      <c r="N228" s="289">
        <v>1102</v>
      </c>
      <c r="O228" s="196"/>
      <c r="P228" s="180">
        <v>44684</v>
      </c>
      <c r="Q228" s="174">
        <v>6.62</v>
      </c>
      <c r="R228" s="205"/>
      <c r="S228" s="165"/>
      <c r="T228" s="129" t="s">
        <v>261</v>
      </c>
      <c r="U228" s="147" t="s">
        <v>35</v>
      </c>
      <c r="V228" s="129"/>
      <c r="W228" s="177" t="s">
        <v>54</v>
      </c>
      <c r="X228" s="215"/>
      <c r="Y228" s="216">
        <v>0</v>
      </c>
      <c r="Z228" s="216">
        <v>0</v>
      </c>
      <c r="AA228" s="263"/>
      <c r="AB228" s="305"/>
    </row>
    <row r="229" spans="1:29" ht="24" x14ac:dyDescent="0.25">
      <c r="A229" s="131">
        <v>1</v>
      </c>
      <c r="B229" s="136">
        <v>1108036</v>
      </c>
      <c r="C229" s="127" t="s">
        <v>30</v>
      </c>
      <c r="D229" s="127" t="s">
        <v>460</v>
      </c>
      <c r="E229" s="147" t="s">
        <v>46</v>
      </c>
      <c r="F229" s="129" t="s">
        <v>47</v>
      </c>
      <c r="G229" s="147" t="s">
        <v>34</v>
      </c>
      <c r="H229" s="191">
        <f t="shared" si="3"/>
        <v>2.91</v>
      </c>
      <c r="I229" s="222" t="s">
        <v>2228</v>
      </c>
      <c r="J229" s="146">
        <v>30</v>
      </c>
      <c r="K229" s="147">
        <v>9</v>
      </c>
      <c r="L229" s="147">
        <v>1</v>
      </c>
      <c r="M229" s="147">
        <v>10</v>
      </c>
      <c r="N229" s="289">
        <v>6400</v>
      </c>
      <c r="O229" s="195"/>
      <c r="P229" s="180">
        <v>44974</v>
      </c>
      <c r="Q229" s="174">
        <v>2.91</v>
      </c>
      <c r="R229" s="205">
        <v>0</v>
      </c>
      <c r="S229" s="165" t="s">
        <v>35</v>
      </c>
      <c r="T229" s="129" t="s">
        <v>36</v>
      </c>
      <c r="U229" s="147" t="s">
        <v>37</v>
      </c>
      <c r="V229" s="129"/>
      <c r="W229" s="147" t="s">
        <v>2213</v>
      </c>
      <c r="X229" s="215" t="s">
        <v>1009</v>
      </c>
      <c r="Y229" s="216">
        <v>65.616145833333377</v>
      </c>
      <c r="Z229" s="216">
        <v>80.758333333333383</v>
      </c>
      <c r="AA229" s="263"/>
      <c r="AB229" s="305"/>
    </row>
    <row r="230" spans="1:29" hidden="1" x14ac:dyDescent="0.25">
      <c r="A230" s="131">
        <v>1</v>
      </c>
      <c r="B230" s="136">
        <v>1108037</v>
      </c>
      <c r="C230" s="127" t="s">
        <v>30</v>
      </c>
      <c r="D230" s="127" t="s">
        <v>464</v>
      </c>
      <c r="E230" s="151" t="s">
        <v>49</v>
      </c>
      <c r="F230" s="129" t="s">
        <v>1791</v>
      </c>
      <c r="G230" s="147" t="s">
        <v>34</v>
      </c>
      <c r="H230" s="191">
        <f t="shared" si="3"/>
        <v>6.5</v>
      </c>
      <c r="I230" s="181" t="s">
        <v>2084</v>
      </c>
      <c r="J230" s="146">
        <v>30</v>
      </c>
      <c r="K230" s="147">
        <v>8</v>
      </c>
      <c r="L230" s="147">
        <v>2</v>
      </c>
      <c r="M230" s="147">
        <v>10</v>
      </c>
      <c r="N230" s="289">
        <v>55</v>
      </c>
      <c r="O230" s="196"/>
      <c r="P230" s="180"/>
      <c r="Q230" s="174">
        <v>6.47</v>
      </c>
      <c r="R230" s="205">
        <v>0.03</v>
      </c>
      <c r="S230" s="165"/>
      <c r="T230" s="129" t="s">
        <v>64</v>
      </c>
      <c r="U230" s="147" t="s">
        <v>37</v>
      </c>
      <c r="V230" s="129"/>
      <c r="W230" s="177" t="s">
        <v>54</v>
      </c>
      <c r="X230" s="215"/>
      <c r="Y230" s="216">
        <v>0</v>
      </c>
      <c r="Z230" s="216">
        <v>0</v>
      </c>
      <c r="AA230" s="263"/>
      <c r="AB230" s="305"/>
    </row>
    <row r="231" spans="1:29" ht="24" hidden="1" x14ac:dyDescent="0.25">
      <c r="A231" s="131">
        <v>1</v>
      </c>
      <c r="B231" s="136">
        <v>1108038</v>
      </c>
      <c r="C231" s="127" t="s">
        <v>30</v>
      </c>
      <c r="D231" s="127" t="s">
        <v>465</v>
      </c>
      <c r="E231" s="151" t="s">
        <v>466</v>
      </c>
      <c r="F231" s="129" t="s">
        <v>47</v>
      </c>
      <c r="G231" s="147" t="s">
        <v>34</v>
      </c>
      <c r="H231" s="191">
        <f t="shared" si="3"/>
        <v>2.94</v>
      </c>
      <c r="I231" s="222" t="s">
        <v>2228</v>
      </c>
      <c r="J231" s="146">
        <v>30</v>
      </c>
      <c r="K231" s="147">
        <v>9</v>
      </c>
      <c r="L231" s="147">
        <v>1</v>
      </c>
      <c r="M231" s="147">
        <v>10</v>
      </c>
      <c r="N231" s="289">
        <v>6400</v>
      </c>
      <c r="O231" s="196"/>
      <c r="P231" s="180"/>
      <c r="Q231" s="174">
        <v>2.94</v>
      </c>
      <c r="R231" s="205">
        <v>0</v>
      </c>
      <c r="S231" s="165" t="s">
        <v>35</v>
      </c>
      <c r="T231" s="129" t="s">
        <v>36</v>
      </c>
      <c r="U231" s="147" t="s">
        <v>37</v>
      </c>
      <c r="V231" s="129"/>
      <c r="W231" s="177" t="s">
        <v>54</v>
      </c>
      <c r="X231" s="215"/>
      <c r="Y231" s="216">
        <v>0</v>
      </c>
      <c r="Z231" s="216">
        <v>0</v>
      </c>
      <c r="AA231" s="263"/>
      <c r="AB231" s="305"/>
    </row>
    <row r="232" spans="1:29" hidden="1" x14ac:dyDescent="0.25">
      <c r="A232" s="131">
        <v>1</v>
      </c>
      <c r="B232" s="136">
        <v>1108039</v>
      </c>
      <c r="C232" s="127" t="s">
        <v>30</v>
      </c>
      <c r="D232" s="127" t="s">
        <v>467</v>
      </c>
      <c r="E232" s="151" t="s">
        <v>49</v>
      </c>
      <c r="F232" s="129" t="s">
        <v>1791</v>
      </c>
      <c r="G232" s="147" t="s">
        <v>34</v>
      </c>
      <c r="H232" s="191">
        <f t="shared" si="3"/>
        <v>6.6470000000000002</v>
      </c>
      <c r="I232" s="181" t="s">
        <v>2084</v>
      </c>
      <c r="J232" s="146">
        <v>30</v>
      </c>
      <c r="K232" s="147">
        <v>8</v>
      </c>
      <c r="L232" s="147">
        <v>2</v>
      </c>
      <c r="M232" s="147">
        <v>10</v>
      </c>
      <c r="N232" s="289">
        <v>1102</v>
      </c>
      <c r="O232" s="196"/>
      <c r="P232" s="180">
        <v>44684</v>
      </c>
      <c r="Q232" s="174">
        <v>6.62</v>
      </c>
      <c r="R232" s="205">
        <v>2.7E-2</v>
      </c>
      <c r="S232" s="165"/>
      <c r="T232" s="129" t="s">
        <v>468</v>
      </c>
      <c r="U232" s="147" t="s">
        <v>37</v>
      </c>
      <c r="V232" s="129"/>
      <c r="W232" s="177" t="s">
        <v>54</v>
      </c>
      <c r="X232" s="215"/>
      <c r="Y232" s="216">
        <v>0</v>
      </c>
      <c r="Z232" s="216">
        <v>0</v>
      </c>
      <c r="AA232" s="263"/>
      <c r="AB232" s="305"/>
    </row>
    <row r="233" spans="1:29" ht="24" x14ac:dyDescent="0.25">
      <c r="A233" s="131">
        <v>1</v>
      </c>
      <c r="B233" s="136">
        <v>1108040</v>
      </c>
      <c r="C233" s="127" t="s">
        <v>30</v>
      </c>
      <c r="D233" s="127" t="s">
        <v>469</v>
      </c>
      <c r="E233" s="151" t="s">
        <v>49</v>
      </c>
      <c r="F233" s="129" t="s">
        <v>47</v>
      </c>
      <c r="G233" s="147" t="s">
        <v>34</v>
      </c>
      <c r="H233" s="191">
        <f t="shared" si="3"/>
        <v>13.13</v>
      </c>
      <c r="I233" s="222" t="s">
        <v>2228</v>
      </c>
      <c r="J233" s="146">
        <v>30</v>
      </c>
      <c r="K233" s="147">
        <v>9</v>
      </c>
      <c r="L233" s="147">
        <v>1</v>
      </c>
      <c r="M233" s="147">
        <v>10</v>
      </c>
      <c r="N233" s="289">
        <v>6400</v>
      </c>
      <c r="O233" s="195">
        <v>12.99</v>
      </c>
      <c r="P233" s="180">
        <v>44971</v>
      </c>
      <c r="Q233" s="174">
        <v>13.13</v>
      </c>
      <c r="R233" s="205">
        <v>0</v>
      </c>
      <c r="S233" s="165" t="s">
        <v>35</v>
      </c>
      <c r="T233" s="129" t="s">
        <v>36</v>
      </c>
      <c r="U233" s="147" t="s">
        <v>37</v>
      </c>
      <c r="V233" s="129"/>
      <c r="W233" s="147" t="s">
        <v>2213</v>
      </c>
      <c r="X233" s="215" t="s">
        <v>1906</v>
      </c>
      <c r="Y233" s="216">
        <v>0</v>
      </c>
      <c r="Z233" s="216">
        <v>0</v>
      </c>
      <c r="AA233" s="263"/>
      <c r="AB233" s="305"/>
    </row>
    <row r="234" spans="1:29" hidden="1" x14ac:dyDescent="0.25">
      <c r="A234" s="131">
        <v>1</v>
      </c>
      <c r="B234" s="136">
        <v>1108041</v>
      </c>
      <c r="C234" s="127" t="s">
        <v>30</v>
      </c>
      <c r="D234" s="127" t="s">
        <v>470</v>
      </c>
      <c r="E234" s="151" t="s">
        <v>471</v>
      </c>
      <c r="F234" s="129" t="s">
        <v>323</v>
      </c>
      <c r="G234" s="147" t="s">
        <v>34</v>
      </c>
      <c r="H234" s="191">
        <f t="shared" si="3"/>
        <v>2.74</v>
      </c>
      <c r="I234" s="134" t="s">
        <v>2084</v>
      </c>
      <c r="J234" s="146">
        <v>30</v>
      </c>
      <c r="K234" s="147">
        <v>2</v>
      </c>
      <c r="L234" s="147">
        <v>2</v>
      </c>
      <c r="M234" s="147">
        <v>4</v>
      </c>
      <c r="N234" s="289">
        <v>1653</v>
      </c>
      <c r="O234" s="196"/>
      <c r="P234" s="180"/>
      <c r="Q234" s="174">
        <v>2.74</v>
      </c>
      <c r="R234" s="205">
        <v>0</v>
      </c>
      <c r="S234" s="165"/>
      <c r="T234" s="129" t="s">
        <v>102</v>
      </c>
      <c r="U234" s="147" t="s">
        <v>35</v>
      </c>
      <c r="V234" s="129"/>
      <c r="W234" s="177" t="s">
        <v>54</v>
      </c>
      <c r="X234" s="215"/>
      <c r="Y234" s="216">
        <v>0</v>
      </c>
      <c r="Z234" s="216">
        <v>0</v>
      </c>
      <c r="AA234" s="263"/>
      <c r="AB234" s="305"/>
    </row>
    <row r="235" spans="1:29" s="182" customFormat="1" hidden="1" x14ac:dyDescent="0.25">
      <c r="A235" s="131">
        <v>1</v>
      </c>
      <c r="B235" s="136">
        <v>1108042</v>
      </c>
      <c r="C235" s="127" t="s">
        <v>30</v>
      </c>
      <c r="D235" s="127" t="s">
        <v>474</v>
      </c>
      <c r="E235" s="151" t="s">
        <v>475</v>
      </c>
      <c r="F235" s="129" t="s">
        <v>1640</v>
      </c>
      <c r="G235" s="147" t="s">
        <v>34</v>
      </c>
      <c r="H235" s="191">
        <f t="shared" si="3"/>
        <v>4.8</v>
      </c>
      <c r="I235" s="134"/>
      <c r="J235" s="150"/>
      <c r="K235" s="147"/>
      <c r="L235" s="147"/>
      <c r="M235" s="147">
        <v>16</v>
      </c>
      <c r="N235" s="289">
        <v>2200</v>
      </c>
      <c r="O235" s="196">
        <v>1.5422</v>
      </c>
      <c r="P235" s="180">
        <v>45049</v>
      </c>
      <c r="Q235" s="174">
        <v>4.8</v>
      </c>
      <c r="R235" s="205">
        <v>0</v>
      </c>
      <c r="S235" s="165"/>
      <c r="T235" s="129" t="s">
        <v>102</v>
      </c>
      <c r="U235" s="147" t="s">
        <v>35</v>
      </c>
      <c r="V235" s="129"/>
      <c r="W235" s="177" t="s">
        <v>54</v>
      </c>
      <c r="X235" s="215"/>
      <c r="Y235" s="216">
        <v>0</v>
      </c>
      <c r="Z235" s="216">
        <v>0</v>
      </c>
      <c r="AA235" s="263"/>
      <c r="AB235" s="305"/>
      <c r="AC235" s="212"/>
    </row>
    <row r="236" spans="1:29" ht="36" x14ac:dyDescent="0.25">
      <c r="A236" s="131">
        <v>1</v>
      </c>
      <c r="B236" s="136">
        <v>1108043</v>
      </c>
      <c r="C236" s="127" t="s">
        <v>30</v>
      </c>
      <c r="D236" s="127" t="s">
        <v>476</v>
      </c>
      <c r="E236" s="151" t="s">
        <v>416</v>
      </c>
      <c r="F236" s="129" t="s">
        <v>1748</v>
      </c>
      <c r="G236" s="147" t="s">
        <v>34</v>
      </c>
      <c r="H236" s="191">
        <f t="shared" si="3"/>
        <v>9.4400000000000013</v>
      </c>
      <c r="I236" s="222" t="s">
        <v>2348</v>
      </c>
      <c r="J236" s="146">
        <v>0</v>
      </c>
      <c r="K236" s="147">
        <v>6</v>
      </c>
      <c r="L236" s="147">
        <v>1</v>
      </c>
      <c r="M236" s="147">
        <v>7</v>
      </c>
      <c r="N236" s="289">
        <v>2200</v>
      </c>
      <c r="O236" s="195">
        <v>8.51</v>
      </c>
      <c r="P236" s="180">
        <v>46146</v>
      </c>
      <c r="Q236" s="174">
        <v>9.39</v>
      </c>
      <c r="R236" s="205">
        <v>0.05</v>
      </c>
      <c r="S236" s="165"/>
      <c r="T236" s="129" t="s">
        <v>2091</v>
      </c>
      <c r="U236" s="147" t="s">
        <v>37</v>
      </c>
      <c r="V236" s="129"/>
      <c r="W236" s="147" t="s">
        <v>2213</v>
      </c>
      <c r="X236" s="215" t="s">
        <v>1913</v>
      </c>
      <c r="Y236" s="216">
        <v>0</v>
      </c>
      <c r="Z236" s="216">
        <v>0</v>
      </c>
      <c r="AA236" s="263"/>
      <c r="AB236" s="305"/>
    </row>
    <row r="237" spans="1:29" ht="24" x14ac:dyDescent="0.25">
      <c r="A237" s="131">
        <v>1</v>
      </c>
      <c r="B237" s="136">
        <v>1108044</v>
      </c>
      <c r="C237" s="127" t="s">
        <v>30</v>
      </c>
      <c r="D237" s="127" t="s">
        <v>1494</v>
      </c>
      <c r="E237" s="151" t="s">
        <v>1495</v>
      </c>
      <c r="F237" s="129" t="s">
        <v>164</v>
      </c>
      <c r="G237" s="147" t="s">
        <v>34</v>
      </c>
      <c r="H237" s="191">
        <f t="shared" si="3"/>
        <v>1.7205851851851852</v>
      </c>
      <c r="I237" s="222" t="s">
        <v>2226</v>
      </c>
      <c r="J237" s="146">
        <v>0</v>
      </c>
      <c r="K237" s="147">
        <v>8</v>
      </c>
      <c r="L237" s="147">
        <v>6</v>
      </c>
      <c r="M237" s="147">
        <v>15</v>
      </c>
      <c r="N237" s="289">
        <v>40500</v>
      </c>
      <c r="O237" s="195">
        <f>1.2927+0.1852</f>
        <v>1.4779</v>
      </c>
      <c r="P237" s="180">
        <v>46126</v>
      </c>
      <c r="Q237" s="178">
        <v>1.5354000000000001</v>
      </c>
      <c r="R237" s="205">
        <f>7500/N237</f>
        <v>0.18518518518518517</v>
      </c>
      <c r="S237" s="165" t="s">
        <v>35</v>
      </c>
      <c r="T237" s="129" t="s">
        <v>36</v>
      </c>
      <c r="U237" s="147" t="s">
        <v>37</v>
      </c>
      <c r="V237" s="129"/>
      <c r="W237" s="147" t="s">
        <v>2213</v>
      </c>
      <c r="X237" s="215" t="s">
        <v>1920</v>
      </c>
      <c r="Y237" s="216">
        <v>32694.418487499999</v>
      </c>
      <c r="Z237" s="216">
        <v>38464.02175</v>
      </c>
      <c r="AA237" s="263"/>
      <c r="AB237" s="305"/>
    </row>
    <row r="238" spans="1:29" hidden="1" x14ac:dyDescent="0.25">
      <c r="A238" s="131">
        <v>1</v>
      </c>
      <c r="B238" s="136">
        <v>1108045</v>
      </c>
      <c r="C238" s="127" t="s">
        <v>30</v>
      </c>
      <c r="D238" s="127" t="s">
        <v>1509</v>
      </c>
      <c r="E238" s="147" t="s">
        <v>46</v>
      </c>
      <c r="F238" s="129" t="s">
        <v>1891</v>
      </c>
      <c r="G238" s="147" t="s">
        <v>34</v>
      </c>
      <c r="H238" s="191">
        <f t="shared" si="3"/>
        <v>1.5422158920811799</v>
      </c>
      <c r="I238" s="134"/>
      <c r="J238" s="150"/>
      <c r="K238" s="147"/>
      <c r="L238" s="147"/>
      <c r="M238" s="147">
        <v>10</v>
      </c>
      <c r="N238" s="289"/>
      <c r="O238" s="196"/>
      <c r="P238" s="180"/>
      <c r="Q238" s="174">
        <v>1.5422158920811799</v>
      </c>
      <c r="R238" s="205">
        <v>0</v>
      </c>
      <c r="S238" s="165"/>
      <c r="T238" s="129" t="s">
        <v>102</v>
      </c>
      <c r="U238" s="147" t="s">
        <v>35</v>
      </c>
      <c r="V238" s="129"/>
      <c r="W238" s="177" t="s">
        <v>54</v>
      </c>
      <c r="X238" s="215"/>
      <c r="Y238" s="216">
        <v>0</v>
      </c>
      <c r="Z238" s="216">
        <v>0</v>
      </c>
      <c r="AA238" s="263"/>
      <c r="AB238" s="305"/>
      <c r="AC238" s="212"/>
    </row>
    <row r="239" spans="1:29" s="182" customFormat="1" hidden="1" x14ac:dyDescent="0.25">
      <c r="A239" s="131">
        <v>1</v>
      </c>
      <c r="B239" s="136">
        <v>1108046</v>
      </c>
      <c r="C239" s="127" t="s">
        <v>30</v>
      </c>
      <c r="D239" s="127" t="s">
        <v>1581</v>
      </c>
      <c r="E239" s="147" t="s">
        <v>49</v>
      </c>
      <c r="F239" s="129" t="s">
        <v>329</v>
      </c>
      <c r="G239" s="147" t="s">
        <v>34</v>
      </c>
      <c r="H239" s="191">
        <f t="shared" si="3"/>
        <v>0.05</v>
      </c>
      <c r="I239" s="181" t="s">
        <v>2218</v>
      </c>
      <c r="J239" s="150"/>
      <c r="K239" s="147">
        <v>2</v>
      </c>
      <c r="L239" s="147">
        <v>2</v>
      </c>
      <c r="M239" s="147">
        <v>4</v>
      </c>
      <c r="N239" s="289"/>
      <c r="O239" s="196"/>
      <c r="P239" s="180"/>
      <c r="Q239" s="174"/>
      <c r="R239" s="205">
        <v>0.05</v>
      </c>
      <c r="S239" s="165" t="s">
        <v>35</v>
      </c>
      <c r="T239" s="129" t="s">
        <v>329</v>
      </c>
      <c r="U239" s="147" t="s">
        <v>35</v>
      </c>
      <c r="V239" s="129" t="s">
        <v>1606</v>
      </c>
      <c r="W239" s="177" t="s">
        <v>2531</v>
      </c>
      <c r="X239" s="215"/>
      <c r="Y239" s="216">
        <v>0</v>
      </c>
      <c r="Z239" s="216">
        <v>0</v>
      </c>
      <c r="AA239" s="263"/>
      <c r="AB239" s="305"/>
      <c r="AC239" s="214"/>
    </row>
    <row r="240" spans="1:29" s="182" customFormat="1" ht="24" hidden="1" x14ac:dyDescent="0.25">
      <c r="A240" s="131">
        <v>1</v>
      </c>
      <c r="B240" s="136">
        <v>1108047</v>
      </c>
      <c r="C240" s="127" t="s">
        <v>30</v>
      </c>
      <c r="D240" s="127" t="s">
        <v>1592</v>
      </c>
      <c r="E240" s="147" t="s">
        <v>450</v>
      </c>
      <c r="F240" s="129" t="s">
        <v>1585</v>
      </c>
      <c r="G240" s="147" t="s">
        <v>34</v>
      </c>
      <c r="H240" s="191">
        <f t="shared" si="3"/>
        <v>2.83</v>
      </c>
      <c r="I240" s="134"/>
      <c r="J240" s="150"/>
      <c r="K240" s="147"/>
      <c r="L240" s="147"/>
      <c r="M240" s="147">
        <v>2</v>
      </c>
      <c r="N240" s="289"/>
      <c r="O240" s="196"/>
      <c r="P240" s="180"/>
      <c r="Q240" s="174">
        <v>2.83</v>
      </c>
      <c r="R240" s="205">
        <v>0</v>
      </c>
      <c r="S240" s="165" t="s">
        <v>186</v>
      </c>
      <c r="T240" s="128" t="s">
        <v>1588</v>
      </c>
      <c r="U240" s="147" t="s">
        <v>37</v>
      </c>
      <c r="V240" s="129"/>
      <c r="W240" s="177" t="s">
        <v>54</v>
      </c>
      <c r="X240" s="215"/>
      <c r="Y240" s="216">
        <v>0</v>
      </c>
      <c r="Z240" s="216">
        <v>0</v>
      </c>
      <c r="AA240" s="263"/>
      <c r="AB240" s="305"/>
      <c r="AC240" s="212"/>
    </row>
    <row r="241" spans="1:29" s="182" customFormat="1" hidden="1" x14ac:dyDescent="0.25">
      <c r="A241" s="131">
        <v>1</v>
      </c>
      <c r="B241" s="136">
        <v>1108048</v>
      </c>
      <c r="C241" s="127" t="s">
        <v>30</v>
      </c>
      <c r="D241" s="127" t="s">
        <v>1600</v>
      </c>
      <c r="E241" s="147" t="s">
        <v>49</v>
      </c>
      <c r="F241" s="136" t="s">
        <v>329</v>
      </c>
      <c r="G241" s="147" t="s">
        <v>34</v>
      </c>
      <c r="H241" s="191">
        <f t="shared" si="3"/>
        <v>0.05</v>
      </c>
      <c r="I241" s="181" t="s">
        <v>2218</v>
      </c>
      <c r="J241" s="150"/>
      <c r="K241" s="147">
        <v>2</v>
      </c>
      <c r="L241" s="147">
        <v>2</v>
      </c>
      <c r="M241" s="147">
        <v>4</v>
      </c>
      <c r="N241" s="289"/>
      <c r="O241" s="196"/>
      <c r="P241" s="180"/>
      <c r="Q241" s="174"/>
      <c r="R241" s="205">
        <v>0.05</v>
      </c>
      <c r="S241" s="165"/>
      <c r="T241" s="128" t="s">
        <v>329</v>
      </c>
      <c r="U241" s="147" t="s">
        <v>35</v>
      </c>
      <c r="V241" s="129"/>
      <c r="W241" s="177" t="s">
        <v>2531</v>
      </c>
      <c r="X241" s="215"/>
      <c r="Y241" s="216">
        <v>0</v>
      </c>
      <c r="Z241" s="216">
        <v>0</v>
      </c>
      <c r="AA241" s="263"/>
      <c r="AB241" s="305"/>
      <c r="AC241" s="214"/>
    </row>
    <row r="242" spans="1:29" s="182" customFormat="1" ht="24" hidden="1" x14ac:dyDescent="0.25">
      <c r="A242" s="131">
        <v>1</v>
      </c>
      <c r="B242" s="136">
        <v>1108049</v>
      </c>
      <c r="C242" s="127" t="s">
        <v>30</v>
      </c>
      <c r="D242" s="129" t="s">
        <v>1609</v>
      </c>
      <c r="E242" s="147" t="s">
        <v>450</v>
      </c>
      <c r="F242" s="129" t="s">
        <v>1585</v>
      </c>
      <c r="G242" s="147" t="s">
        <v>34</v>
      </c>
      <c r="H242" s="191">
        <f t="shared" si="3"/>
        <v>2.83</v>
      </c>
      <c r="I242" s="134"/>
      <c r="J242" s="150"/>
      <c r="K242" s="147">
        <v>11</v>
      </c>
      <c r="L242" s="147">
        <v>1</v>
      </c>
      <c r="M242" s="147">
        <v>12</v>
      </c>
      <c r="N242" s="289"/>
      <c r="O242" s="196"/>
      <c r="P242" s="180"/>
      <c r="Q242" s="174">
        <v>2.83</v>
      </c>
      <c r="R242" s="205">
        <v>0</v>
      </c>
      <c r="S242" s="165" t="s">
        <v>186</v>
      </c>
      <c r="T242" s="128" t="s">
        <v>1588</v>
      </c>
      <c r="U242" s="147" t="s">
        <v>37</v>
      </c>
      <c r="V242" s="129">
        <v>19138</v>
      </c>
      <c r="W242" s="177" t="s">
        <v>54</v>
      </c>
      <c r="X242" s="215"/>
      <c r="Y242" s="216">
        <v>0</v>
      </c>
      <c r="Z242" s="216">
        <v>0</v>
      </c>
      <c r="AA242" s="263"/>
      <c r="AB242" s="305"/>
      <c r="AC242" s="212"/>
    </row>
    <row r="243" spans="1:29" ht="24" hidden="1" x14ac:dyDescent="0.25">
      <c r="A243" s="131">
        <v>1</v>
      </c>
      <c r="B243" s="136">
        <v>1108050</v>
      </c>
      <c r="C243" s="127" t="s">
        <v>30</v>
      </c>
      <c r="D243" s="129" t="s">
        <v>1638</v>
      </c>
      <c r="E243" s="147" t="s">
        <v>46</v>
      </c>
      <c r="F243" s="129" t="s">
        <v>164</v>
      </c>
      <c r="G243" s="147" t="s">
        <v>34</v>
      </c>
      <c r="H243" s="191">
        <f t="shared" si="3"/>
        <v>1.7096</v>
      </c>
      <c r="I243" s="222" t="s">
        <v>2226</v>
      </c>
      <c r="J243" s="146">
        <v>30</v>
      </c>
      <c r="K243" s="147">
        <v>8</v>
      </c>
      <c r="L243" s="147">
        <v>6</v>
      </c>
      <c r="M243" s="147">
        <v>15</v>
      </c>
      <c r="N243" s="289">
        <v>15000</v>
      </c>
      <c r="O243" s="178">
        <v>1.4569000000000001</v>
      </c>
      <c r="P243" s="180">
        <v>46126</v>
      </c>
      <c r="Q243" s="178">
        <v>1.7096</v>
      </c>
      <c r="R243" s="195"/>
      <c r="S243" s="165" t="s">
        <v>35</v>
      </c>
      <c r="T243" s="129" t="s">
        <v>36</v>
      </c>
      <c r="U243" s="147" t="s">
        <v>37</v>
      </c>
      <c r="V243" s="129"/>
      <c r="W243" s="177" t="s">
        <v>54</v>
      </c>
      <c r="X243" s="215" t="s">
        <v>1920</v>
      </c>
      <c r="Y243" s="216">
        <v>0</v>
      </c>
      <c r="Z243" s="216">
        <v>0</v>
      </c>
      <c r="AA243" s="263"/>
      <c r="AB243" s="305"/>
    </row>
    <row r="244" spans="1:29" x14ac:dyDescent="0.25">
      <c r="A244" s="131">
        <v>1</v>
      </c>
      <c r="B244" s="136">
        <v>1109001</v>
      </c>
      <c r="C244" s="127" t="s">
        <v>30</v>
      </c>
      <c r="D244" s="127" t="s">
        <v>478</v>
      </c>
      <c r="E244" s="151" t="s">
        <v>49</v>
      </c>
      <c r="F244" s="129" t="s">
        <v>1838</v>
      </c>
      <c r="G244" s="147" t="s">
        <v>34</v>
      </c>
      <c r="H244" s="191">
        <f t="shared" si="3"/>
        <v>15.979590000000002</v>
      </c>
      <c r="I244" s="222" t="s">
        <v>2084</v>
      </c>
      <c r="J244" s="146">
        <v>0</v>
      </c>
      <c r="K244" s="147">
        <v>8</v>
      </c>
      <c r="L244" s="147">
        <v>2</v>
      </c>
      <c r="M244" s="147">
        <v>10</v>
      </c>
      <c r="N244" s="289">
        <v>276</v>
      </c>
      <c r="O244" s="174">
        <v>15.8</v>
      </c>
      <c r="P244" s="180">
        <v>46128</v>
      </c>
      <c r="Q244" s="174">
        <f>15.8+0.05</f>
        <v>15.850000000000001</v>
      </c>
      <c r="R244" s="205">
        <f>0.07959+0.05</f>
        <v>0.12958999999999998</v>
      </c>
      <c r="S244" s="165"/>
      <c r="T244" s="129" t="s">
        <v>36</v>
      </c>
      <c r="U244" s="147" t="s">
        <v>35</v>
      </c>
      <c r="V244" s="129"/>
      <c r="W244" s="147" t="s">
        <v>2213</v>
      </c>
      <c r="X244" s="215" t="s">
        <v>1009</v>
      </c>
      <c r="Y244" s="216">
        <v>160.76666666666668</v>
      </c>
      <c r="Z244" s="216">
        <v>197.86666666666667</v>
      </c>
      <c r="AA244" s="263"/>
      <c r="AB244" s="305"/>
    </row>
    <row r="245" spans="1:29" s="182" customFormat="1" hidden="1" x14ac:dyDescent="0.25">
      <c r="A245" s="131">
        <v>1</v>
      </c>
      <c r="B245" s="136">
        <v>1109002</v>
      </c>
      <c r="C245" s="127" t="s">
        <v>30</v>
      </c>
      <c r="D245" s="127" t="s">
        <v>479</v>
      </c>
      <c r="E245" s="151" t="s">
        <v>181</v>
      </c>
      <c r="F245" s="129" t="s">
        <v>384</v>
      </c>
      <c r="G245" s="147" t="s">
        <v>34</v>
      </c>
      <c r="H245" s="191">
        <f t="shared" si="3"/>
        <v>0</v>
      </c>
      <c r="I245" s="225"/>
      <c r="J245" s="149"/>
      <c r="K245" s="147"/>
      <c r="L245" s="147"/>
      <c r="M245" s="147">
        <v>6</v>
      </c>
      <c r="N245" s="289"/>
      <c r="O245" s="196"/>
      <c r="P245" s="180"/>
      <c r="Q245" s="174"/>
      <c r="R245" s="206">
        <v>0</v>
      </c>
      <c r="S245" s="168"/>
      <c r="T245" s="129" t="s">
        <v>36</v>
      </c>
      <c r="U245" s="147" t="s">
        <v>37</v>
      </c>
      <c r="V245" s="129"/>
      <c r="W245" s="163" t="s">
        <v>54</v>
      </c>
      <c r="X245" s="215"/>
      <c r="Y245" s="216">
        <v>0</v>
      </c>
      <c r="Z245" s="216">
        <v>0</v>
      </c>
      <c r="AA245" s="263"/>
      <c r="AB245" s="305"/>
      <c r="AC245" s="214"/>
    </row>
    <row r="246" spans="1:29" x14ac:dyDescent="0.25">
      <c r="A246" s="131">
        <v>1</v>
      </c>
      <c r="B246" s="136">
        <v>1109003</v>
      </c>
      <c r="C246" s="127" t="s">
        <v>30</v>
      </c>
      <c r="D246" s="127" t="s">
        <v>481</v>
      </c>
      <c r="E246" s="151" t="s">
        <v>127</v>
      </c>
      <c r="F246" s="129" t="s">
        <v>307</v>
      </c>
      <c r="G246" s="147" t="s">
        <v>34</v>
      </c>
      <c r="H246" s="191">
        <f t="shared" si="3"/>
        <v>14.06</v>
      </c>
      <c r="I246" s="222" t="s">
        <v>2084</v>
      </c>
      <c r="J246" s="146">
        <v>0</v>
      </c>
      <c r="K246" s="147">
        <v>6</v>
      </c>
      <c r="L246" s="147">
        <v>2</v>
      </c>
      <c r="M246" s="147">
        <v>8</v>
      </c>
      <c r="N246" s="289">
        <v>55</v>
      </c>
      <c r="O246" s="195">
        <v>6.26</v>
      </c>
      <c r="P246" s="180">
        <v>45331</v>
      </c>
      <c r="Q246" s="174">
        <v>14.01</v>
      </c>
      <c r="R246" s="205">
        <v>0.05</v>
      </c>
      <c r="S246" s="165"/>
      <c r="T246" s="129" t="s">
        <v>36</v>
      </c>
      <c r="U246" s="147" t="s">
        <v>35</v>
      </c>
      <c r="V246" s="129"/>
      <c r="W246" s="147" t="s">
        <v>2213</v>
      </c>
      <c r="X246" s="215" t="s">
        <v>1009</v>
      </c>
      <c r="Y246" s="216">
        <v>0</v>
      </c>
      <c r="Z246" s="216">
        <v>0</v>
      </c>
      <c r="AA246" s="263"/>
      <c r="AB246" s="305"/>
    </row>
    <row r="247" spans="1:29" hidden="1" x14ac:dyDescent="0.25">
      <c r="A247" s="131">
        <v>1</v>
      </c>
      <c r="B247" s="136">
        <v>1109004</v>
      </c>
      <c r="C247" s="127" t="s">
        <v>30</v>
      </c>
      <c r="D247" s="127" t="s">
        <v>482</v>
      </c>
      <c r="E247" s="147" t="s">
        <v>38</v>
      </c>
      <c r="F247" s="129" t="s">
        <v>1793</v>
      </c>
      <c r="G247" s="147" t="s">
        <v>34</v>
      </c>
      <c r="H247" s="191">
        <f t="shared" si="3"/>
        <v>0</v>
      </c>
      <c r="I247" s="134" t="s">
        <v>2084</v>
      </c>
      <c r="J247" s="146">
        <v>0</v>
      </c>
      <c r="K247" s="147">
        <v>2</v>
      </c>
      <c r="L247" s="147">
        <v>2</v>
      </c>
      <c r="M247" s="147">
        <v>4</v>
      </c>
      <c r="N247" s="289">
        <v>100</v>
      </c>
      <c r="O247" s="196"/>
      <c r="P247" s="180"/>
      <c r="Q247" s="174"/>
      <c r="R247" s="206">
        <v>0</v>
      </c>
      <c r="S247" s="168"/>
      <c r="T247" s="129" t="s">
        <v>189</v>
      </c>
      <c r="U247" s="147" t="s">
        <v>37</v>
      </c>
      <c r="V247" s="129"/>
      <c r="W247" s="163" t="s">
        <v>54</v>
      </c>
      <c r="X247" s="215"/>
      <c r="Y247" s="216">
        <v>0</v>
      </c>
      <c r="Z247" s="216">
        <v>0</v>
      </c>
      <c r="AA247" s="263"/>
      <c r="AB247" s="305"/>
    </row>
    <row r="248" spans="1:29" ht="24" hidden="1" x14ac:dyDescent="0.25">
      <c r="A248" s="131">
        <v>1</v>
      </c>
      <c r="B248" s="136">
        <v>1109010</v>
      </c>
      <c r="C248" s="127" t="s">
        <v>30</v>
      </c>
      <c r="D248" s="127" t="s">
        <v>487</v>
      </c>
      <c r="E248" s="151" t="s">
        <v>66</v>
      </c>
      <c r="F248" s="129" t="s">
        <v>33</v>
      </c>
      <c r="G248" s="147" t="s">
        <v>34</v>
      </c>
      <c r="H248" s="191">
        <f t="shared" si="3"/>
        <v>0</v>
      </c>
      <c r="I248" s="222" t="s">
        <v>2228</v>
      </c>
      <c r="J248" s="146">
        <v>0</v>
      </c>
      <c r="K248" s="147">
        <v>5</v>
      </c>
      <c r="L248" s="147">
        <v>1</v>
      </c>
      <c r="M248" s="147">
        <v>6</v>
      </c>
      <c r="N248" s="289"/>
      <c r="O248" s="196"/>
      <c r="P248" s="180"/>
      <c r="Q248" s="174"/>
      <c r="R248" s="206">
        <v>0</v>
      </c>
      <c r="S248" s="165"/>
      <c r="T248" s="129" t="s">
        <v>189</v>
      </c>
      <c r="U248" s="147" t="s">
        <v>37</v>
      </c>
      <c r="V248" s="129"/>
      <c r="W248" s="163" t="s">
        <v>54</v>
      </c>
      <c r="X248" s="215"/>
      <c r="Y248" s="216">
        <v>0</v>
      </c>
      <c r="Z248" s="216">
        <v>0</v>
      </c>
      <c r="AA248" s="263"/>
      <c r="AB248" s="305"/>
    </row>
    <row r="249" spans="1:29" s="182" customFormat="1" hidden="1" x14ac:dyDescent="0.25">
      <c r="A249" s="131">
        <v>1</v>
      </c>
      <c r="B249" s="136">
        <v>1109011</v>
      </c>
      <c r="C249" s="127" t="s">
        <v>30</v>
      </c>
      <c r="D249" s="127" t="s">
        <v>488</v>
      </c>
      <c r="E249" s="151" t="s">
        <v>66</v>
      </c>
      <c r="F249" s="129" t="s">
        <v>336</v>
      </c>
      <c r="G249" s="147" t="s">
        <v>34</v>
      </c>
      <c r="H249" s="191">
        <f t="shared" si="3"/>
        <v>0</v>
      </c>
      <c r="I249" s="225"/>
      <c r="J249" s="149"/>
      <c r="K249" s="147">
        <v>11</v>
      </c>
      <c r="L249" s="147">
        <v>1</v>
      </c>
      <c r="M249" s="147">
        <v>12</v>
      </c>
      <c r="N249" s="289"/>
      <c r="O249" s="196"/>
      <c r="P249" s="180"/>
      <c r="Q249" s="174"/>
      <c r="R249" s="206">
        <v>0</v>
      </c>
      <c r="S249" s="168"/>
      <c r="T249" s="129" t="s">
        <v>189</v>
      </c>
      <c r="U249" s="147" t="s">
        <v>37</v>
      </c>
      <c r="V249" s="129"/>
      <c r="W249" s="163" t="s">
        <v>54</v>
      </c>
      <c r="X249" s="215"/>
      <c r="Y249" s="216">
        <v>0</v>
      </c>
      <c r="Z249" s="216">
        <v>0</v>
      </c>
      <c r="AA249" s="263"/>
      <c r="AB249" s="305"/>
      <c r="AC249" s="214"/>
    </row>
    <row r="250" spans="1:29" ht="24" hidden="1" x14ac:dyDescent="0.25">
      <c r="A250" s="131">
        <v>1</v>
      </c>
      <c r="B250" s="136">
        <v>1109012</v>
      </c>
      <c r="C250" s="127" t="s">
        <v>30</v>
      </c>
      <c r="D250" s="127" t="s">
        <v>489</v>
      </c>
      <c r="E250" s="151" t="s">
        <v>66</v>
      </c>
      <c r="F250" s="129" t="s">
        <v>33</v>
      </c>
      <c r="G250" s="147" t="s">
        <v>34</v>
      </c>
      <c r="H250" s="191">
        <f t="shared" si="3"/>
        <v>0</v>
      </c>
      <c r="I250" s="222" t="s">
        <v>2228</v>
      </c>
      <c r="J250" s="146">
        <v>0</v>
      </c>
      <c r="K250" s="147">
        <v>5</v>
      </c>
      <c r="L250" s="147">
        <v>1</v>
      </c>
      <c r="M250" s="147">
        <v>6</v>
      </c>
      <c r="N250" s="289"/>
      <c r="O250" s="196"/>
      <c r="P250" s="180"/>
      <c r="Q250" s="174"/>
      <c r="R250" s="206">
        <v>0</v>
      </c>
      <c r="S250" s="165"/>
      <c r="T250" s="129" t="s">
        <v>189</v>
      </c>
      <c r="U250" s="147" t="s">
        <v>37</v>
      </c>
      <c r="V250" s="129"/>
      <c r="W250" s="163" t="s">
        <v>54</v>
      </c>
      <c r="X250" s="215"/>
      <c r="Y250" s="216">
        <v>0</v>
      </c>
      <c r="Z250" s="216">
        <v>0</v>
      </c>
      <c r="AA250" s="263"/>
      <c r="AB250" s="305"/>
    </row>
    <row r="251" spans="1:29" ht="24" hidden="1" x14ac:dyDescent="0.25">
      <c r="A251" s="131">
        <v>1</v>
      </c>
      <c r="B251" s="136">
        <v>1109013</v>
      </c>
      <c r="C251" s="127" t="s">
        <v>30</v>
      </c>
      <c r="D251" s="127" t="s">
        <v>490</v>
      </c>
      <c r="E251" s="151" t="s">
        <v>66</v>
      </c>
      <c r="F251" s="129" t="s">
        <v>33</v>
      </c>
      <c r="G251" s="147" t="s">
        <v>34</v>
      </c>
      <c r="H251" s="191">
        <f t="shared" si="3"/>
        <v>0</v>
      </c>
      <c r="I251" s="222" t="s">
        <v>2228</v>
      </c>
      <c r="J251" s="146">
        <v>0</v>
      </c>
      <c r="K251" s="147">
        <v>5</v>
      </c>
      <c r="L251" s="147">
        <v>1</v>
      </c>
      <c r="M251" s="147">
        <v>6</v>
      </c>
      <c r="N251" s="289"/>
      <c r="O251" s="196"/>
      <c r="P251" s="180"/>
      <c r="Q251" s="174"/>
      <c r="R251" s="206">
        <v>0</v>
      </c>
      <c r="S251" s="165"/>
      <c r="T251" s="129" t="s">
        <v>189</v>
      </c>
      <c r="U251" s="147" t="s">
        <v>37</v>
      </c>
      <c r="V251" s="129"/>
      <c r="W251" s="163" t="s">
        <v>54</v>
      </c>
      <c r="X251" s="215"/>
      <c r="Y251" s="216">
        <v>0</v>
      </c>
      <c r="Z251" s="216">
        <v>0</v>
      </c>
      <c r="AA251" s="263"/>
      <c r="AB251" s="305"/>
    </row>
    <row r="252" spans="1:29" x14ac:dyDescent="0.25">
      <c r="A252" s="131">
        <v>1</v>
      </c>
      <c r="B252" s="136">
        <v>1109014</v>
      </c>
      <c r="C252" s="127" t="s">
        <v>30</v>
      </c>
      <c r="D252" s="127" t="s">
        <v>491</v>
      </c>
      <c r="E252" s="151" t="s">
        <v>46</v>
      </c>
      <c r="F252" s="129" t="s">
        <v>1545</v>
      </c>
      <c r="G252" s="147" t="s">
        <v>34</v>
      </c>
      <c r="H252" s="191">
        <f t="shared" si="3"/>
        <v>4.5999999999999996</v>
      </c>
      <c r="I252" s="222" t="s">
        <v>2084</v>
      </c>
      <c r="J252" s="146">
        <v>30</v>
      </c>
      <c r="K252" s="147">
        <v>11</v>
      </c>
      <c r="L252" s="147">
        <v>1</v>
      </c>
      <c r="M252" s="147">
        <v>12</v>
      </c>
      <c r="N252" s="289">
        <v>1600</v>
      </c>
      <c r="O252" s="195"/>
      <c r="P252" s="180">
        <v>45146</v>
      </c>
      <c r="Q252" s="174">
        <v>4.55</v>
      </c>
      <c r="R252" s="205">
        <v>0.05</v>
      </c>
      <c r="S252" s="165"/>
      <c r="T252" s="129" t="s">
        <v>36</v>
      </c>
      <c r="U252" s="147" t="s">
        <v>37</v>
      </c>
      <c r="V252" s="129"/>
      <c r="W252" s="147" t="s">
        <v>2213</v>
      </c>
      <c r="X252" s="215" t="s">
        <v>1009</v>
      </c>
      <c r="Y252" s="216">
        <v>226.08290833333322</v>
      </c>
      <c r="Z252" s="216">
        <v>287.74188333333319</v>
      </c>
      <c r="AA252" s="263"/>
      <c r="AB252" s="305"/>
    </row>
    <row r="253" spans="1:29" ht="24" hidden="1" x14ac:dyDescent="0.25">
      <c r="A253" s="131">
        <v>1</v>
      </c>
      <c r="B253" s="136">
        <v>1109015</v>
      </c>
      <c r="C253" s="127" t="s">
        <v>30</v>
      </c>
      <c r="D253" s="129" t="s">
        <v>493</v>
      </c>
      <c r="E253" s="151" t="s">
        <v>143</v>
      </c>
      <c r="F253" s="129" t="s">
        <v>33</v>
      </c>
      <c r="G253" s="147" t="s">
        <v>34</v>
      </c>
      <c r="H253" s="191">
        <f t="shared" si="3"/>
        <v>3.6469</v>
      </c>
      <c r="I253" s="222" t="s">
        <v>2228</v>
      </c>
      <c r="J253" s="146">
        <v>0</v>
      </c>
      <c r="K253" s="147">
        <v>5</v>
      </c>
      <c r="L253" s="147">
        <v>1</v>
      </c>
      <c r="M253" s="147">
        <v>6</v>
      </c>
      <c r="N253" s="289">
        <v>19000</v>
      </c>
      <c r="O253" s="196"/>
      <c r="P253" s="180">
        <v>44687</v>
      </c>
      <c r="Q253" s="174">
        <v>3.6469</v>
      </c>
      <c r="R253" s="205">
        <v>0</v>
      </c>
      <c r="S253" s="165" t="s">
        <v>35</v>
      </c>
      <c r="T253" s="129" t="s">
        <v>36</v>
      </c>
      <c r="U253" s="147" t="s">
        <v>37</v>
      </c>
      <c r="V253" s="129"/>
      <c r="W253" s="177" t="s">
        <v>54</v>
      </c>
      <c r="X253" s="215"/>
      <c r="Y253" s="216">
        <v>0</v>
      </c>
      <c r="Z253" s="216">
        <v>0</v>
      </c>
      <c r="AA253" s="263"/>
      <c r="AB253" s="305"/>
    </row>
    <row r="254" spans="1:29" hidden="1" x14ac:dyDescent="0.25">
      <c r="A254" s="131">
        <v>1</v>
      </c>
      <c r="B254" s="136">
        <v>1109016</v>
      </c>
      <c r="C254" s="127" t="s">
        <v>30</v>
      </c>
      <c r="D254" s="129" t="s">
        <v>494</v>
      </c>
      <c r="E254" s="151" t="s">
        <v>138</v>
      </c>
      <c r="F254" s="129" t="s">
        <v>1616</v>
      </c>
      <c r="G254" s="147" t="s">
        <v>34</v>
      </c>
      <c r="H254" s="191">
        <f t="shared" si="3"/>
        <v>6.6614000000000004</v>
      </c>
      <c r="I254" s="134" t="s">
        <v>2084</v>
      </c>
      <c r="J254" s="146">
        <v>0</v>
      </c>
      <c r="K254" s="147">
        <v>2</v>
      </c>
      <c r="L254" s="147">
        <v>2</v>
      </c>
      <c r="M254" s="147">
        <v>4</v>
      </c>
      <c r="N254" s="289">
        <v>1375</v>
      </c>
      <c r="O254" s="196">
        <v>2.8113999999999999</v>
      </c>
      <c r="P254" s="180">
        <v>44676</v>
      </c>
      <c r="Q254" s="174">
        <v>6.44</v>
      </c>
      <c r="R254" s="205">
        <v>0.22140000000000001</v>
      </c>
      <c r="S254" s="165"/>
      <c r="T254" s="129" t="s">
        <v>36</v>
      </c>
      <c r="U254" s="147" t="s">
        <v>37</v>
      </c>
      <c r="V254" s="129"/>
      <c r="W254" s="177" t="s">
        <v>54</v>
      </c>
      <c r="X254" s="215" t="s">
        <v>1009</v>
      </c>
      <c r="Y254" s="216">
        <v>0</v>
      </c>
      <c r="Z254" s="216">
        <v>0</v>
      </c>
      <c r="AA254" s="263"/>
      <c r="AB254" s="305"/>
    </row>
    <row r="255" spans="1:29" ht="24" hidden="1" x14ac:dyDescent="0.25">
      <c r="A255" s="131">
        <v>1</v>
      </c>
      <c r="B255" s="136">
        <v>1109017</v>
      </c>
      <c r="C255" s="127" t="s">
        <v>30</v>
      </c>
      <c r="D255" s="129" t="s">
        <v>495</v>
      </c>
      <c r="E255" s="151" t="s">
        <v>32</v>
      </c>
      <c r="F255" s="129" t="s">
        <v>33</v>
      </c>
      <c r="G255" s="147" t="s">
        <v>34</v>
      </c>
      <c r="H255" s="191">
        <f t="shared" si="3"/>
        <v>0</v>
      </c>
      <c r="I255" s="222" t="s">
        <v>2228</v>
      </c>
      <c r="J255" s="146">
        <v>0</v>
      </c>
      <c r="K255" s="147">
        <v>5</v>
      </c>
      <c r="L255" s="147">
        <v>1</v>
      </c>
      <c r="M255" s="147">
        <v>6</v>
      </c>
      <c r="N255" s="289"/>
      <c r="O255" s="196"/>
      <c r="P255" s="180"/>
      <c r="Q255" s="174"/>
      <c r="R255" s="206">
        <v>0</v>
      </c>
      <c r="S255" s="165"/>
      <c r="T255" s="129" t="s">
        <v>496</v>
      </c>
      <c r="U255" s="147" t="s">
        <v>37</v>
      </c>
      <c r="V255" s="129"/>
      <c r="W255" s="163" t="s">
        <v>54</v>
      </c>
      <c r="X255" s="215"/>
      <c r="Y255" s="216">
        <v>0</v>
      </c>
      <c r="Z255" s="216">
        <v>0</v>
      </c>
      <c r="AA255" s="263"/>
      <c r="AB255" s="305"/>
    </row>
    <row r="256" spans="1:29" ht="24" hidden="1" x14ac:dyDescent="0.25">
      <c r="A256" s="131">
        <v>1</v>
      </c>
      <c r="B256" s="136">
        <v>1109018</v>
      </c>
      <c r="C256" s="127" t="s">
        <v>30</v>
      </c>
      <c r="D256" s="129" t="s">
        <v>497</v>
      </c>
      <c r="E256" s="151" t="s">
        <v>66</v>
      </c>
      <c r="F256" s="129" t="s">
        <v>33</v>
      </c>
      <c r="G256" s="147" t="s">
        <v>34</v>
      </c>
      <c r="H256" s="191">
        <f t="shared" si="3"/>
        <v>0</v>
      </c>
      <c r="I256" s="222" t="s">
        <v>2228</v>
      </c>
      <c r="J256" s="146">
        <v>0</v>
      </c>
      <c r="K256" s="147">
        <v>5</v>
      </c>
      <c r="L256" s="147">
        <v>1</v>
      </c>
      <c r="M256" s="147">
        <v>6</v>
      </c>
      <c r="N256" s="289"/>
      <c r="O256" s="196"/>
      <c r="P256" s="180"/>
      <c r="Q256" s="174"/>
      <c r="R256" s="206">
        <v>0</v>
      </c>
      <c r="S256" s="165"/>
      <c r="T256" s="129" t="s">
        <v>496</v>
      </c>
      <c r="U256" s="147" t="s">
        <v>37</v>
      </c>
      <c r="V256" s="129"/>
      <c r="W256" s="163" t="s">
        <v>54</v>
      </c>
      <c r="X256" s="215"/>
      <c r="Y256" s="216">
        <v>0</v>
      </c>
      <c r="Z256" s="216">
        <v>0</v>
      </c>
      <c r="AA256" s="263"/>
      <c r="AB256" s="305"/>
    </row>
    <row r="257" spans="1:29" hidden="1" x14ac:dyDescent="0.25">
      <c r="A257" s="131">
        <v>1</v>
      </c>
      <c r="B257" s="136">
        <v>1109019</v>
      </c>
      <c r="C257" s="127" t="s">
        <v>30</v>
      </c>
      <c r="D257" s="129" t="s">
        <v>498</v>
      </c>
      <c r="E257" s="151" t="s">
        <v>66</v>
      </c>
      <c r="F257" s="129" t="s">
        <v>1791</v>
      </c>
      <c r="G257" s="147" t="s">
        <v>34</v>
      </c>
      <c r="H257" s="191">
        <f t="shared" si="3"/>
        <v>25.83</v>
      </c>
      <c r="I257" s="181" t="s">
        <v>2084</v>
      </c>
      <c r="J257" s="146">
        <v>30</v>
      </c>
      <c r="K257" s="147">
        <v>6</v>
      </c>
      <c r="L257" s="147">
        <v>2</v>
      </c>
      <c r="M257" s="147">
        <v>8</v>
      </c>
      <c r="N257" s="289"/>
      <c r="O257" s="196"/>
      <c r="P257" s="180"/>
      <c r="Q257" s="174">
        <v>25.83</v>
      </c>
      <c r="R257" s="205"/>
      <c r="S257" s="165"/>
      <c r="T257" s="129" t="s">
        <v>36</v>
      </c>
      <c r="U257" s="147" t="s">
        <v>37</v>
      </c>
      <c r="V257" s="129"/>
      <c r="W257" s="177" t="s">
        <v>54</v>
      </c>
      <c r="X257" s="215"/>
      <c r="Y257" s="216">
        <v>0</v>
      </c>
      <c r="Z257" s="216">
        <v>0</v>
      </c>
      <c r="AA257" s="263"/>
      <c r="AB257" s="305"/>
    </row>
    <row r="258" spans="1:29" hidden="1" x14ac:dyDescent="0.25">
      <c r="A258" s="131">
        <v>1</v>
      </c>
      <c r="B258" s="136">
        <v>1109020</v>
      </c>
      <c r="C258" s="127" t="s">
        <v>30</v>
      </c>
      <c r="D258" s="129" t="s">
        <v>502</v>
      </c>
      <c r="E258" s="151" t="s">
        <v>259</v>
      </c>
      <c r="F258" s="129" t="s">
        <v>1791</v>
      </c>
      <c r="G258" s="147" t="s">
        <v>34</v>
      </c>
      <c r="H258" s="191">
        <f t="shared" si="3"/>
        <v>2.77</v>
      </c>
      <c r="I258" s="181" t="s">
        <v>2084</v>
      </c>
      <c r="J258" s="146">
        <v>30</v>
      </c>
      <c r="K258" s="147">
        <v>6</v>
      </c>
      <c r="L258" s="147">
        <v>2</v>
      </c>
      <c r="M258" s="147">
        <v>8</v>
      </c>
      <c r="N258" s="289">
        <v>1102</v>
      </c>
      <c r="O258" s="196"/>
      <c r="P258" s="180">
        <v>44684</v>
      </c>
      <c r="Q258" s="174">
        <v>2.77</v>
      </c>
      <c r="R258" s="205"/>
      <c r="S258" s="165"/>
      <c r="T258" s="129" t="s">
        <v>36</v>
      </c>
      <c r="U258" s="147" t="s">
        <v>37</v>
      </c>
      <c r="V258" s="129"/>
      <c r="W258" s="177" t="s">
        <v>54</v>
      </c>
      <c r="X258" s="215"/>
      <c r="Y258" s="216">
        <v>0</v>
      </c>
      <c r="Z258" s="216">
        <v>0</v>
      </c>
      <c r="AA258" s="263"/>
      <c r="AB258" s="305"/>
    </row>
    <row r="259" spans="1:29" hidden="1" x14ac:dyDescent="0.25">
      <c r="A259" s="131">
        <v>1</v>
      </c>
      <c r="B259" s="136">
        <v>1109021</v>
      </c>
      <c r="C259" s="127" t="s">
        <v>30</v>
      </c>
      <c r="D259" s="129" t="s">
        <v>504</v>
      </c>
      <c r="E259" s="151" t="s">
        <v>66</v>
      </c>
      <c r="F259" s="129" t="s">
        <v>1791</v>
      </c>
      <c r="G259" s="147" t="s">
        <v>34</v>
      </c>
      <c r="H259" s="191">
        <f t="shared" ref="H259:H322" si="4">Q259+R259</f>
        <v>27.89</v>
      </c>
      <c r="I259" s="181" t="s">
        <v>2084</v>
      </c>
      <c r="J259" s="146">
        <v>30</v>
      </c>
      <c r="K259" s="147">
        <v>6</v>
      </c>
      <c r="L259" s="147">
        <v>2</v>
      </c>
      <c r="M259" s="147">
        <v>8</v>
      </c>
      <c r="N259" s="289"/>
      <c r="O259" s="196"/>
      <c r="P259" s="180"/>
      <c r="Q259" s="174">
        <v>27.89</v>
      </c>
      <c r="R259" s="205"/>
      <c r="S259" s="165"/>
      <c r="T259" s="129" t="s">
        <v>36</v>
      </c>
      <c r="U259" s="147" t="s">
        <v>37</v>
      </c>
      <c r="V259" s="129"/>
      <c r="W259" s="177" t="s">
        <v>54</v>
      </c>
      <c r="X259" s="215"/>
      <c r="Y259" s="216">
        <v>0</v>
      </c>
      <c r="Z259" s="216">
        <v>0</v>
      </c>
      <c r="AA259" s="263"/>
      <c r="AB259" s="305"/>
    </row>
    <row r="260" spans="1:29" ht="24" hidden="1" x14ac:dyDescent="0.25">
      <c r="A260" s="131">
        <v>1</v>
      </c>
      <c r="B260" s="136">
        <v>1109022</v>
      </c>
      <c r="C260" s="127" t="s">
        <v>30</v>
      </c>
      <c r="D260" s="129" t="s">
        <v>505</v>
      </c>
      <c r="E260" s="151" t="s">
        <v>66</v>
      </c>
      <c r="F260" s="129" t="s">
        <v>33</v>
      </c>
      <c r="G260" s="147" t="s">
        <v>34</v>
      </c>
      <c r="H260" s="191">
        <f t="shared" si="4"/>
        <v>0</v>
      </c>
      <c r="I260" s="222" t="s">
        <v>2228</v>
      </c>
      <c r="J260" s="146">
        <v>0</v>
      </c>
      <c r="K260" s="147">
        <v>5</v>
      </c>
      <c r="L260" s="147">
        <v>1</v>
      </c>
      <c r="M260" s="147">
        <v>6</v>
      </c>
      <c r="N260" s="289"/>
      <c r="O260" s="196"/>
      <c r="P260" s="180"/>
      <c r="Q260" s="174"/>
      <c r="R260" s="206">
        <v>0</v>
      </c>
      <c r="S260" s="165"/>
      <c r="T260" s="129" t="s">
        <v>189</v>
      </c>
      <c r="U260" s="147" t="s">
        <v>37</v>
      </c>
      <c r="V260" s="129"/>
      <c r="W260" s="163" t="s">
        <v>54</v>
      </c>
      <c r="X260" s="215"/>
      <c r="Y260" s="216">
        <v>0</v>
      </c>
      <c r="Z260" s="216">
        <v>0</v>
      </c>
      <c r="AA260" s="263"/>
      <c r="AB260" s="305"/>
    </row>
    <row r="261" spans="1:29" s="182" customFormat="1" hidden="1" x14ac:dyDescent="0.25">
      <c r="A261" s="131">
        <v>1</v>
      </c>
      <c r="B261" s="136">
        <v>1109023</v>
      </c>
      <c r="C261" s="127" t="s">
        <v>30</v>
      </c>
      <c r="D261" s="129" t="s">
        <v>506</v>
      </c>
      <c r="E261" s="151" t="s">
        <v>66</v>
      </c>
      <c r="F261" s="129" t="s">
        <v>507</v>
      </c>
      <c r="G261" s="147" t="s">
        <v>34</v>
      </c>
      <c r="H261" s="191">
        <f t="shared" si="4"/>
        <v>0</v>
      </c>
      <c r="I261" s="225"/>
      <c r="J261" s="149"/>
      <c r="K261" s="147">
        <v>11</v>
      </c>
      <c r="L261" s="147">
        <v>1</v>
      </c>
      <c r="M261" s="147">
        <v>12</v>
      </c>
      <c r="N261" s="289"/>
      <c r="O261" s="196"/>
      <c r="P261" s="180"/>
      <c r="Q261" s="174"/>
      <c r="R261" s="206">
        <v>0</v>
      </c>
      <c r="S261" s="166"/>
      <c r="T261" s="129" t="s">
        <v>189</v>
      </c>
      <c r="U261" s="147" t="s">
        <v>37</v>
      </c>
      <c r="V261" s="129"/>
      <c r="W261" s="163" t="s">
        <v>54</v>
      </c>
      <c r="X261" s="215"/>
      <c r="Y261" s="216">
        <v>0</v>
      </c>
      <c r="Z261" s="216">
        <v>0</v>
      </c>
      <c r="AA261" s="263"/>
      <c r="AB261" s="305"/>
      <c r="AC261" s="214"/>
    </row>
    <row r="262" spans="1:29" s="182" customFormat="1" hidden="1" x14ac:dyDescent="0.25">
      <c r="A262" s="131">
        <v>1</v>
      </c>
      <c r="B262" s="136">
        <v>1109024</v>
      </c>
      <c r="C262" s="127" t="s">
        <v>30</v>
      </c>
      <c r="D262" s="129" t="s">
        <v>508</v>
      </c>
      <c r="E262" s="151" t="s">
        <v>509</v>
      </c>
      <c r="F262" s="129" t="s">
        <v>510</v>
      </c>
      <c r="G262" s="147" t="s">
        <v>34</v>
      </c>
      <c r="H262" s="191">
        <f t="shared" si="4"/>
        <v>2.3633448244579509</v>
      </c>
      <c r="I262" s="225"/>
      <c r="J262" s="149"/>
      <c r="K262" s="147"/>
      <c r="L262" s="147"/>
      <c r="M262" s="147">
        <v>8</v>
      </c>
      <c r="N262" s="289">
        <v>55</v>
      </c>
      <c r="O262" s="196"/>
      <c r="P262" s="180"/>
      <c r="Q262" s="174">
        <f>5.1/2.2046</f>
        <v>2.3133448244579511</v>
      </c>
      <c r="R262" s="206">
        <v>0.05</v>
      </c>
      <c r="S262" s="166"/>
      <c r="T262" s="129" t="s">
        <v>206</v>
      </c>
      <c r="U262" s="147" t="s">
        <v>37</v>
      </c>
      <c r="V262" s="129"/>
      <c r="W262" s="163" t="s">
        <v>54</v>
      </c>
      <c r="X262" s="215"/>
      <c r="Y262" s="216">
        <v>0</v>
      </c>
      <c r="Z262" s="216">
        <v>0</v>
      </c>
      <c r="AA262" s="263"/>
      <c r="AB262" s="305"/>
      <c r="AC262" s="214"/>
    </row>
    <row r="263" spans="1:29" hidden="1" x14ac:dyDescent="0.25">
      <c r="A263" s="131">
        <v>1</v>
      </c>
      <c r="B263" s="136">
        <v>1109025</v>
      </c>
      <c r="C263" s="127" t="s">
        <v>30</v>
      </c>
      <c r="D263" s="129" t="s">
        <v>511</v>
      </c>
      <c r="E263" s="151" t="s">
        <v>259</v>
      </c>
      <c r="F263" s="129" t="s">
        <v>1748</v>
      </c>
      <c r="G263" s="147" t="s">
        <v>34</v>
      </c>
      <c r="H263" s="191">
        <f t="shared" si="4"/>
        <v>0</v>
      </c>
      <c r="I263" s="134" t="s">
        <v>2084</v>
      </c>
      <c r="J263" s="150"/>
      <c r="K263" s="147">
        <v>2</v>
      </c>
      <c r="L263" s="147">
        <v>2</v>
      </c>
      <c r="M263" s="147">
        <v>4</v>
      </c>
      <c r="N263" s="289">
        <v>1100</v>
      </c>
      <c r="O263" s="196"/>
      <c r="P263" s="180"/>
      <c r="Q263" s="174"/>
      <c r="R263" s="206">
        <v>0</v>
      </c>
      <c r="S263" s="166"/>
      <c r="T263" s="129" t="s">
        <v>189</v>
      </c>
      <c r="U263" s="147" t="s">
        <v>37</v>
      </c>
      <c r="V263" s="129"/>
      <c r="W263" s="163" t="s">
        <v>54</v>
      </c>
      <c r="X263" s="215"/>
      <c r="Y263" s="216">
        <v>0</v>
      </c>
      <c r="Z263" s="216">
        <v>0</v>
      </c>
      <c r="AA263" s="263"/>
      <c r="AB263" s="305"/>
    </row>
    <row r="264" spans="1:29" ht="24" hidden="1" x14ac:dyDescent="0.25">
      <c r="A264" s="131">
        <v>1</v>
      </c>
      <c r="B264" s="136">
        <v>1109026</v>
      </c>
      <c r="C264" s="127" t="s">
        <v>30</v>
      </c>
      <c r="D264" s="129" t="s">
        <v>512</v>
      </c>
      <c r="E264" s="151" t="s">
        <v>32</v>
      </c>
      <c r="F264" s="129" t="s">
        <v>33</v>
      </c>
      <c r="G264" s="147" t="s">
        <v>34</v>
      </c>
      <c r="H264" s="191">
        <f t="shared" si="4"/>
        <v>3</v>
      </c>
      <c r="I264" s="222" t="s">
        <v>2228</v>
      </c>
      <c r="J264" s="146">
        <v>0</v>
      </c>
      <c r="K264" s="147">
        <v>5</v>
      </c>
      <c r="L264" s="147">
        <v>1</v>
      </c>
      <c r="M264" s="147">
        <v>6</v>
      </c>
      <c r="N264" s="289">
        <v>1100</v>
      </c>
      <c r="O264" s="196"/>
      <c r="P264" s="180"/>
      <c r="Q264" s="174">
        <v>3</v>
      </c>
      <c r="R264" s="205">
        <v>0</v>
      </c>
      <c r="S264" s="165" t="s">
        <v>35</v>
      </c>
      <c r="T264" s="129" t="s">
        <v>36</v>
      </c>
      <c r="U264" s="147" t="s">
        <v>37</v>
      </c>
      <c r="V264" s="129"/>
      <c r="W264" s="177" t="s">
        <v>54</v>
      </c>
      <c r="X264" s="215"/>
      <c r="Y264" s="216">
        <v>0</v>
      </c>
      <c r="Z264" s="216">
        <v>0</v>
      </c>
      <c r="AA264" s="263"/>
      <c r="AB264" s="305"/>
    </row>
    <row r="265" spans="1:29" ht="24" hidden="1" x14ac:dyDescent="0.25">
      <c r="A265" s="131">
        <v>1</v>
      </c>
      <c r="B265" s="136">
        <v>1109027</v>
      </c>
      <c r="C265" s="127" t="s">
        <v>30</v>
      </c>
      <c r="D265" s="129" t="s">
        <v>513</v>
      </c>
      <c r="E265" s="151" t="s">
        <v>32</v>
      </c>
      <c r="F265" s="129" t="s">
        <v>33</v>
      </c>
      <c r="G265" s="147" t="s">
        <v>34</v>
      </c>
      <c r="H265" s="191">
        <f t="shared" si="4"/>
        <v>3.48</v>
      </c>
      <c r="I265" s="222" t="s">
        <v>2228</v>
      </c>
      <c r="J265" s="146">
        <v>0</v>
      </c>
      <c r="K265" s="147">
        <v>5</v>
      </c>
      <c r="L265" s="147">
        <v>1</v>
      </c>
      <c r="M265" s="147">
        <v>6</v>
      </c>
      <c r="N265" s="289">
        <v>1100</v>
      </c>
      <c r="O265" s="196"/>
      <c r="P265" s="180"/>
      <c r="Q265" s="174">
        <v>3.48</v>
      </c>
      <c r="R265" s="205">
        <v>0</v>
      </c>
      <c r="S265" s="165" t="s">
        <v>35</v>
      </c>
      <c r="T265" s="129" t="s">
        <v>36</v>
      </c>
      <c r="U265" s="147" t="s">
        <v>37</v>
      </c>
      <c r="V265" s="129"/>
      <c r="W265" s="177" t="s">
        <v>54</v>
      </c>
      <c r="X265" s="215"/>
      <c r="Y265" s="216">
        <v>0</v>
      </c>
      <c r="Z265" s="216">
        <v>0</v>
      </c>
      <c r="AA265" s="263"/>
      <c r="AB265" s="305"/>
    </row>
    <row r="266" spans="1:29" s="182" customFormat="1" hidden="1" x14ac:dyDescent="0.25">
      <c r="A266" s="131">
        <v>1</v>
      </c>
      <c r="B266" s="136">
        <v>1109030</v>
      </c>
      <c r="C266" s="127" t="s">
        <v>30</v>
      </c>
      <c r="D266" s="129" t="s">
        <v>514</v>
      </c>
      <c r="E266" s="151" t="s">
        <v>515</v>
      </c>
      <c r="F266" s="129" t="s">
        <v>516</v>
      </c>
      <c r="G266" s="147" t="s">
        <v>34</v>
      </c>
      <c r="H266" s="191">
        <f t="shared" si="4"/>
        <v>0</v>
      </c>
      <c r="I266" s="225"/>
      <c r="J266" s="149"/>
      <c r="K266" s="147"/>
      <c r="L266" s="147"/>
      <c r="M266" s="147">
        <v>5</v>
      </c>
      <c r="N266" s="289">
        <v>39683</v>
      </c>
      <c r="O266" s="196"/>
      <c r="P266" s="180"/>
      <c r="Q266" s="174"/>
      <c r="R266" s="206">
        <v>0</v>
      </c>
      <c r="S266" s="165" t="s">
        <v>35</v>
      </c>
      <c r="T266" s="129" t="s">
        <v>517</v>
      </c>
      <c r="U266" s="147" t="s">
        <v>35</v>
      </c>
      <c r="V266" s="129"/>
      <c r="W266" s="163" t="s">
        <v>54</v>
      </c>
      <c r="X266" s="215"/>
      <c r="Y266" s="216">
        <v>0</v>
      </c>
      <c r="Z266" s="216">
        <v>0</v>
      </c>
      <c r="AA266" s="263"/>
      <c r="AB266" s="305"/>
      <c r="AC266" s="214"/>
    </row>
    <row r="267" spans="1:29" s="182" customFormat="1" hidden="1" x14ac:dyDescent="0.25">
      <c r="A267" s="131">
        <v>1</v>
      </c>
      <c r="B267" s="136">
        <v>1109031</v>
      </c>
      <c r="C267" s="127" t="s">
        <v>30</v>
      </c>
      <c r="D267" s="129" t="s">
        <v>521</v>
      </c>
      <c r="E267" s="151" t="s">
        <v>515</v>
      </c>
      <c r="F267" s="129" t="s">
        <v>516</v>
      </c>
      <c r="G267" s="147" t="s">
        <v>34</v>
      </c>
      <c r="H267" s="191">
        <f t="shared" si="4"/>
        <v>0</v>
      </c>
      <c r="I267" s="225"/>
      <c r="J267" s="149"/>
      <c r="K267" s="147"/>
      <c r="L267" s="147"/>
      <c r="M267" s="147">
        <v>5</v>
      </c>
      <c r="N267" s="289">
        <v>39683</v>
      </c>
      <c r="O267" s="196"/>
      <c r="P267" s="180"/>
      <c r="Q267" s="174"/>
      <c r="R267" s="206">
        <v>0</v>
      </c>
      <c r="S267" s="165" t="s">
        <v>35</v>
      </c>
      <c r="T267" s="129" t="s">
        <v>517</v>
      </c>
      <c r="U267" s="147" t="s">
        <v>35</v>
      </c>
      <c r="V267" s="129"/>
      <c r="W267" s="163" t="s">
        <v>54</v>
      </c>
      <c r="X267" s="215"/>
      <c r="Y267" s="216">
        <v>0</v>
      </c>
      <c r="Z267" s="216">
        <v>0</v>
      </c>
      <c r="AA267" s="263"/>
      <c r="AB267" s="305"/>
      <c r="AC267" s="214"/>
    </row>
    <row r="268" spans="1:29" s="182" customFormat="1" hidden="1" x14ac:dyDescent="0.25">
      <c r="A268" s="131">
        <v>1</v>
      </c>
      <c r="B268" s="136">
        <v>1109040</v>
      </c>
      <c r="C268" s="127" t="s">
        <v>30</v>
      </c>
      <c r="D268" s="129" t="s">
        <v>522</v>
      </c>
      <c r="E268" s="151" t="s">
        <v>523</v>
      </c>
      <c r="F268" s="129" t="s">
        <v>524</v>
      </c>
      <c r="G268" s="147" t="s">
        <v>34</v>
      </c>
      <c r="H268" s="191">
        <f t="shared" si="4"/>
        <v>0</v>
      </c>
      <c r="I268" s="225"/>
      <c r="J268" s="149"/>
      <c r="K268" s="147"/>
      <c r="L268" s="147"/>
      <c r="M268" s="147">
        <v>6</v>
      </c>
      <c r="N268" s="289">
        <v>1500</v>
      </c>
      <c r="O268" s="196"/>
      <c r="P268" s="180"/>
      <c r="Q268" s="174"/>
      <c r="R268" s="206">
        <v>0</v>
      </c>
      <c r="S268" s="165" t="s">
        <v>35</v>
      </c>
      <c r="T268" s="129" t="s">
        <v>517</v>
      </c>
      <c r="U268" s="147" t="s">
        <v>35</v>
      </c>
      <c r="V268" s="129"/>
      <c r="W268" s="163" t="s">
        <v>54</v>
      </c>
      <c r="X268" s="215"/>
      <c r="Y268" s="216">
        <v>0</v>
      </c>
      <c r="Z268" s="216">
        <v>0</v>
      </c>
      <c r="AA268" s="263"/>
      <c r="AB268" s="305"/>
      <c r="AC268" s="214"/>
    </row>
    <row r="269" spans="1:29" s="182" customFormat="1" hidden="1" x14ac:dyDescent="0.25">
      <c r="A269" s="131">
        <v>1</v>
      </c>
      <c r="B269" s="136">
        <v>1109041</v>
      </c>
      <c r="C269" s="127" t="s">
        <v>30</v>
      </c>
      <c r="D269" s="129" t="s">
        <v>528</v>
      </c>
      <c r="E269" s="151" t="s">
        <v>523</v>
      </c>
      <c r="F269" s="129" t="s">
        <v>517</v>
      </c>
      <c r="G269" s="147" t="s">
        <v>34</v>
      </c>
      <c r="H269" s="191">
        <f t="shared" si="4"/>
        <v>0</v>
      </c>
      <c r="I269" s="225"/>
      <c r="J269" s="149"/>
      <c r="K269" s="147">
        <v>11</v>
      </c>
      <c r="L269" s="147">
        <v>1</v>
      </c>
      <c r="M269" s="147">
        <v>12</v>
      </c>
      <c r="N269" s="289"/>
      <c r="O269" s="196"/>
      <c r="P269" s="180"/>
      <c r="Q269" s="174"/>
      <c r="R269" s="206">
        <v>0</v>
      </c>
      <c r="S269" s="165" t="s">
        <v>35</v>
      </c>
      <c r="T269" s="129" t="s">
        <v>517</v>
      </c>
      <c r="U269" s="147" t="s">
        <v>35</v>
      </c>
      <c r="V269" s="129"/>
      <c r="W269" s="177" t="s">
        <v>2531</v>
      </c>
      <c r="X269" s="215"/>
      <c r="Y269" s="216">
        <v>0</v>
      </c>
      <c r="Z269" s="216">
        <v>0</v>
      </c>
      <c r="AA269" s="263"/>
      <c r="AB269" s="305"/>
      <c r="AC269" s="214"/>
    </row>
    <row r="270" spans="1:29" s="182" customFormat="1" hidden="1" x14ac:dyDescent="0.25">
      <c r="A270" s="131">
        <v>1</v>
      </c>
      <c r="B270" s="136">
        <v>1109042</v>
      </c>
      <c r="C270" s="127" t="s">
        <v>30</v>
      </c>
      <c r="D270" s="129" t="s">
        <v>532</v>
      </c>
      <c r="E270" s="151" t="s">
        <v>523</v>
      </c>
      <c r="F270" s="129" t="s">
        <v>517</v>
      </c>
      <c r="G270" s="147" t="s">
        <v>34</v>
      </c>
      <c r="H270" s="191">
        <f t="shared" si="4"/>
        <v>0</v>
      </c>
      <c r="I270" s="225"/>
      <c r="J270" s="149"/>
      <c r="K270" s="147">
        <v>11</v>
      </c>
      <c r="L270" s="147">
        <v>1</v>
      </c>
      <c r="M270" s="147">
        <v>12</v>
      </c>
      <c r="N270" s="289"/>
      <c r="O270" s="196"/>
      <c r="P270" s="180"/>
      <c r="Q270" s="174"/>
      <c r="R270" s="206">
        <v>0</v>
      </c>
      <c r="S270" s="165" t="s">
        <v>35</v>
      </c>
      <c r="T270" s="129" t="s">
        <v>517</v>
      </c>
      <c r="U270" s="147" t="s">
        <v>35</v>
      </c>
      <c r="V270" s="129"/>
      <c r="W270" s="177" t="s">
        <v>2531</v>
      </c>
      <c r="X270" s="215"/>
      <c r="Y270" s="216">
        <v>0</v>
      </c>
      <c r="Z270" s="216">
        <v>0</v>
      </c>
      <c r="AA270" s="263"/>
      <c r="AB270" s="305"/>
      <c r="AC270" s="214"/>
    </row>
    <row r="271" spans="1:29" s="182" customFormat="1" hidden="1" x14ac:dyDescent="0.25">
      <c r="A271" s="131">
        <v>1</v>
      </c>
      <c r="B271" s="136">
        <v>1109043</v>
      </c>
      <c r="C271" s="127" t="s">
        <v>30</v>
      </c>
      <c r="D271" s="129" t="s">
        <v>533</v>
      </c>
      <c r="E271" s="151" t="s">
        <v>32</v>
      </c>
      <c r="F271" s="129" t="s">
        <v>189</v>
      </c>
      <c r="G271" s="147" t="s">
        <v>34</v>
      </c>
      <c r="H271" s="191">
        <f t="shared" si="4"/>
        <v>0</v>
      </c>
      <c r="I271" s="134"/>
      <c r="J271" s="150"/>
      <c r="K271" s="147">
        <v>12</v>
      </c>
      <c r="L271" s="147">
        <v>1</v>
      </c>
      <c r="M271" s="147">
        <v>13</v>
      </c>
      <c r="N271" s="289"/>
      <c r="O271" s="196"/>
      <c r="P271" s="180"/>
      <c r="Q271" s="174"/>
      <c r="R271" s="205"/>
      <c r="S271" s="165"/>
      <c r="T271" s="129" t="s">
        <v>189</v>
      </c>
      <c r="U271" s="147" t="s">
        <v>37</v>
      </c>
      <c r="V271" s="129"/>
      <c r="W271" s="177" t="s">
        <v>2531</v>
      </c>
      <c r="X271" s="215"/>
      <c r="Y271" s="216">
        <v>0</v>
      </c>
      <c r="Z271" s="216">
        <v>0</v>
      </c>
      <c r="AA271" s="263"/>
      <c r="AB271" s="305"/>
      <c r="AC271" s="212"/>
    </row>
    <row r="272" spans="1:29" ht="24" hidden="1" x14ac:dyDescent="0.25">
      <c r="A272" s="131">
        <v>1</v>
      </c>
      <c r="B272" s="136">
        <v>1109044</v>
      </c>
      <c r="C272" s="127" t="s">
        <v>30</v>
      </c>
      <c r="D272" s="129" t="s">
        <v>534</v>
      </c>
      <c r="E272" s="151" t="s">
        <v>535</v>
      </c>
      <c r="F272" s="129" t="s">
        <v>33</v>
      </c>
      <c r="G272" s="147" t="s">
        <v>34</v>
      </c>
      <c r="H272" s="191">
        <f t="shared" si="4"/>
        <v>0</v>
      </c>
      <c r="I272" s="222" t="s">
        <v>2228</v>
      </c>
      <c r="J272" s="146">
        <v>0</v>
      </c>
      <c r="K272" s="147">
        <v>11</v>
      </c>
      <c r="L272" s="147">
        <v>1</v>
      </c>
      <c r="M272" s="147">
        <v>12</v>
      </c>
      <c r="N272" s="289"/>
      <c r="O272" s="196"/>
      <c r="P272" s="180"/>
      <c r="Q272" s="174"/>
      <c r="R272" s="205">
        <v>0</v>
      </c>
      <c r="S272" s="165"/>
      <c r="T272" s="129"/>
      <c r="U272" s="147" t="s">
        <v>37</v>
      </c>
      <c r="V272" s="129"/>
      <c r="W272" s="177" t="s">
        <v>54</v>
      </c>
      <c r="X272" s="215"/>
      <c r="Y272" s="216">
        <v>0</v>
      </c>
      <c r="Z272" s="216">
        <v>0</v>
      </c>
      <c r="AA272" s="263"/>
      <c r="AB272" s="305"/>
    </row>
    <row r="273" spans="1:29" ht="24" hidden="1" x14ac:dyDescent="0.25">
      <c r="A273" s="131">
        <v>1</v>
      </c>
      <c r="B273" s="136">
        <v>1109045</v>
      </c>
      <c r="C273" s="127" t="s">
        <v>30</v>
      </c>
      <c r="D273" s="129" t="s">
        <v>536</v>
      </c>
      <c r="E273" s="151" t="s">
        <v>535</v>
      </c>
      <c r="F273" s="129" t="s">
        <v>33</v>
      </c>
      <c r="G273" s="147" t="s">
        <v>34</v>
      </c>
      <c r="H273" s="191">
        <f t="shared" si="4"/>
        <v>0</v>
      </c>
      <c r="I273" s="222" t="s">
        <v>2228</v>
      </c>
      <c r="J273" s="146">
        <v>0</v>
      </c>
      <c r="K273" s="147">
        <v>11</v>
      </c>
      <c r="L273" s="147">
        <v>1</v>
      </c>
      <c r="M273" s="147">
        <v>12</v>
      </c>
      <c r="N273" s="289"/>
      <c r="O273" s="196"/>
      <c r="P273" s="180"/>
      <c r="Q273" s="174"/>
      <c r="R273" s="205">
        <v>0</v>
      </c>
      <c r="S273" s="165"/>
      <c r="T273" s="129"/>
      <c r="U273" s="147" t="s">
        <v>37</v>
      </c>
      <c r="V273" s="129"/>
      <c r="W273" s="177" t="s">
        <v>54</v>
      </c>
      <c r="X273" s="215"/>
      <c r="Y273" s="216">
        <v>0</v>
      </c>
      <c r="Z273" s="216">
        <v>0</v>
      </c>
      <c r="AA273" s="263"/>
      <c r="AB273" s="305"/>
    </row>
    <row r="274" spans="1:29" ht="24" x14ac:dyDescent="0.25">
      <c r="A274" s="131">
        <v>1</v>
      </c>
      <c r="B274" s="136">
        <v>1109046</v>
      </c>
      <c r="C274" s="127" t="s">
        <v>30</v>
      </c>
      <c r="D274" s="129" t="s">
        <v>537</v>
      </c>
      <c r="E274" s="151" t="s">
        <v>86</v>
      </c>
      <c r="F274" s="129" t="s">
        <v>33</v>
      </c>
      <c r="G274" s="147" t="s">
        <v>34</v>
      </c>
      <c r="H274" s="191">
        <f t="shared" si="4"/>
        <v>3.23</v>
      </c>
      <c r="I274" s="222" t="s">
        <v>2228</v>
      </c>
      <c r="J274" s="146">
        <v>0</v>
      </c>
      <c r="K274" s="147">
        <v>11</v>
      </c>
      <c r="L274" s="147">
        <v>1</v>
      </c>
      <c r="M274" s="147">
        <v>12</v>
      </c>
      <c r="N274" s="289">
        <v>1102</v>
      </c>
      <c r="O274" s="195"/>
      <c r="P274" s="180"/>
      <c r="Q274" s="174">
        <v>3.23</v>
      </c>
      <c r="R274" s="205">
        <v>0</v>
      </c>
      <c r="S274" s="165"/>
      <c r="T274" s="129" t="s">
        <v>2091</v>
      </c>
      <c r="U274" s="147" t="s">
        <v>37</v>
      </c>
      <c r="V274" s="129"/>
      <c r="W274" s="147" t="s">
        <v>2213</v>
      </c>
      <c r="X274" s="215" t="s">
        <v>1009</v>
      </c>
      <c r="Y274" s="216">
        <v>0</v>
      </c>
      <c r="Z274" s="216">
        <v>0</v>
      </c>
      <c r="AA274" s="263"/>
      <c r="AB274" s="305"/>
    </row>
    <row r="275" spans="1:29" s="182" customFormat="1" hidden="1" x14ac:dyDescent="0.25">
      <c r="A275" s="131">
        <v>1</v>
      </c>
      <c r="B275" s="156">
        <v>1109047</v>
      </c>
      <c r="C275" s="127" t="s">
        <v>30</v>
      </c>
      <c r="D275" s="129" t="s">
        <v>1631</v>
      </c>
      <c r="E275" s="151" t="s">
        <v>1632</v>
      </c>
      <c r="F275" s="129" t="s">
        <v>1625</v>
      </c>
      <c r="G275" s="147" t="s">
        <v>34</v>
      </c>
      <c r="H275" s="191">
        <f t="shared" si="4"/>
        <v>0</v>
      </c>
      <c r="I275" s="181" t="s">
        <v>2218</v>
      </c>
      <c r="J275" s="150"/>
      <c r="K275" s="147">
        <v>11</v>
      </c>
      <c r="L275" s="147">
        <v>1</v>
      </c>
      <c r="M275" s="147">
        <v>12</v>
      </c>
      <c r="N275" s="289"/>
      <c r="O275" s="196"/>
      <c r="P275" s="180"/>
      <c r="Q275" s="174"/>
      <c r="R275" s="205"/>
      <c r="S275" s="165"/>
      <c r="T275" s="129" t="s">
        <v>1625</v>
      </c>
      <c r="U275" s="147" t="s">
        <v>37</v>
      </c>
      <c r="V275" s="129"/>
      <c r="W275" s="163" t="s">
        <v>2531</v>
      </c>
      <c r="X275" s="215"/>
      <c r="Y275" s="216">
        <v>0</v>
      </c>
      <c r="Z275" s="216">
        <v>0</v>
      </c>
      <c r="AA275" s="263"/>
      <c r="AB275" s="305"/>
      <c r="AC275" s="214"/>
    </row>
    <row r="276" spans="1:29" s="182" customFormat="1" hidden="1" x14ac:dyDescent="0.25">
      <c r="A276" s="131">
        <v>1</v>
      </c>
      <c r="B276" s="136">
        <v>1109100</v>
      </c>
      <c r="C276" s="127" t="s">
        <v>30</v>
      </c>
      <c r="D276" s="129" t="s">
        <v>538</v>
      </c>
      <c r="E276" s="151" t="s">
        <v>545</v>
      </c>
      <c r="F276" s="129" t="s">
        <v>539</v>
      </c>
      <c r="G276" s="147" t="s">
        <v>34</v>
      </c>
      <c r="H276" s="191">
        <f t="shared" si="4"/>
        <v>0</v>
      </c>
      <c r="I276" s="225"/>
      <c r="J276" s="149"/>
      <c r="K276" s="147">
        <v>11</v>
      </c>
      <c r="L276" s="147">
        <v>1</v>
      </c>
      <c r="M276" s="147">
        <v>12</v>
      </c>
      <c r="N276" s="289"/>
      <c r="O276" s="196"/>
      <c r="P276" s="180"/>
      <c r="Q276" s="174"/>
      <c r="R276" s="206">
        <v>0</v>
      </c>
      <c r="S276" s="166"/>
      <c r="T276" s="129" t="s">
        <v>36</v>
      </c>
      <c r="U276" s="147" t="s">
        <v>37</v>
      </c>
      <c r="V276" s="129"/>
      <c r="W276" s="163" t="s">
        <v>54</v>
      </c>
      <c r="X276" s="215"/>
      <c r="Y276" s="216">
        <v>0</v>
      </c>
      <c r="Z276" s="216">
        <v>0</v>
      </c>
      <c r="AA276" s="263"/>
      <c r="AB276" s="305"/>
      <c r="AC276" s="214"/>
    </row>
    <row r="277" spans="1:29" s="182" customFormat="1" hidden="1" x14ac:dyDescent="0.25">
      <c r="A277" s="131">
        <v>1</v>
      </c>
      <c r="B277" s="136">
        <v>1109101</v>
      </c>
      <c r="C277" s="127" t="s">
        <v>30</v>
      </c>
      <c r="D277" s="129" t="s">
        <v>543</v>
      </c>
      <c r="E277" s="151" t="s">
        <v>1933</v>
      </c>
      <c r="F277" s="129" t="s">
        <v>539</v>
      </c>
      <c r="G277" s="147" t="s">
        <v>34</v>
      </c>
      <c r="H277" s="191">
        <f t="shared" si="4"/>
        <v>0</v>
      </c>
      <c r="I277" s="225"/>
      <c r="J277" s="149"/>
      <c r="K277" s="147">
        <v>11</v>
      </c>
      <c r="L277" s="147">
        <v>1</v>
      </c>
      <c r="M277" s="147">
        <v>12</v>
      </c>
      <c r="N277" s="289"/>
      <c r="O277" s="196"/>
      <c r="P277" s="180"/>
      <c r="Q277" s="174"/>
      <c r="R277" s="206">
        <v>0</v>
      </c>
      <c r="S277" s="166"/>
      <c r="T277" s="129" t="s">
        <v>36</v>
      </c>
      <c r="U277" s="147" t="s">
        <v>37</v>
      </c>
      <c r="V277" s="129"/>
      <c r="W277" s="163" t="s">
        <v>54</v>
      </c>
      <c r="X277" s="215"/>
      <c r="Y277" s="216">
        <v>0</v>
      </c>
      <c r="Z277" s="216">
        <v>0</v>
      </c>
      <c r="AA277" s="263"/>
      <c r="AB277" s="305"/>
      <c r="AC277" s="214"/>
    </row>
    <row r="278" spans="1:29" s="182" customFormat="1" hidden="1" x14ac:dyDescent="0.25">
      <c r="A278" s="131">
        <v>1</v>
      </c>
      <c r="B278" s="136">
        <v>1109102</v>
      </c>
      <c r="C278" s="127" t="s">
        <v>30</v>
      </c>
      <c r="D278" s="129" t="s">
        <v>544</v>
      </c>
      <c r="E278" s="151" t="s">
        <v>545</v>
      </c>
      <c r="F278" s="129" t="s">
        <v>539</v>
      </c>
      <c r="G278" s="147" t="s">
        <v>34</v>
      </c>
      <c r="H278" s="191">
        <f t="shared" si="4"/>
        <v>2.1</v>
      </c>
      <c r="I278" s="134"/>
      <c r="J278" s="150"/>
      <c r="K278" s="147"/>
      <c r="L278" s="147"/>
      <c r="M278" s="147">
        <v>5</v>
      </c>
      <c r="N278" s="289">
        <v>2500</v>
      </c>
      <c r="O278" s="196"/>
      <c r="P278" s="180"/>
      <c r="Q278" s="174">
        <v>2.1</v>
      </c>
      <c r="R278" s="205">
        <v>0</v>
      </c>
      <c r="S278" s="165" t="s">
        <v>35</v>
      </c>
      <c r="T278" s="129" t="s">
        <v>36</v>
      </c>
      <c r="U278" s="147" t="s">
        <v>37</v>
      </c>
      <c r="V278" s="129"/>
      <c r="W278" s="177" t="s">
        <v>54</v>
      </c>
      <c r="X278" s="215"/>
      <c r="Y278" s="216">
        <v>0</v>
      </c>
      <c r="Z278" s="216">
        <v>0</v>
      </c>
      <c r="AA278" s="263"/>
      <c r="AB278" s="305"/>
      <c r="AC278" s="212"/>
    </row>
    <row r="279" spans="1:29" s="182" customFormat="1" hidden="1" x14ac:dyDescent="0.25">
      <c r="A279" s="131">
        <v>1</v>
      </c>
      <c r="B279" s="136">
        <v>1109110</v>
      </c>
      <c r="C279" s="127" t="s">
        <v>30</v>
      </c>
      <c r="D279" s="129" t="s">
        <v>549</v>
      </c>
      <c r="E279" s="151" t="s">
        <v>550</v>
      </c>
      <c r="F279" s="129" t="s">
        <v>551</v>
      </c>
      <c r="G279" s="147" t="s">
        <v>34</v>
      </c>
      <c r="H279" s="191">
        <f t="shared" si="4"/>
        <v>2.83</v>
      </c>
      <c r="I279" s="225"/>
      <c r="J279" s="149"/>
      <c r="K279" s="147"/>
      <c r="L279" s="147"/>
      <c r="M279" s="147">
        <v>6</v>
      </c>
      <c r="N279" s="289">
        <v>10500</v>
      </c>
      <c r="O279" s="196"/>
      <c r="P279" s="180"/>
      <c r="Q279" s="174">
        <v>2.83</v>
      </c>
      <c r="R279" s="206">
        <v>0</v>
      </c>
      <c r="S279" s="166"/>
      <c r="T279" s="129" t="s">
        <v>517</v>
      </c>
      <c r="U279" s="147" t="s">
        <v>35</v>
      </c>
      <c r="V279" s="129"/>
      <c r="W279" s="163" t="s">
        <v>54</v>
      </c>
      <c r="X279" s="215"/>
      <c r="Y279" s="216">
        <v>0</v>
      </c>
      <c r="Z279" s="216">
        <v>0</v>
      </c>
      <c r="AA279" s="263"/>
      <c r="AB279" s="305"/>
      <c r="AC279" s="214"/>
    </row>
    <row r="280" spans="1:29" s="182" customFormat="1" hidden="1" x14ac:dyDescent="0.25">
      <c r="A280" s="131">
        <v>1</v>
      </c>
      <c r="B280" s="136">
        <v>1109111</v>
      </c>
      <c r="C280" s="127" t="s">
        <v>30</v>
      </c>
      <c r="D280" s="127" t="s">
        <v>555</v>
      </c>
      <c r="E280" s="297" t="s">
        <v>1928</v>
      </c>
      <c r="F280" s="129" t="s">
        <v>556</v>
      </c>
      <c r="G280" s="147" t="s">
        <v>1731</v>
      </c>
      <c r="H280" s="191">
        <f t="shared" si="4"/>
        <v>0</v>
      </c>
      <c r="I280" s="134"/>
      <c r="J280" s="150"/>
      <c r="K280" s="147">
        <v>11</v>
      </c>
      <c r="L280" s="147">
        <v>1</v>
      </c>
      <c r="M280" s="147">
        <v>12</v>
      </c>
      <c r="N280" s="289">
        <v>0</v>
      </c>
      <c r="O280" s="196"/>
      <c r="P280" s="180"/>
      <c r="Q280" s="174"/>
      <c r="R280" s="205">
        <v>0</v>
      </c>
      <c r="S280" s="168"/>
      <c r="T280" s="129"/>
      <c r="U280" s="147" t="s">
        <v>37</v>
      </c>
      <c r="V280" s="129"/>
      <c r="W280" s="177" t="s">
        <v>54</v>
      </c>
      <c r="X280" s="215"/>
      <c r="Y280" s="216">
        <v>0</v>
      </c>
      <c r="Z280" s="216">
        <v>0</v>
      </c>
      <c r="AA280" s="263"/>
      <c r="AB280" s="305"/>
      <c r="AC280" s="212"/>
    </row>
    <row r="281" spans="1:29" s="182" customFormat="1" hidden="1" x14ac:dyDescent="0.25">
      <c r="A281" s="131">
        <v>1</v>
      </c>
      <c r="B281" s="136">
        <v>1109112</v>
      </c>
      <c r="C281" s="127" t="s">
        <v>30</v>
      </c>
      <c r="D281" s="127" t="s">
        <v>558</v>
      </c>
      <c r="E281" s="297" t="s">
        <v>32</v>
      </c>
      <c r="F281" s="138" t="s">
        <v>57</v>
      </c>
      <c r="G281" s="147" t="s">
        <v>34</v>
      </c>
      <c r="H281" s="191">
        <f t="shared" si="4"/>
        <v>0</v>
      </c>
      <c r="I281" s="134"/>
      <c r="J281" s="150"/>
      <c r="K281" s="147">
        <v>12</v>
      </c>
      <c r="L281" s="147">
        <v>1</v>
      </c>
      <c r="M281" s="147">
        <v>13</v>
      </c>
      <c r="N281" s="289"/>
      <c r="O281" s="196"/>
      <c r="P281" s="180"/>
      <c r="Q281" s="174"/>
      <c r="R281" s="205">
        <v>0</v>
      </c>
      <c r="S281" s="168"/>
      <c r="T281" s="129" t="s">
        <v>102</v>
      </c>
      <c r="U281" s="147" t="s">
        <v>35</v>
      </c>
      <c r="V281" s="129"/>
      <c r="W281" s="177" t="s">
        <v>54</v>
      </c>
      <c r="X281" s="215"/>
      <c r="Y281" s="216">
        <v>0</v>
      </c>
      <c r="Z281" s="216">
        <v>0</v>
      </c>
      <c r="AA281" s="263"/>
      <c r="AB281" s="305"/>
      <c r="AC281" s="212"/>
    </row>
    <row r="282" spans="1:29" x14ac:dyDescent="0.25">
      <c r="A282" s="131">
        <v>1</v>
      </c>
      <c r="B282" s="136">
        <v>1109113</v>
      </c>
      <c r="C282" s="127" t="s">
        <v>30</v>
      </c>
      <c r="D282" s="129" t="s">
        <v>559</v>
      </c>
      <c r="E282" s="147" t="s">
        <v>138</v>
      </c>
      <c r="F282" s="129" t="s">
        <v>1616</v>
      </c>
      <c r="G282" s="147" t="s">
        <v>34</v>
      </c>
      <c r="H282" s="191">
        <f t="shared" si="4"/>
        <v>3.3299999999999996</v>
      </c>
      <c r="I282" s="222" t="s">
        <v>2084</v>
      </c>
      <c r="J282" s="146">
        <v>0</v>
      </c>
      <c r="K282" s="147">
        <v>6</v>
      </c>
      <c r="L282" s="147">
        <v>2</v>
      </c>
      <c r="M282" s="147">
        <v>8</v>
      </c>
      <c r="N282" s="289">
        <v>1650</v>
      </c>
      <c r="O282" s="195">
        <v>3.16</v>
      </c>
      <c r="P282" s="180">
        <v>46133</v>
      </c>
      <c r="Q282" s="174">
        <v>3.28</v>
      </c>
      <c r="R282" s="205">
        <v>0.05</v>
      </c>
      <c r="S282" s="165"/>
      <c r="T282" s="129" t="s">
        <v>36</v>
      </c>
      <c r="U282" s="147" t="s">
        <v>37</v>
      </c>
      <c r="V282" s="129"/>
      <c r="W282" s="147" t="s">
        <v>2213</v>
      </c>
      <c r="X282" s="215" t="s">
        <v>1009</v>
      </c>
      <c r="Y282" s="216">
        <v>5025.8741500000015</v>
      </c>
      <c r="Z282" s="216">
        <v>6396.567100000002</v>
      </c>
      <c r="AA282" s="263"/>
      <c r="AB282" s="305"/>
    </row>
    <row r="283" spans="1:29" hidden="1" x14ac:dyDescent="0.25">
      <c r="A283" s="131">
        <v>1</v>
      </c>
      <c r="B283" s="136">
        <v>1109114</v>
      </c>
      <c r="C283" s="127" t="s">
        <v>30</v>
      </c>
      <c r="D283" s="129" t="s">
        <v>560</v>
      </c>
      <c r="E283" s="147" t="s">
        <v>380</v>
      </c>
      <c r="F283" s="129" t="s">
        <v>36</v>
      </c>
      <c r="G283" s="147" t="s">
        <v>34</v>
      </c>
      <c r="H283" s="191">
        <f t="shared" si="4"/>
        <v>0</v>
      </c>
      <c r="I283" s="181" t="s">
        <v>2218</v>
      </c>
      <c r="J283" s="150"/>
      <c r="K283" s="147">
        <v>2</v>
      </c>
      <c r="L283" s="147">
        <v>1</v>
      </c>
      <c r="M283" s="147">
        <v>3</v>
      </c>
      <c r="N283" s="289"/>
      <c r="O283" s="196"/>
      <c r="P283" s="180"/>
      <c r="Q283" s="174"/>
      <c r="R283" s="206">
        <v>0</v>
      </c>
      <c r="S283" s="166"/>
      <c r="T283" s="129" t="s">
        <v>36</v>
      </c>
      <c r="U283" s="147" t="s">
        <v>37</v>
      </c>
      <c r="V283" s="129"/>
      <c r="W283" s="163" t="s">
        <v>2531</v>
      </c>
      <c r="X283" s="215"/>
      <c r="Y283" s="216">
        <v>0</v>
      </c>
      <c r="Z283" s="216">
        <v>0</v>
      </c>
      <c r="AA283" s="263"/>
      <c r="AB283" s="305"/>
    </row>
    <row r="284" spans="1:29" s="182" customFormat="1" hidden="1" x14ac:dyDescent="0.25">
      <c r="A284" s="131">
        <v>1</v>
      </c>
      <c r="B284" s="136">
        <v>1109115</v>
      </c>
      <c r="C284" s="127" t="s">
        <v>30</v>
      </c>
      <c r="D284" s="129" t="s">
        <v>562</v>
      </c>
      <c r="E284" s="147" t="s">
        <v>380</v>
      </c>
      <c r="F284" s="129" t="s">
        <v>563</v>
      </c>
      <c r="G284" s="147" t="s">
        <v>34</v>
      </c>
      <c r="H284" s="191">
        <f t="shared" si="4"/>
        <v>2.4900000000000002</v>
      </c>
      <c r="I284" s="134"/>
      <c r="J284" s="150"/>
      <c r="K284" s="147"/>
      <c r="L284" s="147"/>
      <c r="M284" s="147">
        <v>10</v>
      </c>
      <c r="N284" s="289">
        <v>2202</v>
      </c>
      <c r="O284" s="196"/>
      <c r="P284" s="180"/>
      <c r="Q284" s="174">
        <v>2.25</v>
      </c>
      <c r="R284" s="205">
        <v>0.24</v>
      </c>
      <c r="S284" s="166"/>
      <c r="T284" s="129" t="s">
        <v>36</v>
      </c>
      <c r="U284" s="147" t="s">
        <v>37</v>
      </c>
      <c r="V284" s="129"/>
      <c r="W284" s="177" t="s">
        <v>54</v>
      </c>
      <c r="X284" s="215"/>
      <c r="Y284" s="216">
        <v>0</v>
      </c>
      <c r="Z284" s="216">
        <v>0</v>
      </c>
      <c r="AA284" s="263"/>
      <c r="AB284" s="305"/>
      <c r="AC284" s="212"/>
    </row>
    <row r="285" spans="1:29" s="182" customFormat="1" hidden="1" x14ac:dyDescent="0.25">
      <c r="A285" s="131">
        <v>1</v>
      </c>
      <c r="B285" s="136">
        <v>1109116</v>
      </c>
      <c r="C285" s="127" t="s">
        <v>30</v>
      </c>
      <c r="D285" s="129" t="s">
        <v>1623</v>
      </c>
      <c r="E285" s="147" t="s">
        <v>1624</v>
      </c>
      <c r="F285" s="129" t="s">
        <v>1625</v>
      </c>
      <c r="G285" s="147" t="s">
        <v>34</v>
      </c>
      <c r="H285" s="191">
        <f t="shared" si="4"/>
        <v>4.95</v>
      </c>
      <c r="I285" s="181" t="s">
        <v>2218</v>
      </c>
      <c r="J285" s="150"/>
      <c r="K285" s="147">
        <v>11</v>
      </c>
      <c r="L285" s="147">
        <v>1</v>
      </c>
      <c r="M285" s="147">
        <v>12</v>
      </c>
      <c r="N285" s="289"/>
      <c r="O285" s="196"/>
      <c r="P285" s="180"/>
      <c r="Q285" s="174">
        <v>4.9000000000000004</v>
      </c>
      <c r="R285" s="205">
        <v>0.05</v>
      </c>
      <c r="S285" s="166"/>
      <c r="T285" s="129" t="s">
        <v>1625</v>
      </c>
      <c r="U285" s="147" t="s">
        <v>37</v>
      </c>
      <c r="V285" s="129"/>
      <c r="W285" s="163" t="s">
        <v>2531</v>
      </c>
      <c r="X285" s="215"/>
      <c r="Y285" s="216">
        <v>0</v>
      </c>
      <c r="Z285" s="216">
        <v>0</v>
      </c>
      <c r="AA285" s="263"/>
      <c r="AB285" s="305"/>
      <c r="AC285" s="214"/>
    </row>
    <row r="286" spans="1:29" s="182" customFormat="1" hidden="1" x14ac:dyDescent="0.25">
      <c r="A286" s="131">
        <v>1</v>
      </c>
      <c r="B286" s="136">
        <v>1109117</v>
      </c>
      <c r="C286" s="127" t="s">
        <v>30</v>
      </c>
      <c r="D286" s="129" t="s">
        <v>1628</v>
      </c>
      <c r="E286" s="147" t="s">
        <v>146</v>
      </c>
      <c r="F286" s="129" t="s">
        <v>1625</v>
      </c>
      <c r="G286" s="147" t="s">
        <v>34</v>
      </c>
      <c r="H286" s="191">
        <f t="shared" si="4"/>
        <v>0</v>
      </c>
      <c r="I286" s="181" t="s">
        <v>2218</v>
      </c>
      <c r="J286" s="150"/>
      <c r="K286" s="147">
        <v>11</v>
      </c>
      <c r="L286" s="147">
        <v>1</v>
      </c>
      <c r="M286" s="147">
        <v>12</v>
      </c>
      <c r="N286" s="289"/>
      <c r="O286" s="196"/>
      <c r="P286" s="180"/>
      <c r="Q286" s="174"/>
      <c r="R286" s="205"/>
      <c r="S286" s="166"/>
      <c r="T286" s="129" t="s">
        <v>1625</v>
      </c>
      <c r="U286" s="147" t="s">
        <v>37</v>
      </c>
      <c r="V286" s="129"/>
      <c r="W286" s="163" t="s">
        <v>2531</v>
      </c>
      <c r="X286" s="215"/>
      <c r="Y286" s="216">
        <v>0</v>
      </c>
      <c r="Z286" s="216">
        <v>0</v>
      </c>
      <c r="AA286" s="263"/>
      <c r="AB286" s="305"/>
      <c r="AC286" s="214"/>
    </row>
    <row r="287" spans="1:29" x14ac:dyDescent="0.25">
      <c r="A287" s="131">
        <v>1</v>
      </c>
      <c r="B287" s="129">
        <v>1109118</v>
      </c>
      <c r="C287" s="127" t="s">
        <v>30</v>
      </c>
      <c r="D287" s="127" t="s">
        <v>1692</v>
      </c>
      <c r="E287" s="151" t="s">
        <v>84</v>
      </c>
      <c r="F287" s="129" t="s">
        <v>1791</v>
      </c>
      <c r="G287" s="147" t="s">
        <v>34</v>
      </c>
      <c r="H287" s="191">
        <f t="shared" si="4"/>
        <v>2.75</v>
      </c>
      <c r="I287" s="235" t="s">
        <v>2084</v>
      </c>
      <c r="J287" s="146">
        <v>30</v>
      </c>
      <c r="K287" s="147">
        <v>4</v>
      </c>
      <c r="L287" s="147">
        <v>2</v>
      </c>
      <c r="M287" s="147">
        <v>6</v>
      </c>
      <c r="N287" s="289">
        <v>4408</v>
      </c>
      <c r="O287" s="174">
        <v>2.69</v>
      </c>
      <c r="P287" s="180">
        <v>46133</v>
      </c>
      <c r="Q287" s="174">
        <v>2.7</v>
      </c>
      <c r="R287" s="205">
        <v>0.05</v>
      </c>
      <c r="S287" s="153"/>
      <c r="T287" s="129" t="s">
        <v>1703</v>
      </c>
      <c r="U287" s="147" t="s">
        <v>35</v>
      </c>
      <c r="V287" s="129"/>
      <c r="W287" s="147" t="s">
        <v>2213</v>
      </c>
      <c r="X287" s="215" t="s">
        <v>1009</v>
      </c>
      <c r="Y287" s="216">
        <v>2928.7424812499994</v>
      </c>
      <c r="Z287" s="216">
        <v>3904.9899749999995</v>
      </c>
      <c r="AA287" s="263"/>
      <c r="AB287" s="305"/>
    </row>
    <row r="288" spans="1:29" x14ac:dyDescent="0.25">
      <c r="A288" s="131">
        <v>1</v>
      </c>
      <c r="B288" s="129">
        <v>1109119</v>
      </c>
      <c r="C288" s="127" t="s">
        <v>30</v>
      </c>
      <c r="D288" s="127" t="s">
        <v>2414</v>
      </c>
      <c r="E288" s="151" t="s">
        <v>1931</v>
      </c>
      <c r="F288" s="129" t="s">
        <v>1888</v>
      </c>
      <c r="G288" s="147" t="s">
        <v>34</v>
      </c>
      <c r="H288" s="191">
        <f t="shared" si="4"/>
        <v>4.3</v>
      </c>
      <c r="I288" s="222" t="s">
        <v>2084</v>
      </c>
      <c r="J288" s="146">
        <v>0</v>
      </c>
      <c r="K288" s="147">
        <v>4</v>
      </c>
      <c r="L288" s="147">
        <v>1</v>
      </c>
      <c r="M288" s="147">
        <v>5</v>
      </c>
      <c r="N288" s="289">
        <v>600</v>
      </c>
      <c r="O288" s="195">
        <v>5.24</v>
      </c>
      <c r="P288" s="180">
        <v>45722</v>
      </c>
      <c r="Q288" s="174">
        <v>4.25</v>
      </c>
      <c r="R288" s="205">
        <v>0.05</v>
      </c>
      <c r="S288" s="147"/>
      <c r="T288" s="129" t="s">
        <v>2450</v>
      </c>
      <c r="U288" s="147" t="s">
        <v>37</v>
      </c>
      <c r="V288" s="129"/>
      <c r="W288" s="147" t="s">
        <v>2213</v>
      </c>
      <c r="X288" s="215" t="s">
        <v>1009</v>
      </c>
      <c r="Y288" s="216">
        <v>109.25833333333335</v>
      </c>
      <c r="Z288" s="216">
        <v>142.03583333333336</v>
      </c>
      <c r="AA288" s="263"/>
      <c r="AB288" s="305"/>
    </row>
    <row r="289" spans="1:29" x14ac:dyDescent="0.25">
      <c r="A289" s="131">
        <v>1</v>
      </c>
      <c r="B289" s="129">
        <v>1109120</v>
      </c>
      <c r="C289" s="127" t="s">
        <v>30</v>
      </c>
      <c r="D289" s="127" t="s">
        <v>1658</v>
      </c>
      <c r="E289" s="151" t="s">
        <v>32</v>
      </c>
      <c r="F289" s="129" t="s">
        <v>307</v>
      </c>
      <c r="G289" s="147" t="s">
        <v>34</v>
      </c>
      <c r="H289" s="191">
        <f t="shared" si="4"/>
        <v>4.5699999999999994</v>
      </c>
      <c r="I289" s="222" t="s">
        <v>2084</v>
      </c>
      <c r="J289" s="146">
        <v>0</v>
      </c>
      <c r="K289" s="147">
        <v>6</v>
      </c>
      <c r="L289" s="147">
        <v>2</v>
      </c>
      <c r="M289" s="147">
        <v>8</v>
      </c>
      <c r="N289" s="289">
        <v>220</v>
      </c>
      <c r="O289" s="195">
        <v>6.5</v>
      </c>
      <c r="P289" s="180">
        <v>45349</v>
      </c>
      <c r="Q289" s="174">
        <v>4.5199999999999996</v>
      </c>
      <c r="R289" s="205">
        <v>0.05</v>
      </c>
      <c r="S289" s="147"/>
      <c r="T289" s="129" t="s">
        <v>2450</v>
      </c>
      <c r="U289" s="147" t="s">
        <v>35</v>
      </c>
      <c r="V289" s="129"/>
      <c r="W289" s="147" t="s">
        <v>2213</v>
      </c>
      <c r="X289" s="215" t="s">
        <v>1009</v>
      </c>
      <c r="Y289" s="216">
        <v>0</v>
      </c>
      <c r="Z289" s="216">
        <v>0</v>
      </c>
      <c r="AA289" s="263"/>
      <c r="AB289" s="305"/>
    </row>
    <row r="290" spans="1:29" x14ac:dyDescent="0.25">
      <c r="A290" s="131">
        <v>1</v>
      </c>
      <c r="B290" s="129">
        <v>1109121</v>
      </c>
      <c r="C290" s="127" t="s">
        <v>30</v>
      </c>
      <c r="D290" s="127" t="s">
        <v>1659</v>
      </c>
      <c r="E290" s="151" t="s">
        <v>1932</v>
      </c>
      <c r="F290" s="129" t="s">
        <v>1611</v>
      </c>
      <c r="G290" s="147" t="s">
        <v>34</v>
      </c>
      <c r="H290" s="191">
        <f t="shared" si="4"/>
        <v>4.5999999999999996</v>
      </c>
      <c r="I290" s="134" t="s">
        <v>2084</v>
      </c>
      <c r="J290" s="146">
        <v>0</v>
      </c>
      <c r="K290" s="147">
        <v>6</v>
      </c>
      <c r="L290" s="147">
        <v>2</v>
      </c>
      <c r="M290" s="147">
        <v>8</v>
      </c>
      <c r="N290" s="289">
        <v>1600</v>
      </c>
      <c r="O290" s="196"/>
      <c r="P290" s="180">
        <v>45355</v>
      </c>
      <c r="Q290" s="174">
        <v>4.55</v>
      </c>
      <c r="R290" s="205">
        <v>0.05</v>
      </c>
      <c r="S290" s="147"/>
      <c r="T290" s="129" t="s">
        <v>2450</v>
      </c>
      <c r="U290" s="147" t="s">
        <v>37</v>
      </c>
      <c r="V290" s="129"/>
      <c r="W290" s="147" t="s">
        <v>2213</v>
      </c>
      <c r="X290" s="215" t="s">
        <v>1009</v>
      </c>
      <c r="Y290" s="216">
        <v>0</v>
      </c>
      <c r="Z290" s="216">
        <v>0</v>
      </c>
      <c r="AA290" s="263"/>
      <c r="AB290" s="305"/>
    </row>
    <row r="291" spans="1:29" hidden="1" x14ac:dyDescent="0.25">
      <c r="A291" s="131">
        <v>1</v>
      </c>
      <c r="B291" s="129">
        <v>1109122</v>
      </c>
      <c r="C291" s="127" t="s">
        <v>30</v>
      </c>
      <c r="D291" s="127" t="s">
        <v>1660</v>
      </c>
      <c r="E291" s="151" t="s">
        <v>1808</v>
      </c>
      <c r="F291" s="129" t="s">
        <v>1854</v>
      </c>
      <c r="G291" s="147"/>
      <c r="H291" s="191">
        <f t="shared" si="4"/>
        <v>2.3633448244579509</v>
      </c>
      <c r="I291" s="134"/>
      <c r="J291" s="150"/>
      <c r="K291" s="147">
        <v>11</v>
      </c>
      <c r="L291" s="147">
        <v>1</v>
      </c>
      <c r="M291" s="147">
        <v>12</v>
      </c>
      <c r="N291" s="289"/>
      <c r="O291" s="196"/>
      <c r="P291" s="180"/>
      <c r="Q291" s="174">
        <f>5.1/2.2046</f>
        <v>2.3133448244579511</v>
      </c>
      <c r="R291" s="205">
        <v>0.05</v>
      </c>
      <c r="S291" s="147"/>
      <c r="T291" s="129" t="s">
        <v>468</v>
      </c>
      <c r="U291" s="147" t="s">
        <v>37</v>
      </c>
      <c r="V291" s="129"/>
      <c r="W291" s="177" t="s">
        <v>54</v>
      </c>
      <c r="X291" s="215"/>
      <c r="Y291" s="216">
        <v>0</v>
      </c>
      <c r="Z291" s="216">
        <v>0</v>
      </c>
      <c r="AA291" s="263"/>
      <c r="AB291" s="305"/>
      <c r="AC291" s="212"/>
    </row>
    <row r="292" spans="1:29" s="182" customFormat="1" hidden="1" x14ac:dyDescent="0.25">
      <c r="A292" s="131"/>
      <c r="B292" s="129">
        <v>1109123</v>
      </c>
      <c r="C292" s="127" t="s">
        <v>30</v>
      </c>
      <c r="D292" s="127" t="s">
        <v>1676</v>
      </c>
      <c r="E292" s="151" t="s">
        <v>545</v>
      </c>
      <c r="F292" s="129" t="s">
        <v>1675</v>
      </c>
      <c r="G292" s="147" t="s">
        <v>34</v>
      </c>
      <c r="H292" s="191">
        <f t="shared" si="4"/>
        <v>4.8999999999999995</v>
      </c>
      <c r="I292" s="134"/>
      <c r="J292" s="150"/>
      <c r="K292" s="147"/>
      <c r="L292" s="147"/>
      <c r="M292" s="147">
        <v>16</v>
      </c>
      <c r="N292" s="289">
        <v>3000</v>
      </c>
      <c r="O292" s="196"/>
      <c r="P292" s="180">
        <v>44907</v>
      </c>
      <c r="Q292" s="174">
        <v>4.8499999999999996</v>
      </c>
      <c r="R292" s="205">
        <v>0.05</v>
      </c>
      <c r="S292" s="147" t="s">
        <v>35</v>
      </c>
      <c r="T292" s="129" t="s">
        <v>1681</v>
      </c>
      <c r="U292" s="147" t="s">
        <v>37</v>
      </c>
      <c r="V292" s="129"/>
      <c r="W292" s="177" t="s">
        <v>54</v>
      </c>
      <c r="X292" s="215"/>
      <c r="Y292" s="216">
        <v>0</v>
      </c>
      <c r="Z292" s="216">
        <v>0</v>
      </c>
      <c r="AA292" s="263"/>
      <c r="AB292" s="305"/>
      <c r="AC292" s="214"/>
    </row>
    <row r="293" spans="1:29" hidden="1" x14ac:dyDescent="0.25">
      <c r="B293" s="129">
        <v>1109124</v>
      </c>
      <c r="C293" s="127" t="s">
        <v>30</v>
      </c>
      <c r="D293" s="127" t="s">
        <v>1678</v>
      </c>
      <c r="E293" s="151" t="s">
        <v>1926</v>
      </c>
      <c r="F293" s="129" t="s">
        <v>323</v>
      </c>
      <c r="G293" s="147" t="s">
        <v>34</v>
      </c>
      <c r="H293" s="191">
        <f t="shared" si="4"/>
        <v>5.8999999999999995</v>
      </c>
      <c r="I293" s="134" t="s">
        <v>2084</v>
      </c>
      <c r="J293" s="146">
        <v>30</v>
      </c>
      <c r="K293" s="147">
        <v>2</v>
      </c>
      <c r="L293" s="147">
        <v>2</v>
      </c>
      <c r="M293" s="147">
        <v>4</v>
      </c>
      <c r="N293" s="289">
        <v>551</v>
      </c>
      <c r="O293" s="195"/>
      <c r="P293" s="180"/>
      <c r="Q293" s="174">
        <v>5.85</v>
      </c>
      <c r="R293" s="205">
        <v>0.05</v>
      </c>
      <c r="S293" s="165"/>
      <c r="T293" s="129" t="s">
        <v>1681</v>
      </c>
      <c r="U293" s="147" t="s">
        <v>35</v>
      </c>
      <c r="V293" s="129"/>
      <c r="W293" s="177" t="s">
        <v>54</v>
      </c>
      <c r="X293" s="215" t="s">
        <v>1009</v>
      </c>
      <c r="Y293" s="216">
        <v>0</v>
      </c>
      <c r="Z293" s="216">
        <v>0</v>
      </c>
      <c r="AA293" s="263"/>
      <c r="AB293" s="305"/>
    </row>
    <row r="294" spans="1:29" hidden="1" x14ac:dyDescent="0.25">
      <c r="B294" s="129">
        <v>1109125</v>
      </c>
      <c r="C294" s="127" t="s">
        <v>30</v>
      </c>
      <c r="D294" s="127" t="s">
        <v>1677</v>
      </c>
      <c r="E294" s="151" t="s">
        <v>1926</v>
      </c>
      <c r="F294" s="129" t="s">
        <v>323</v>
      </c>
      <c r="G294" s="147" t="s">
        <v>34</v>
      </c>
      <c r="H294" s="191">
        <f t="shared" si="4"/>
        <v>4.8199999999999994</v>
      </c>
      <c r="I294" s="134" t="s">
        <v>2084</v>
      </c>
      <c r="J294" s="146">
        <v>30</v>
      </c>
      <c r="K294" s="147">
        <v>2</v>
      </c>
      <c r="L294" s="147">
        <v>2</v>
      </c>
      <c r="M294" s="147">
        <v>4</v>
      </c>
      <c r="N294" s="289">
        <v>551</v>
      </c>
      <c r="O294" s="195"/>
      <c r="P294" s="180">
        <v>44927</v>
      </c>
      <c r="Q294" s="174">
        <v>4.7699999999999996</v>
      </c>
      <c r="R294" s="205">
        <v>0.05</v>
      </c>
      <c r="S294" s="165"/>
      <c r="T294" s="129" t="s">
        <v>1681</v>
      </c>
      <c r="U294" s="147" t="s">
        <v>35</v>
      </c>
      <c r="V294" s="129"/>
      <c r="W294" s="177" t="s">
        <v>54</v>
      </c>
      <c r="X294" s="215" t="s">
        <v>1009</v>
      </c>
      <c r="Y294" s="216">
        <v>0</v>
      </c>
      <c r="Z294" s="216">
        <v>0</v>
      </c>
      <c r="AA294" s="263"/>
      <c r="AB294" s="305"/>
    </row>
    <row r="295" spans="1:29" hidden="1" x14ac:dyDescent="0.25">
      <c r="B295" s="129">
        <v>1109126</v>
      </c>
      <c r="C295" s="127" t="s">
        <v>30</v>
      </c>
      <c r="D295" s="127" t="s">
        <v>1679</v>
      </c>
      <c r="E295" s="151" t="s">
        <v>127</v>
      </c>
      <c r="F295" s="129" t="s">
        <v>307</v>
      </c>
      <c r="G295" s="147" t="s">
        <v>34</v>
      </c>
      <c r="H295" s="191">
        <f t="shared" si="4"/>
        <v>7.25</v>
      </c>
      <c r="I295" s="134" t="s">
        <v>2084</v>
      </c>
      <c r="J295" s="146">
        <v>0</v>
      </c>
      <c r="K295" s="147">
        <v>6</v>
      </c>
      <c r="L295" s="147">
        <v>2</v>
      </c>
      <c r="M295" s="147">
        <v>8</v>
      </c>
      <c r="N295" s="289">
        <v>4400</v>
      </c>
      <c r="O295" s="195"/>
      <c r="P295" s="180">
        <v>45178</v>
      </c>
      <c r="Q295" s="174">
        <v>7.2</v>
      </c>
      <c r="R295" s="205">
        <v>0.05</v>
      </c>
      <c r="S295" s="165"/>
      <c r="T295" s="129" t="s">
        <v>1681</v>
      </c>
      <c r="U295" s="147" t="s">
        <v>35</v>
      </c>
      <c r="V295" s="129"/>
      <c r="W295" s="177" t="s">
        <v>54</v>
      </c>
      <c r="X295" s="215" t="s">
        <v>1009</v>
      </c>
      <c r="Y295" s="216">
        <v>0</v>
      </c>
      <c r="Z295" s="216">
        <v>0</v>
      </c>
      <c r="AA295" s="263"/>
      <c r="AB295" s="305"/>
    </row>
    <row r="296" spans="1:29" ht="36" hidden="1" x14ac:dyDescent="0.25">
      <c r="A296" s="274">
        <v>1109126</v>
      </c>
      <c r="B296" s="129">
        <v>1109127</v>
      </c>
      <c r="C296" s="127" t="s">
        <v>30</v>
      </c>
      <c r="D296" s="127" t="s">
        <v>1683</v>
      </c>
      <c r="E296" s="151" t="s">
        <v>1682</v>
      </c>
      <c r="F296" s="129" t="s">
        <v>33</v>
      </c>
      <c r="G296" s="147" t="s">
        <v>34</v>
      </c>
      <c r="H296" s="191">
        <f t="shared" si="4"/>
        <v>3.5878999999999999</v>
      </c>
      <c r="I296" s="222" t="s">
        <v>2233</v>
      </c>
      <c r="J296" s="146">
        <v>0</v>
      </c>
      <c r="K296" s="147">
        <v>5</v>
      </c>
      <c r="L296" s="147">
        <v>1</v>
      </c>
      <c r="M296" s="147">
        <v>6</v>
      </c>
      <c r="N296" s="289">
        <v>55</v>
      </c>
      <c r="O296" s="196"/>
      <c r="P296" s="180"/>
      <c r="Q296" s="174">
        <v>3.5878999999999999</v>
      </c>
      <c r="R296" s="205">
        <v>0</v>
      </c>
      <c r="S296" s="165"/>
      <c r="T296" s="129" t="s">
        <v>468</v>
      </c>
      <c r="U296" s="147" t="s">
        <v>37</v>
      </c>
      <c r="V296" s="129"/>
      <c r="W296" s="177" t="s">
        <v>54</v>
      </c>
      <c r="X296" s="215"/>
      <c r="Y296" s="216">
        <v>0</v>
      </c>
      <c r="Z296" s="216">
        <v>0</v>
      </c>
      <c r="AA296" s="263"/>
      <c r="AB296" s="305"/>
    </row>
    <row r="297" spans="1:29" ht="24" hidden="1" x14ac:dyDescent="0.25">
      <c r="B297" s="129">
        <v>1109128</v>
      </c>
      <c r="C297" s="127" t="s">
        <v>30</v>
      </c>
      <c r="D297" s="127" t="s">
        <v>1686</v>
      </c>
      <c r="E297" s="151" t="s">
        <v>1687</v>
      </c>
      <c r="F297" s="129" t="s">
        <v>1685</v>
      </c>
      <c r="G297" s="147" t="s">
        <v>34</v>
      </c>
      <c r="H297" s="191">
        <f t="shared" si="4"/>
        <v>0</v>
      </c>
      <c r="I297" s="222" t="s">
        <v>2226</v>
      </c>
      <c r="J297" s="146">
        <v>0</v>
      </c>
      <c r="K297" s="147">
        <v>4</v>
      </c>
      <c r="L297" s="147">
        <v>8</v>
      </c>
      <c r="M297" s="147">
        <v>12</v>
      </c>
      <c r="N297" s="289"/>
      <c r="O297" s="196"/>
      <c r="P297" s="180">
        <v>44854</v>
      </c>
      <c r="Q297" s="176"/>
      <c r="R297" s="205"/>
      <c r="S297" s="165"/>
      <c r="T297" s="129" t="s">
        <v>468</v>
      </c>
      <c r="U297" s="147" t="s">
        <v>37</v>
      </c>
      <c r="V297" s="129"/>
      <c r="W297" s="177" t="s">
        <v>54</v>
      </c>
      <c r="X297" s="215" t="s">
        <v>1856</v>
      </c>
      <c r="Y297" s="216">
        <v>0</v>
      </c>
      <c r="Z297" s="216">
        <v>0</v>
      </c>
      <c r="AA297" s="263"/>
      <c r="AB297" s="305"/>
    </row>
    <row r="298" spans="1:29" hidden="1" x14ac:dyDescent="0.25">
      <c r="B298" s="129">
        <v>1109129</v>
      </c>
      <c r="C298" s="129" t="s">
        <v>30</v>
      </c>
      <c r="D298" s="155" t="s">
        <v>1693</v>
      </c>
      <c r="E298" s="147" t="s">
        <v>1690</v>
      </c>
      <c r="F298" s="129" t="s">
        <v>1691</v>
      </c>
      <c r="G298" s="147" t="s">
        <v>34</v>
      </c>
      <c r="H298" s="191">
        <f t="shared" si="4"/>
        <v>4.1099999999999994</v>
      </c>
      <c r="I298" s="134" t="s">
        <v>2084</v>
      </c>
      <c r="J298" s="146">
        <v>0</v>
      </c>
      <c r="K298" s="147">
        <v>16</v>
      </c>
      <c r="L298" s="147">
        <v>2</v>
      </c>
      <c r="M298" s="147">
        <v>18</v>
      </c>
      <c r="N298" s="289">
        <v>8000</v>
      </c>
      <c r="O298" s="198"/>
      <c r="P298" s="180">
        <v>45178</v>
      </c>
      <c r="Q298" s="176">
        <v>4.0599999999999996</v>
      </c>
      <c r="R298" s="205">
        <v>0.05</v>
      </c>
      <c r="S298" s="165"/>
      <c r="T298" s="129" t="s">
        <v>1681</v>
      </c>
      <c r="U298" s="147" t="s">
        <v>35</v>
      </c>
      <c r="V298" s="129"/>
      <c r="W298" s="177" t="s">
        <v>54</v>
      </c>
      <c r="X298" s="215" t="s">
        <v>1009</v>
      </c>
      <c r="Y298" s="216">
        <v>0</v>
      </c>
      <c r="Z298" s="216">
        <v>0</v>
      </c>
      <c r="AA298" s="263"/>
      <c r="AB298" s="305"/>
    </row>
    <row r="299" spans="1:29" s="182" customFormat="1" hidden="1" x14ac:dyDescent="0.25">
      <c r="A299" s="131"/>
      <c r="B299" s="129">
        <v>1109130</v>
      </c>
      <c r="C299" s="129" t="s">
        <v>30</v>
      </c>
      <c r="D299" s="129" t="s">
        <v>1694</v>
      </c>
      <c r="E299" s="151" t="s">
        <v>259</v>
      </c>
      <c r="F299" s="129" t="s">
        <v>1695</v>
      </c>
      <c r="G299" s="147" t="s">
        <v>34</v>
      </c>
      <c r="H299" s="191">
        <f t="shared" si="4"/>
        <v>8.1647464392633573</v>
      </c>
      <c r="I299" s="134" t="s">
        <v>2084</v>
      </c>
      <c r="J299" s="150"/>
      <c r="K299" s="147"/>
      <c r="L299" s="147"/>
      <c r="M299" s="147">
        <v>4</v>
      </c>
      <c r="N299" s="289">
        <v>100</v>
      </c>
      <c r="O299" s="187"/>
      <c r="P299" s="165"/>
      <c r="Q299" s="176">
        <v>8.1647464392633573</v>
      </c>
      <c r="R299" s="205">
        <v>0</v>
      </c>
      <c r="S299" s="165"/>
      <c r="T299" s="129" t="s">
        <v>1696</v>
      </c>
      <c r="U299" s="147" t="s">
        <v>37</v>
      </c>
      <c r="V299" s="129"/>
      <c r="W299" s="177" t="s">
        <v>54</v>
      </c>
      <c r="X299" s="215"/>
      <c r="Y299" s="216">
        <v>0</v>
      </c>
      <c r="Z299" s="216">
        <v>0</v>
      </c>
      <c r="AA299" s="263"/>
      <c r="AB299" s="305"/>
      <c r="AC299" s="212"/>
    </row>
    <row r="300" spans="1:29" x14ac:dyDescent="0.25">
      <c r="B300" s="129">
        <v>1109131</v>
      </c>
      <c r="C300" s="129" t="s">
        <v>30</v>
      </c>
      <c r="D300" s="129" t="s">
        <v>1698</v>
      </c>
      <c r="E300" s="147" t="s">
        <v>1697</v>
      </c>
      <c r="F300" s="129" t="s">
        <v>323</v>
      </c>
      <c r="G300" s="147" t="s">
        <v>34</v>
      </c>
      <c r="H300" s="191">
        <f t="shared" si="4"/>
        <v>2.8499999999999996</v>
      </c>
      <c r="I300" s="222" t="s">
        <v>2084</v>
      </c>
      <c r="J300" s="146">
        <v>30</v>
      </c>
      <c r="K300" s="147">
        <v>8</v>
      </c>
      <c r="L300" s="147">
        <v>2</v>
      </c>
      <c r="M300" s="147">
        <v>10</v>
      </c>
      <c r="N300" s="289">
        <v>12815</v>
      </c>
      <c r="O300" s="198"/>
      <c r="P300" s="180">
        <v>45083</v>
      </c>
      <c r="Q300" s="174">
        <v>2.8</v>
      </c>
      <c r="R300" s="205">
        <v>0.05</v>
      </c>
      <c r="S300" s="165"/>
      <c r="T300" s="129" t="s">
        <v>1852</v>
      </c>
      <c r="U300" s="147" t="s">
        <v>35</v>
      </c>
      <c r="V300" s="129"/>
      <c r="W300" s="147" t="s">
        <v>2215</v>
      </c>
      <c r="X300" s="215" t="s">
        <v>1009</v>
      </c>
      <c r="Y300" s="216">
        <v>5406.6072666666678</v>
      </c>
      <c r="Z300" s="216">
        <v>6654.285866666668</v>
      </c>
      <c r="AA300" s="303">
        <v>45849</v>
      </c>
      <c r="AB300" s="305"/>
    </row>
    <row r="301" spans="1:29" ht="24" hidden="1" x14ac:dyDescent="0.25">
      <c r="B301" s="129">
        <v>1109132</v>
      </c>
      <c r="C301" s="129" t="s">
        <v>30</v>
      </c>
      <c r="D301" s="129" t="s">
        <v>1709</v>
      </c>
      <c r="E301" s="147" t="s">
        <v>32</v>
      </c>
      <c r="F301" s="129" t="s">
        <v>1831</v>
      </c>
      <c r="G301" s="147" t="s">
        <v>34</v>
      </c>
      <c r="H301" s="191">
        <f t="shared" si="4"/>
        <v>4.2850000000000001</v>
      </c>
      <c r="I301" s="234" t="s">
        <v>2086</v>
      </c>
      <c r="J301" s="146">
        <v>0</v>
      </c>
      <c r="K301" s="147">
        <v>4</v>
      </c>
      <c r="L301" s="147">
        <v>2</v>
      </c>
      <c r="M301" s="147">
        <v>6</v>
      </c>
      <c r="N301" s="289">
        <v>220</v>
      </c>
      <c r="O301" s="187"/>
      <c r="P301" s="180">
        <v>44972</v>
      </c>
      <c r="Q301" s="176">
        <v>4.24</v>
      </c>
      <c r="R301" s="205">
        <v>4.4999999999999998E-2</v>
      </c>
      <c r="S301" s="165"/>
      <c r="T301" s="129" t="s">
        <v>468</v>
      </c>
      <c r="U301" s="147" t="s">
        <v>37</v>
      </c>
      <c r="V301" s="129"/>
      <c r="W301" s="177" t="s">
        <v>54</v>
      </c>
      <c r="X301" s="215" t="s">
        <v>1009</v>
      </c>
      <c r="Y301" s="216">
        <v>0</v>
      </c>
      <c r="Z301" s="216">
        <v>0</v>
      </c>
      <c r="AA301" s="263"/>
      <c r="AB301" s="305"/>
    </row>
    <row r="302" spans="1:29" hidden="1" x14ac:dyDescent="0.25">
      <c r="B302" s="129">
        <v>1109134</v>
      </c>
      <c r="C302" s="129" t="s">
        <v>30</v>
      </c>
      <c r="D302" s="129" t="s">
        <v>1713</v>
      </c>
      <c r="E302" s="147" t="s">
        <v>1704</v>
      </c>
      <c r="F302" s="129" t="s">
        <v>1791</v>
      </c>
      <c r="G302" s="147" t="s">
        <v>34</v>
      </c>
      <c r="H302" s="191">
        <f t="shared" si="4"/>
        <v>6.71</v>
      </c>
      <c r="I302" s="181" t="s">
        <v>2084</v>
      </c>
      <c r="J302" s="146">
        <v>30</v>
      </c>
      <c r="K302" s="147">
        <v>4</v>
      </c>
      <c r="L302" s="147">
        <v>2</v>
      </c>
      <c r="M302" s="147">
        <v>6</v>
      </c>
      <c r="N302" s="289">
        <v>2204</v>
      </c>
      <c r="O302" s="187"/>
      <c r="P302" s="165"/>
      <c r="Q302" s="176">
        <v>6.66</v>
      </c>
      <c r="R302" s="205">
        <v>0.05</v>
      </c>
      <c r="S302" s="165"/>
      <c r="T302" s="129" t="s">
        <v>1705</v>
      </c>
      <c r="U302" s="147" t="s">
        <v>37</v>
      </c>
      <c r="V302" s="129"/>
      <c r="W302" s="163" t="s">
        <v>54</v>
      </c>
      <c r="X302" s="215" t="s">
        <v>1009</v>
      </c>
      <c r="Y302" s="216">
        <v>0</v>
      </c>
      <c r="Z302" s="216">
        <v>0</v>
      </c>
      <c r="AA302" s="263"/>
      <c r="AB302" s="305"/>
    </row>
    <row r="303" spans="1:29" x14ac:dyDescent="0.25">
      <c r="B303" s="129">
        <v>1109135</v>
      </c>
      <c r="C303" s="129" t="s">
        <v>30</v>
      </c>
      <c r="D303" s="129" t="s">
        <v>1710</v>
      </c>
      <c r="E303" s="147" t="s">
        <v>1712</v>
      </c>
      <c r="F303" s="129" t="s">
        <v>307</v>
      </c>
      <c r="G303" s="147" t="s">
        <v>34</v>
      </c>
      <c r="H303" s="191">
        <f t="shared" si="4"/>
        <v>1.1000000000000001</v>
      </c>
      <c r="I303" s="222" t="s">
        <v>2084</v>
      </c>
      <c r="J303" s="146">
        <v>0</v>
      </c>
      <c r="K303" s="147">
        <v>2</v>
      </c>
      <c r="L303" s="147">
        <v>2</v>
      </c>
      <c r="M303" s="147">
        <v>4</v>
      </c>
      <c r="N303" s="289">
        <v>15000</v>
      </c>
      <c r="O303" s="176">
        <v>1.02</v>
      </c>
      <c r="P303" s="180">
        <v>46108</v>
      </c>
      <c r="Q303" s="176">
        <v>1.05</v>
      </c>
      <c r="R303" s="205">
        <v>0.05</v>
      </c>
      <c r="S303" s="165"/>
      <c r="T303" s="129" t="s">
        <v>1711</v>
      </c>
      <c r="U303" s="147" t="s">
        <v>37</v>
      </c>
      <c r="V303" s="129"/>
      <c r="W303" s="147" t="s">
        <v>2213</v>
      </c>
      <c r="X303" s="215" t="s">
        <v>1009</v>
      </c>
      <c r="Y303" s="216">
        <v>0</v>
      </c>
      <c r="Z303" s="216">
        <v>0</v>
      </c>
      <c r="AA303" s="263"/>
      <c r="AB303" s="305"/>
    </row>
    <row r="304" spans="1:29" ht="24" x14ac:dyDescent="0.25">
      <c r="B304" s="129">
        <v>1109136</v>
      </c>
      <c r="C304" s="129" t="s">
        <v>30</v>
      </c>
      <c r="D304" s="129" t="s">
        <v>2667</v>
      </c>
      <c r="E304" s="147" t="s">
        <v>32</v>
      </c>
      <c r="F304" s="129" t="s">
        <v>2015</v>
      </c>
      <c r="G304" s="147" t="s">
        <v>34</v>
      </c>
      <c r="H304" s="191">
        <f t="shared" si="4"/>
        <v>11.200000000000001</v>
      </c>
      <c r="I304" s="234" t="s">
        <v>2090</v>
      </c>
      <c r="J304" s="146">
        <v>0</v>
      </c>
      <c r="K304" s="147">
        <v>7</v>
      </c>
      <c r="L304" s="147">
        <v>1</v>
      </c>
      <c r="M304" s="147">
        <v>8</v>
      </c>
      <c r="N304" s="289">
        <v>300</v>
      </c>
      <c r="O304" s="198">
        <v>11.85</v>
      </c>
      <c r="P304" s="152">
        <v>46126</v>
      </c>
      <c r="Q304" s="176">
        <v>11.15</v>
      </c>
      <c r="R304" s="205">
        <v>0.05</v>
      </c>
      <c r="S304" s="165"/>
      <c r="T304" s="129" t="s">
        <v>2091</v>
      </c>
      <c r="U304" s="147" t="s">
        <v>37</v>
      </c>
      <c r="V304" s="129"/>
      <c r="W304" s="147" t="s">
        <v>2213</v>
      </c>
      <c r="X304" s="215" t="s">
        <v>1009</v>
      </c>
      <c r="Y304" s="216">
        <v>0</v>
      </c>
      <c r="Z304" s="216">
        <v>0</v>
      </c>
      <c r="AA304" s="263"/>
      <c r="AB304" s="305"/>
    </row>
    <row r="305" spans="2:28" ht="24" x14ac:dyDescent="0.25">
      <c r="B305" s="129">
        <v>1109137</v>
      </c>
      <c r="C305" s="129" t="s">
        <v>30</v>
      </c>
      <c r="D305" s="129" t="s">
        <v>1714</v>
      </c>
      <c r="E305" s="147" t="s">
        <v>1935</v>
      </c>
      <c r="F305" s="129" t="s">
        <v>1943</v>
      </c>
      <c r="G305" s="147" t="s">
        <v>34</v>
      </c>
      <c r="H305" s="191">
        <f t="shared" si="4"/>
        <v>1.96</v>
      </c>
      <c r="I305" s="222" t="s">
        <v>2461</v>
      </c>
      <c r="J305" s="146">
        <v>30</v>
      </c>
      <c r="K305" s="147">
        <v>21</v>
      </c>
      <c r="L305" s="147">
        <v>1</v>
      </c>
      <c r="M305" s="147">
        <v>22</v>
      </c>
      <c r="N305" s="289" t="s">
        <v>1942</v>
      </c>
      <c r="O305" s="198"/>
      <c r="P305" s="180">
        <v>45455</v>
      </c>
      <c r="Q305" s="176">
        <v>1.96</v>
      </c>
      <c r="R305" s="205">
        <v>0</v>
      </c>
      <c r="S305" s="165"/>
      <c r="T305" s="138" t="s">
        <v>242</v>
      </c>
      <c r="U305" s="147" t="s">
        <v>35</v>
      </c>
      <c r="V305" s="129"/>
      <c r="W305" s="147" t="s">
        <v>2459</v>
      </c>
      <c r="X305" s="215" t="s">
        <v>1906</v>
      </c>
      <c r="Y305" s="216">
        <v>0</v>
      </c>
      <c r="Z305" s="216">
        <v>0</v>
      </c>
      <c r="AA305" s="265" t="s">
        <v>2134</v>
      </c>
      <c r="AB305" s="305"/>
    </row>
    <row r="306" spans="2:28" hidden="1" x14ac:dyDescent="0.25">
      <c r="B306" s="129">
        <v>1109138</v>
      </c>
      <c r="C306" s="129" t="s">
        <v>30</v>
      </c>
      <c r="D306" s="129" t="s">
        <v>1739</v>
      </c>
      <c r="E306" s="147" t="s">
        <v>1790</v>
      </c>
      <c r="F306" s="129" t="s">
        <v>1738</v>
      </c>
      <c r="G306" s="147" t="s">
        <v>34</v>
      </c>
      <c r="H306" s="191">
        <f t="shared" si="4"/>
        <v>1.24</v>
      </c>
      <c r="I306" s="222" t="s">
        <v>2084</v>
      </c>
      <c r="J306" s="146">
        <v>60</v>
      </c>
      <c r="K306" s="147">
        <v>4</v>
      </c>
      <c r="L306" s="147">
        <v>1</v>
      </c>
      <c r="M306" s="147">
        <v>5</v>
      </c>
      <c r="N306" s="289">
        <v>41600</v>
      </c>
      <c r="O306" s="198"/>
      <c r="P306" s="180">
        <v>45055</v>
      </c>
      <c r="Q306" s="174">
        <v>1.19</v>
      </c>
      <c r="R306" s="205">
        <v>0.05</v>
      </c>
      <c r="S306" s="165"/>
      <c r="T306" s="129" t="s">
        <v>1738</v>
      </c>
      <c r="U306" s="147" t="s">
        <v>37</v>
      </c>
      <c r="V306" s="129"/>
      <c r="W306" s="177" t="s">
        <v>2531</v>
      </c>
      <c r="X306" s="215" t="s">
        <v>1009</v>
      </c>
      <c r="Y306" s="216">
        <v>0</v>
      </c>
      <c r="Z306" s="216">
        <v>0</v>
      </c>
      <c r="AA306" s="263"/>
      <c r="AB306" s="305"/>
    </row>
    <row r="307" spans="2:28" hidden="1" x14ac:dyDescent="0.25">
      <c r="B307" s="129">
        <v>1109139</v>
      </c>
      <c r="C307" s="129" t="s">
        <v>30</v>
      </c>
      <c r="D307" s="129" t="s">
        <v>1708</v>
      </c>
      <c r="E307" s="147" t="s">
        <v>32</v>
      </c>
      <c r="F307" s="129" t="s">
        <v>307</v>
      </c>
      <c r="G307" s="147" t="s">
        <v>34</v>
      </c>
      <c r="H307" s="191">
        <f t="shared" si="4"/>
        <v>0</v>
      </c>
      <c r="I307" s="134" t="s">
        <v>2084</v>
      </c>
      <c r="J307" s="146">
        <v>0</v>
      </c>
      <c r="K307" s="147">
        <v>6</v>
      </c>
      <c r="L307" s="147">
        <v>2</v>
      </c>
      <c r="M307" s="147">
        <v>8</v>
      </c>
      <c r="N307" s="289"/>
      <c r="O307" s="187"/>
      <c r="P307" s="180"/>
      <c r="Q307" s="176"/>
      <c r="R307" s="205"/>
      <c r="S307" s="165"/>
      <c r="T307" s="129"/>
      <c r="U307" s="147" t="s">
        <v>35</v>
      </c>
      <c r="V307" s="129"/>
      <c r="W307" s="177" t="s">
        <v>54</v>
      </c>
      <c r="X307" s="215"/>
      <c r="Y307" s="216">
        <v>0</v>
      </c>
      <c r="Z307" s="216">
        <v>0</v>
      </c>
      <c r="AA307" s="263"/>
      <c r="AB307" s="305"/>
    </row>
    <row r="308" spans="2:28" x14ac:dyDescent="0.25">
      <c r="B308" s="129">
        <v>1109140</v>
      </c>
      <c r="C308" s="129" t="s">
        <v>30</v>
      </c>
      <c r="D308" s="129" t="s">
        <v>1769</v>
      </c>
      <c r="E308" s="147" t="s">
        <v>1936</v>
      </c>
      <c r="F308" s="129" t="s">
        <v>1770</v>
      </c>
      <c r="G308" s="147" t="s">
        <v>34</v>
      </c>
      <c r="H308" s="191">
        <f t="shared" si="4"/>
        <v>2.52</v>
      </c>
      <c r="I308" s="222" t="s">
        <v>2084</v>
      </c>
      <c r="J308" s="146">
        <v>0</v>
      </c>
      <c r="K308" s="147">
        <v>6</v>
      </c>
      <c r="L308" s="147">
        <v>2</v>
      </c>
      <c r="M308" s="147">
        <v>8</v>
      </c>
      <c r="N308" s="289">
        <v>1800</v>
      </c>
      <c r="O308" s="198"/>
      <c r="P308" s="180"/>
      <c r="Q308" s="176">
        <v>2.4700000000000002</v>
      </c>
      <c r="R308" s="205">
        <v>0.05</v>
      </c>
      <c r="S308" s="165" t="s">
        <v>35</v>
      </c>
      <c r="T308" s="129" t="s">
        <v>1799</v>
      </c>
      <c r="U308" s="147" t="s">
        <v>35</v>
      </c>
      <c r="V308" s="129"/>
      <c r="W308" s="147" t="s">
        <v>2213</v>
      </c>
      <c r="X308" s="215" t="s">
        <v>1009</v>
      </c>
      <c r="Y308" s="216">
        <v>500.06756250000007</v>
      </c>
      <c r="Z308" s="216">
        <v>636.44962500000008</v>
      </c>
      <c r="AA308" s="303">
        <v>45848</v>
      </c>
      <c r="AB308" s="305"/>
    </row>
    <row r="309" spans="2:28" x14ac:dyDescent="0.25">
      <c r="B309" s="129">
        <v>1109141</v>
      </c>
      <c r="C309" s="129" t="s">
        <v>30</v>
      </c>
      <c r="D309" s="129" t="s">
        <v>1771</v>
      </c>
      <c r="E309" s="147" t="s">
        <v>1687</v>
      </c>
      <c r="F309" s="129" t="s">
        <v>307</v>
      </c>
      <c r="G309" s="147" t="s">
        <v>34</v>
      </c>
      <c r="H309" s="191">
        <f t="shared" si="4"/>
        <v>3.4349999999999996</v>
      </c>
      <c r="I309" s="222" t="s">
        <v>2084</v>
      </c>
      <c r="J309" s="146">
        <v>0</v>
      </c>
      <c r="K309" s="147">
        <v>6</v>
      </c>
      <c r="L309" s="147">
        <v>2</v>
      </c>
      <c r="M309" s="147">
        <v>8</v>
      </c>
      <c r="N309" s="289">
        <v>110</v>
      </c>
      <c r="O309" s="198">
        <v>7.4</v>
      </c>
      <c r="P309" s="180">
        <v>45784</v>
      </c>
      <c r="Q309" s="176">
        <v>3.3849999999999998</v>
      </c>
      <c r="R309" s="205">
        <v>0.05</v>
      </c>
      <c r="S309" s="165"/>
      <c r="T309" s="129" t="s">
        <v>1798</v>
      </c>
      <c r="U309" s="147" t="s">
        <v>35</v>
      </c>
      <c r="V309" s="129"/>
      <c r="W309" s="147" t="s">
        <v>2213</v>
      </c>
      <c r="X309" s="215" t="s">
        <v>1009</v>
      </c>
      <c r="Y309" s="216">
        <v>0</v>
      </c>
      <c r="Z309" s="216">
        <v>0</v>
      </c>
      <c r="AA309" s="263"/>
      <c r="AB309" s="305"/>
    </row>
    <row r="310" spans="2:28" ht="36" x14ac:dyDescent="0.25">
      <c r="B310" s="129">
        <v>1109142</v>
      </c>
      <c r="C310" s="129" t="s">
        <v>30</v>
      </c>
      <c r="D310" s="129" t="s">
        <v>1787</v>
      </c>
      <c r="E310" s="151" t="s">
        <v>259</v>
      </c>
      <c r="F310" s="129" t="s">
        <v>2403</v>
      </c>
      <c r="G310" s="147" t="s">
        <v>34</v>
      </c>
      <c r="H310" s="191">
        <f t="shared" si="4"/>
        <v>8.8800000000000008</v>
      </c>
      <c r="I310" s="223" t="s">
        <v>2085</v>
      </c>
      <c r="J310" s="146">
        <v>0</v>
      </c>
      <c r="K310" s="147">
        <v>4</v>
      </c>
      <c r="L310" s="147">
        <v>1</v>
      </c>
      <c r="M310" s="147">
        <v>5</v>
      </c>
      <c r="N310" s="289">
        <v>600</v>
      </c>
      <c r="O310" s="198">
        <v>6.16</v>
      </c>
      <c r="P310" s="180">
        <v>45303</v>
      </c>
      <c r="Q310" s="176">
        <v>8.58</v>
      </c>
      <c r="R310" s="205">
        <v>0.3</v>
      </c>
      <c r="S310" s="165"/>
      <c r="T310" s="129" t="s">
        <v>2091</v>
      </c>
      <c r="U310" s="147" t="s">
        <v>37</v>
      </c>
      <c r="V310" s="129"/>
      <c r="W310" s="147" t="s">
        <v>2213</v>
      </c>
      <c r="X310" s="217" t="s">
        <v>1009</v>
      </c>
      <c r="Y310" s="216">
        <v>0</v>
      </c>
      <c r="Z310" s="216">
        <v>0</v>
      </c>
      <c r="AA310" s="263"/>
      <c r="AB310" s="305"/>
    </row>
    <row r="311" spans="2:28" x14ac:dyDescent="0.25">
      <c r="B311" s="129">
        <v>1109143</v>
      </c>
      <c r="C311" s="129" t="s">
        <v>30</v>
      </c>
      <c r="D311" s="129" t="s">
        <v>2694</v>
      </c>
      <c r="E311" s="147" t="s">
        <v>1808</v>
      </c>
      <c r="F311" s="129" t="s">
        <v>1791</v>
      </c>
      <c r="G311" s="147" t="s">
        <v>34</v>
      </c>
      <c r="H311" s="191">
        <f t="shared" si="4"/>
        <v>3.3099999999999996</v>
      </c>
      <c r="I311" s="235" t="s">
        <v>2084</v>
      </c>
      <c r="J311" s="146">
        <v>30</v>
      </c>
      <c r="K311" s="147">
        <v>19</v>
      </c>
      <c r="L311" s="147">
        <v>2</v>
      </c>
      <c r="M311" s="147">
        <v>21</v>
      </c>
      <c r="N311" s="289">
        <v>1653</v>
      </c>
      <c r="O311" s="198">
        <v>3.2669999999999999</v>
      </c>
      <c r="P311" s="180">
        <v>45519</v>
      </c>
      <c r="Q311" s="176">
        <v>3.26</v>
      </c>
      <c r="R311" s="205">
        <v>0.05</v>
      </c>
      <c r="S311" s="165"/>
      <c r="T311" s="129" t="s">
        <v>1848</v>
      </c>
      <c r="U311" s="147" t="s">
        <v>35</v>
      </c>
      <c r="V311" s="129"/>
      <c r="W311" s="147" t="s">
        <v>2213</v>
      </c>
      <c r="X311" s="215" t="s">
        <v>1009</v>
      </c>
      <c r="Y311" s="216">
        <v>7160.6279999999979</v>
      </c>
      <c r="Z311" s="216">
        <v>8055.7064999999975</v>
      </c>
      <c r="AA311" s="303">
        <v>46161</v>
      </c>
      <c r="AB311" s="306" t="s">
        <v>2668</v>
      </c>
    </row>
    <row r="312" spans="2:28" hidden="1" x14ac:dyDescent="0.25">
      <c r="B312" s="129">
        <v>1109144</v>
      </c>
      <c r="C312" s="129" t="s">
        <v>30</v>
      </c>
      <c r="D312" s="129" t="s">
        <v>1807</v>
      </c>
      <c r="E312" s="147" t="s">
        <v>1808</v>
      </c>
      <c r="F312" s="129" t="s">
        <v>1791</v>
      </c>
      <c r="G312" s="147" t="s">
        <v>34</v>
      </c>
      <c r="H312" s="191">
        <f t="shared" si="4"/>
        <v>3.2271999999999998</v>
      </c>
      <c r="I312" s="181" t="s">
        <v>2084</v>
      </c>
      <c r="J312" s="146">
        <v>30</v>
      </c>
      <c r="K312" s="147">
        <v>19</v>
      </c>
      <c r="L312" s="147">
        <v>2</v>
      </c>
      <c r="M312" s="147">
        <v>21</v>
      </c>
      <c r="N312" s="289">
        <v>1653</v>
      </c>
      <c r="O312" s="198"/>
      <c r="P312" s="180">
        <v>45246</v>
      </c>
      <c r="Q312" s="176">
        <v>3.1772</v>
      </c>
      <c r="R312" s="205">
        <v>0.05</v>
      </c>
      <c r="S312" s="165"/>
      <c r="T312" s="129" t="s">
        <v>1848</v>
      </c>
      <c r="U312" s="147" t="s">
        <v>35</v>
      </c>
      <c r="V312" s="129"/>
      <c r="W312" s="177" t="s">
        <v>54</v>
      </c>
      <c r="X312" s="215" t="s">
        <v>1009</v>
      </c>
      <c r="Y312" s="216">
        <v>0</v>
      </c>
      <c r="Z312" s="216">
        <v>0</v>
      </c>
      <c r="AA312" s="263"/>
      <c r="AB312" s="305"/>
    </row>
    <row r="313" spans="2:28" ht="24" x14ac:dyDescent="0.25">
      <c r="B313" s="129">
        <v>1109145</v>
      </c>
      <c r="C313" s="129" t="s">
        <v>30</v>
      </c>
      <c r="D313" s="129" t="s">
        <v>1818</v>
      </c>
      <c r="E313" s="147" t="s">
        <v>1810</v>
      </c>
      <c r="F313" s="129" t="s">
        <v>2513</v>
      </c>
      <c r="G313" s="147" t="s">
        <v>34</v>
      </c>
      <c r="H313" s="191">
        <f t="shared" si="4"/>
        <v>1.5210082324890908</v>
      </c>
      <c r="I313" s="222" t="s">
        <v>2663</v>
      </c>
      <c r="J313" s="146">
        <v>0</v>
      </c>
      <c r="K313" s="147">
        <v>4</v>
      </c>
      <c r="L313" s="147">
        <v>8</v>
      </c>
      <c r="M313" s="147">
        <v>12</v>
      </c>
      <c r="N313" s="289">
        <v>44458</v>
      </c>
      <c r="O313" s="198">
        <f>1.358+0.0162</f>
        <v>1.3742000000000001</v>
      </c>
      <c r="P313" s="180">
        <v>46161</v>
      </c>
      <c r="Q313" s="176">
        <v>1.5129999999999999</v>
      </c>
      <c r="R313" s="205">
        <f>356.03/N313</f>
        <v>8.0082324890908274E-3</v>
      </c>
      <c r="S313" s="165" t="s">
        <v>35</v>
      </c>
      <c r="T313" s="129" t="s">
        <v>2211</v>
      </c>
      <c r="U313" s="147" t="s">
        <v>37</v>
      </c>
      <c r="V313" s="147" t="s">
        <v>1978</v>
      </c>
      <c r="W313" s="147" t="s">
        <v>2213</v>
      </c>
      <c r="X313" s="215" t="s">
        <v>1856</v>
      </c>
      <c r="Y313" s="216">
        <v>200166.36388084214</v>
      </c>
      <c r="Z313" s="216">
        <v>240199.63665701056</v>
      </c>
      <c r="AA313" s="263"/>
      <c r="AB313" s="305"/>
    </row>
    <row r="314" spans="2:28" ht="24" x14ac:dyDescent="0.25">
      <c r="B314" s="129">
        <v>1109146</v>
      </c>
      <c r="C314" s="129" t="s">
        <v>30</v>
      </c>
      <c r="D314" s="129" t="s">
        <v>1809</v>
      </c>
      <c r="E314" s="147" t="s">
        <v>146</v>
      </c>
      <c r="F314" s="129" t="s">
        <v>1685</v>
      </c>
      <c r="G314" s="147" t="s">
        <v>34</v>
      </c>
      <c r="H314" s="191">
        <f t="shared" si="4"/>
        <v>0.94400000000000006</v>
      </c>
      <c r="I314" s="222" t="s">
        <v>2226</v>
      </c>
      <c r="J314" s="146">
        <v>0</v>
      </c>
      <c r="K314" s="147">
        <v>4</v>
      </c>
      <c r="L314" s="147">
        <v>8</v>
      </c>
      <c r="M314" s="147">
        <v>12</v>
      </c>
      <c r="N314" s="289">
        <v>22046</v>
      </c>
      <c r="O314" s="198">
        <v>0.65500000000000003</v>
      </c>
      <c r="P314" s="180">
        <v>45496</v>
      </c>
      <c r="Q314" s="176">
        <v>0.66900000000000004</v>
      </c>
      <c r="R314" s="205">
        <f>9000/40000+0.05</f>
        <v>0.27500000000000002</v>
      </c>
      <c r="S314" s="165" t="s">
        <v>35</v>
      </c>
      <c r="T314" s="129" t="s">
        <v>2211</v>
      </c>
      <c r="U314" s="147" t="s">
        <v>37</v>
      </c>
      <c r="V314" s="147">
        <v>3500294</v>
      </c>
      <c r="W314" s="147" t="s">
        <v>2213</v>
      </c>
      <c r="X314" s="215" t="s">
        <v>1856</v>
      </c>
      <c r="Y314" s="216">
        <v>47492.586250000051</v>
      </c>
      <c r="Z314" s="216">
        <v>56991.103500000056</v>
      </c>
      <c r="AA314" s="263"/>
      <c r="AB314" s="305"/>
    </row>
    <row r="315" spans="2:28" hidden="1" x14ac:dyDescent="0.25">
      <c r="B315" s="129">
        <v>1109147</v>
      </c>
      <c r="C315" s="129" t="s">
        <v>30</v>
      </c>
      <c r="D315" s="127" t="s">
        <v>2190</v>
      </c>
      <c r="E315" s="151"/>
      <c r="F315" s="129" t="s">
        <v>1791</v>
      </c>
      <c r="G315" s="147" t="s">
        <v>34</v>
      </c>
      <c r="H315" s="191">
        <f t="shared" si="4"/>
        <v>3.98</v>
      </c>
      <c r="I315" s="181" t="s">
        <v>2084</v>
      </c>
      <c r="J315" s="146">
        <v>30</v>
      </c>
      <c r="K315" s="147">
        <v>4</v>
      </c>
      <c r="L315" s="147">
        <v>2</v>
      </c>
      <c r="M315" s="147">
        <v>6</v>
      </c>
      <c r="N315" s="289">
        <v>1500</v>
      </c>
      <c r="O315" s="195">
        <v>3.79</v>
      </c>
      <c r="P315" s="180">
        <v>45405</v>
      </c>
      <c r="Q315" s="174">
        <v>3.93</v>
      </c>
      <c r="R315" s="205">
        <v>0.05</v>
      </c>
      <c r="S315" s="168"/>
      <c r="T315" s="129" t="s">
        <v>1853</v>
      </c>
      <c r="U315" s="147" t="s">
        <v>35</v>
      </c>
      <c r="V315" s="129"/>
      <c r="W315" s="163" t="s">
        <v>54</v>
      </c>
      <c r="X315" s="215" t="s">
        <v>1009</v>
      </c>
      <c r="Y315" s="216">
        <v>0</v>
      </c>
      <c r="Z315" s="216">
        <v>0</v>
      </c>
      <c r="AA315" s="263"/>
      <c r="AB315" s="305"/>
    </row>
    <row r="316" spans="2:28" hidden="1" x14ac:dyDescent="0.25">
      <c r="B316" s="129">
        <v>1109148</v>
      </c>
      <c r="C316" s="129" t="s">
        <v>30</v>
      </c>
      <c r="D316" s="127" t="s">
        <v>1815</v>
      </c>
      <c r="E316" s="151" t="s">
        <v>1808</v>
      </c>
      <c r="F316" s="129" t="s">
        <v>1816</v>
      </c>
      <c r="G316" s="147" t="s">
        <v>34</v>
      </c>
      <c r="H316" s="191">
        <f t="shared" si="4"/>
        <v>7.61</v>
      </c>
      <c r="I316" s="224" t="s">
        <v>2084</v>
      </c>
      <c r="J316" s="146"/>
      <c r="K316" s="147">
        <v>8</v>
      </c>
      <c r="L316" s="147">
        <v>8</v>
      </c>
      <c r="M316" s="147">
        <v>16</v>
      </c>
      <c r="N316" s="289">
        <v>6000.9212000000007</v>
      </c>
      <c r="O316" s="195"/>
      <c r="P316" s="180">
        <v>45301</v>
      </c>
      <c r="Q316" s="174">
        <v>7.61</v>
      </c>
      <c r="R316" s="208"/>
      <c r="S316" s="168"/>
      <c r="T316" s="129" t="s">
        <v>1853</v>
      </c>
      <c r="U316" s="147" t="s">
        <v>35</v>
      </c>
      <c r="V316" s="129"/>
      <c r="W316" s="163" t="s">
        <v>54</v>
      </c>
      <c r="X316" s="215" t="s">
        <v>1921</v>
      </c>
      <c r="Y316" s="216">
        <v>0</v>
      </c>
      <c r="Z316" s="216">
        <v>0</v>
      </c>
      <c r="AA316" s="263"/>
      <c r="AB316" s="305"/>
    </row>
    <row r="317" spans="2:28" ht="24" x14ac:dyDescent="0.25">
      <c r="B317" s="129">
        <v>1109149</v>
      </c>
      <c r="C317" s="129" t="s">
        <v>30</v>
      </c>
      <c r="D317" s="127" t="s">
        <v>1822</v>
      </c>
      <c r="E317" s="151" t="s">
        <v>66</v>
      </c>
      <c r="F317" s="129" t="s">
        <v>2000</v>
      </c>
      <c r="G317" s="147" t="s">
        <v>34</v>
      </c>
      <c r="H317" s="191">
        <f t="shared" si="4"/>
        <v>1.32</v>
      </c>
      <c r="I317" s="235" t="s">
        <v>2221</v>
      </c>
      <c r="J317" s="146">
        <v>60</v>
      </c>
      <c r="K317" s="147">
        <v>4</v>
      </c>
      <c r="L317" s="147">
        <v>8</v>
      </c>
      <c r="M317" s="147">
        <v>12</v>
      </c>
      <c r="N317" s="289">
        <v>35724</v>
      </c>
      <c r="O317" s="196">
        <v>1.18</v>
      </c>
      <c r="P317" s="180">
        <v>45498</v>
      </c>
      <c r="Q317" s="174">
        <v>1.27</v>
      </c>
      <c r="R317" s="205">
        <v>0.05</v>
      </c>
      <c r="S317" s="168"/>
      <c r="T317" s="129" t="s">
        <v>2450</v>
      </c>
      <c r="U317" s="147" t="s">
        <v>37</v>
      </c>
      <c r="V317" s="129"/>
      <c r="W317" s="147" t="s">
        <v>2213</v>
      </c>
      <c r="X317" s="215" t="s">
        <v>1917</v>
      </c>
      <c r="Y317" s="216">
        <v>0</v>
      </c>
      <c r="Z317" s="216">
        <v>0</v>
      </c>
      <c r="AA317" s="263"/>
      <c r="AB317" s="305"/>
    </row>
    <row r="318" spans="2:28" ht="24" x14ac:dyDescent="0.25">
      <c r="B318" s="175">
        <v>1109150</v>
      </c>
      <c r="C318" s="127" t="s">
        <v>30</v>
      </c>
      <c r="D318" s="129" t="s">
        <v>2685</v>
      </c>
      <c r="E318" s="147" t="s">
        <v>32</v>
      </c>
      <c r="F318" s="129" t="s">
        <v>2357</v>
      </c>
      <c r="G318" s="147" t="s">
        <v>34</v>
      </c>
      <c r="H318" s="191">
        <f t="shared" si="4"/>
        <v>7.5932141885149225</v>
      </c>
      <c r="I318" s="222" t="s">
        <v>2228</v>
      </c>
      <c r="J318" s="146">
        <v>30</v>
      </c>
      <c r="K318" s="147">
        <v>11</v>
      </c>
      <c r="L318" s="147">
        <v>1</v>
      </c>
      <c r="M318" s="147">
        <v>12</v>
      </c>
      <c r="N318" s="289">
        <v>882</v>
      </c>
      <c r="O318" s="176">
        <v>7.66</v>
      </c>
      <c r="P318" s="180">
        <v>45975</v>
      </c>
      <c r="Q318" s="176">
        <f>16.74/2.2046</f>
        <v>7.5932141885149225</v>
      </c>
      <c r="R318" s="205">
        <v>0</v>
      </c>
      <c r="S318" s="165"/>
      <c r="T318" s="129" t="s">
        <v>1875</v>
      </c>
      <c r="U318" s="147" t="s">
        <v>37</v>
      </c>
      <c r="V318" s="129"/>
      <c r="W318" s="147" t="s">
        <v>2213</v>
      </c>
      <c r="X318" s="215" t="s">
        <v>1939</v>
      </c>
      <c r="Y318" s="216">
        <v>250</v>
      </c>
      <c r="Z318" s="216">
        <v>350</v>
      </c>
      <c r="AA318" s="263"/>
      <c r="AB318" s="305"/>
    </row>
    <row r="319" spans="2:28" ht="48" x14ac:dyDescent="0.25">
      <c r="B319" s="175">
        <v>1109151</v>
      </c>
      <c r="C319" s="127" t="s">
        <v>30</v>
      </c>
      <c r="D319" s="185" t="s">
        <v>1884</v>
      </c>
      <c r="E319" s="154" t="s">
        <v>2097</v>
      </c>
      <c r="F319" s="129" t="s">
        <v>1832</v>
      </c>
      <c r="G319" s="147" t="s">
        <v>34</v>
      </c>
      <c r="H319" s="191">
        <f t="shared" si="4"/>
        <v>2.2180894493332124</v>
      </c>
      <c r="I319" s="222" t="s">
        <v>2224</v>
      </c>
      <c r="J319" s="146">
        <v>0</v>
      </c>
      <c r="K319" s="147">
        <v>10</v>
      </c>
      <c r="L319" s="147">
        <v>8</v>
      </c>
      <c r="M319" s="147">
        <v>18</v>
      </c>
      <c r="N319" s="289">
        <v>2204.6</v>
      </c>
      <c r="O319" s="198"/>
      <c r="P319" s="180">
        <v>45427</v>
      </c>
      <c r="Q319" s="176">
        <v>1.2428558468656445</v>
      </c>
      <c r="R319" s="207">
        <v>0.97523360246756785</v>
      </c>
      <c r="S319" s="165"/>
      <c r="T319" s="129" t="s">
        <v>1908</v>
      </c>
      <c r="U319" s="147" t="s">
        <v>37</v>
      </c>
      <c r="V319" s="129"/>
      <c r="W319" s="147" t="s">
        <v>2459</v>
      </c>
      <c r="X319" s="215" t="s">
        <v>1918</v>
      </c>
      <c r="Y319" s="216">
        <v>10524.166348379629</v>
      </c>
      <c r="Z319" s="216">
        <v>12027.618683862434</v>
      </c>
      <c r="AA319" s="263"/>
      <c r="AB319" s="305"/>
    </row>
    <row r="320" spans="2:28" ht="48" x14ac:dyDescent="0.25">
      <c r="B320" s="175">
        <v>1109152</v>
      </c>
      <c r="C320" s="127" t="s">
        <v>30</v>
      </c>
      <c r="D320" s="185" t="s">
        <v>1883</v>
      </c>
      <c r="E320" s="154" t="s">
        <v>2097</v>
      </c>
      <c r="F320" s="129" t="s">
        <v>1832</v>
      </c>
      <c r="G320" s="147" t="s">
        <v>34</v>
      </c>
      <c r="H320" s="191">
        <f t="shared" si="4"/>
        <v>1.8930115818440232</v>
      </c>
      <c r="I320" s="222" t="s">
        <v>2225</v>
      </c>
      <c r="J320" s="146">
        <v>0</v>
      </c>
      <c r="K320" s="147">
        <v>10</v>
      </c>
      <c r="L320" s="147">
        <v>8</v>
      </c>
      <c r="M320" s="147">
        <v>18</v>
      </c>
      <c r="N320" s="289">
        <v>3306.9</v>
      </c>
      <c r="O320" s="198"/>
      <c r="P320" s="180">
        <v>45427</v>
      </c>
      <c r="Q320" s="176">
        <v>1.2428558468656445</v>
      </c>
      <c r="R320" s="207">
        <v>0.65015573497837853</v>
      </c>
      <c r="S320" s="165"/>
      <c r="T320" s="129" t="s">
        <v>1908</v>
      </c>
      <c r="U320" s="147" t="s">
        <v>37</v>
      </c>
      <c r="V320" s="129"/>
      <c r="W320" s="147" t="s">
        <v>2459</v>
      </c>
      <c r="X320" s="215" t="s">
        <v>1918</v>
      </c>
      <c r="Y320" s="216">
        <v>16992.516362268521</v>
      </c>
      <c r="Z320" s="216">
        <v>19420.01869973545</v>
      </c>
      <c r="AA320" s="263"/>
      <c r="AB320" s="305"/>
    </row>
    <row r="321" spans="2:28" ht="48" x14ac:dyDescent="0.25">
      <c r="B321" s="175">
        <v>1109153</v>
      </c>
      <c r="C321" s="127" t="s">
        <v>30</v>
      </c>
      <c r="D321" s="129" t="s">
        <v>1940</v>
      </c>
      <c r="E321" s="154" t="s">
        <v>2097</v>
      </c>
      <c r="F321" s="129" t="s">
        <v>1832</v>
      </c>
      <c r="G321" s="147" t="s">
        <v>34</v>
      </c>
      <c r="H321" s="191">
        <f t="shared" si="4"/>
        <v>2.6973903051195984</v>
      </c>
      <c r="I321" s="222" t="s">
        <v>2225</v>
      </c>
      <c r="J321" s="146">
        <v>0</v>
      </c>
      <c r="K321" s="147">
        <v>10</v>
      </c>
      <c r="L321" s="147">
        <v>8</v>
      </c>
      <c r="M321" s="147">
        <v>18</v>
      </c>
      <c r="N321" s="289">
        <v>1653.45</v>
      </c>
      <c r="O321" s="198"/>
      <c r="P321" s="180">
        <v>45427</v>
      </c>
      <c r="Q321" s="176">
        <v>1.3970788351628414</v>
      </c>
      <c r="R321" s="207">
        <v>1.3003114699567571</v>
      </c>
      <c r="S321" s="165"/>
      <c r="T321" s="129" t="s">
        <v>1908</v>
      </c>
      <c r="U321" s="147" t="s">
        <v>37</v>
      </c>
      <c r="V321" s="129"/>
      <c r="W321" s="147" t="s">
        <v>2459</v>
      </c>
      <c r="X321" s="215" t="s">
        <v>1918</v>
      </c>
      <c r="Y321" s="216">
        <v>0</v>
      </c>
      <c r="Z321" s="216">
        <v>0</v>
      </c>
      <c r="AA321" s="263"/>
      <c r="AB321" s="305"/>
    </row>
    <row r="322" spans="2:28" ht="48" x14ac:dyDescent="0.25">
      <c r="B322" s="175">
        <v>1109154</v>
      </c>
      <c r="C322" s="127" t="s">
        <v>30</v>
      </c>
      <c r="D322" s="129" t="s">
        <v>1878</v>
      </c>
      <c r="E322" s="154" t="s">
        <v>2097</v>
      </c>
      <c r="F322" s="129" t="s">
        <v>1832</v>
      </c>
      <c r="G322" s="147" t="s">
        <v>34</v>
      </c>
      <c r="H322" s="191">
        <f t="shared" si="4"/>
        <v>2.6973903051195984</v>
      </c>
      <c r="I322" s="222" t="s">
        <v>2225</v>
      </c>
      <c r="J322" s="146">
        <v>0</v>
      </c>
      <c r="K322" s="147">
        <v>10</v>
      </c>
      <c r="L322" s="147">
        <v>8</v>
      </c>
      <c r="M322" s="147">
        <v>18</v>
      </c>
      <c r="N322" s="289">
        <v>1653.45</v>
      </c>
      <c r="O322" s="198"/>
      <c r="P322" s="180">
        <v>45427</v>
      </c>
      <c r="Q322" s="176">
        <v>1.3970788351628414</v>
      </c>
      <c r="R322" s="207">
        <v>1.3003114699567571</v>
      </c>
      <c r="S322" s="165"/>
      <c r="T322" s="129" t="s">
        <v>1908</v>
      </c>
      <c r="U322" s="147" t="s">
        <v>37</v>
      </c>
      <c r="V322" s="129"/>
      <c r="W322" s="147" t="s">
        <v>2459</v>
      </c>
      <c r="X322" s="215" t="s">
        <v>1918</v>
      </c>
      <c r="Y322" s="216">
        <v>525.99785000000008</v>
      </c>
      <c r="Z322" s="216">
        <v>601.14040000000011</v>
      </c>
      <c r="AA322" s="263"/>
      <c r="AB322" s="305"/>
    </row>
    <row r="323" spans="2:28" ht="48" x14ac:dyDescent="0.25">
      <c r="B323" s="175">
        <v>1109155</v>
      </c>
      <c r="C323" s="127" t="s">
        <v>30</v>
      </c>
      <c r="D323" s="129" t="s">
        <v>1837</v>
      </c>
      <c r="E323" s="154" t="s">
        <v>2098</v>
      </c>
      <c r="F323" s="129" t="s">
        <v>1832</v>
      </c>
      <c r="G323" s="147" t="s">
        <v>34</v>
      </c>
      <c r="H323" s="191">
        <f t="shared" ref="H323:H386" si="5">Q323+R323</f>
        <v>2.1402170451474567</v>
      </c>
      <c r="I323" s="222" t="s">
        <v>2225</v>
      </c>
      <c r="J323" s="146">
        <v>0</v>
      </c>
      <c r="K323" s="147">
        <v>10</v>
      </c>
      <c r="L323" s="147">
        <v>8</v>
      </c>
      <c r="M323" s="147">
        <v>18</v>
      </c>
      <c r="N323" s="289">
        <v>13228</v>
      </c>
      <c r="O323" s="198"/>
      <c r="P323" s="180">
        <v>45427</v>
      </c>
      <c r="Q323" s="176">
        <v>1.9776830263993468</v>
      </c>
      <c r="R323" s="207">
        <v>0.16253401874811008</v>
      </c>
      <c r="S323" s="165"/>
      <c r="T323" s="129" t="s">
        <v>1908</v>
      </c>
      <c r="U323" s="147" t="s">
        <v>37</v>
      </c>
      <c r="V323" s="129"/>
      <c r="W323" s="147" t="s">
        <v>2459</v>
      </c>
      <c r="X323" s="215" t="s">
        <v>1918</v>
      </c>
      <c r="Y323" s="216">
        <v>17862.343625000001</v>
      </c>
      <c r="Z323" s="216">
        <v>20414.107000000004</v>
      </c>
      <c r="AA323" s="263"/>
      <c r="AB323" s="305"/>
    </row>
    <row r="324" spans="2:28" ht="48" x14ac:dyDescent="0.25">
      <c r="B324" s="175">
        <v>1109156</v>
      </c>
      <c r="C324" s="127" t="s">
        <v>30</v>
      </c>
      <c r="D324" s="129" t="s">
        <v>1881</v>
      </c>
      <c r="E324" s="154" t="s">
        <v>2097</v>
      </c>
      <c r="F324" s="129" t="s">
        <v>1832</v>
      </c>
      <c r="G324" s="147" t="s">
        <v>34</v>
      </c>
      <c r="H324" s="191">
        <f t="shared" si="5"/>
        <v>2.0338036528033911</v>
      </c>
      <c r="I324" s="222" t="s">
        <v>2225</v>
      </c>
      <c r="J324" s="146">
        <v>0</v>
      </c>
      <c r="K324" s="147">
        <v>10</v>
      </c>
      <c r="L324" s="147">
        <v>8</v>
      </c>
      <c r="M324" s="147">
        <v>18</v>
      </c>
      <c r="N324" s="289">
        <v>1653.45</v>
      </c>
      <c r="O324" s="198"/>
      <c r="P324" s="180">
        <v>45427</v>
      </c>
      <c r="Q324" s="176">
        <v>1.3834709244307355</v>
      </c>
      <c r="R324" s="207">
        <v>0.65033272837265577</v>
      </c>
      <c r="S324" s="165"/>
      <c r="T324" s="129" t="s">
        <v>1908</v>
      </c>
      <c r="U324" s="147" t="s">
        <v>37</v>
      </c>
      <c r="V324" s="129"/>
      <c r="W324" s="147" t="s">
        <v>2459</v>
      </c>
      <c r="X324" s="215" t="s">
        <v>1918</v>
      </c>
      <c r="Y324" s="216">
        <v>13397.220637499999</v>
      </c>
      <c r="Z324" s="216">
        <v>15311.1093</v>
      </c>
      <c r="AA324" s="263"/>
      <c r="AB324" s="305"/>
    </row>
    <row r="325" spans="2:28" ht="48" x14ac:dyDescent="0.25">
      <c r="B325" s="175">
        <v>1109157</v>
      </c>
      <c r="C325" s="127" t="s">
        <v>30</v>
      </c>
      <c r="D325" s="129" t="s">
        <v>1941</v>
      </c>
      <c r="E325" s="154" t="s">
        <v>2097</v>
      </c>
      <c r="F325" s="129" t="s">
        <v>1832</v>
      </c>
      <c r="G325" s="147" t="s">
        <v>34</v>
      </c>
      <c r="H325" s="191">
        <f t="shared" si="5"/>
        <v>2.6973903051195984</v>
      </c>
      <c r="I325" s="222" t="s">
        <v>2225</v>
      </c>
      <c r="J325" s="146">
        <v>0</v>
      </c>
      <c r="K325" s="147">
        <v>10</v>
      </c>
      <c r="L325" s="147">
        <v>8</v>
      </c>
      <c r="M325" s="147">
        <v>18</v>
      </c>
      <c r="N325" s="289">
        <v>1653.45</v>
      </c>
      <c r="O325" s="198"/>
      <c r="P325" s="180">
        <v>45427</v>
      </c>
      <c r="Q325" s="176">
        <v>1.3970788351628414</v>
      </c>
      <c r="R325" s="207">
        <v>1.3003114699567571</v>
      </c>
      <c r="S325" s="165"/>
      <c r="T325" s="129" t="s">
        <v>1908</v>
      </c>
      <c r="U325" s="147" t="s">
        <v>37</v>
      </c>
      <c r="V325" s="129"/>
      <c r="W325" s="147" t="s">
        <v>2459</v>
      </c>
      <c r="X325" s="215" t="s">
        <v>1918</v>
      </c>
      <c r="Y325" s="216">
        <v>0</v>
      </c>
      <c r="Z325" s="216">
        <v>0</v>
      </c>
      <c r="AA325" s="263"/>
      <c r="AB325" s="305"/>
    </row>
    <row r="326" spans="2:28" ht="50.4" customHeight="1" x14ac:dyDescent="0.25">
      <c r="B326" s="175">
        <v>1109158</v>
      </c>
      <c r="C326" s="127" t="s">
        <v>30</v>
      </c>
      <c r="D326" s="129" t="s">
        <v>1833</v>
      </c>
      <c r="E326" s="151" t="s">
        <v>32</v>
      </c>
      <c r="F326" s="129" t="s">
        <v>307</v>
      </c>
      <c r="G326" s="147" t="s">
        <v>34</v>
      </c>
      <c r="H326" s="191">
        <f t="shared" si="5"/>
        <v>4.2649999999999997</v>
      </c>
      <c r="I326" s="222" t="s">
        <v>2084</v>
      </c>
      <c r="J326" s="146">
        <v>0</v>
      </c>
      <c r="K326" s="147">
        <v>7</v>
      </c>
      <c r="L326" s="147">
        <v>1</v>
      </c>
      <c r="M326" s="147">
        <v>8</v>
      </c>
      <c r="N326" s="289">
        <v>1499</v>
      </c>
      <c r="O326" s="198"/>
      <c r="P326" s="180">
        <v>45336</v>
      </c>
      <c r="Q326" s="176">
        <v>4.2149999999999999</v>
      </c>
      <c r="R326" s="205">
        <v>0.05</v>
      </c>
      <c r="S326" s="165"/>
      <c r="T326" s="129" t="s">
        <v>1875</v>
      </c>
      <c r="U326" s="147" t="s">
        <v>37</v>
      </c>
      <c r="V326" s="129"/>
      <c r="W326" s="147" t="s">
        <v>2215</v>
      </c>
      <c r="X326" s="215" t="s">
        <v>1009</v>
      </c>
      <c r="Y326" s="216">
        <v>30</v>
      </c>
      <c r="Z326" s="216">
        <v>45</v>
      </c>
      <c r="AA326" s="263"/>
      <c r="AB326" s="305"/>
    </row>
    <row r="327" spans="2:28" ht="48" x14ac:dyDescent="0.25">
      <c r="B327" s="175">
        <v>1109159</v>
      </c>
      <c r="C327" s="127" t="s">
        <v>30</v>
      </c>
      <c r="D327" s="129" t="s">
        <v>1882</v>
      </c>
      <c r="E327" s="154" t="s">
        <v>2097</v>
      </c>
      <c r="F327" s="129" t="s">
        <v>1832</v>
      </c>
      <c r="G327" s="147" t="s">
        <v>34</v>
      </c>
      <c r="H327" s="191">
        <f t="shared" si="5"/>
        <v>2.6973903051195984</v>
      </c>
      <c r="I327" s="222" t="s">
        <v>2225</v>
      </c>
      <c r="J327" s="146">
        <v>0</v>
      </c>
      <c r="K327" s="147">
        <v>10</v>
      </c>
      <c r="L327" s="147">
        <v>8</v>
      </c>
      <c r="M327" s="147">
        <v>18</v>
      </c>
      <c r="N327" s="289">
        <v>1653.45</v>
      </c>
      <c r="O327" s="198"/>
      <c r="P327" s="180">
        <v>45427</v>
      </c>
      <c r="Q327" s="176">
        <v>1.3970788351628414</v>
      </c>
      <c r="R327" s="207">
        <v>1.3003114699567571</v>
      </c>
      <c r="S327" s="165"/>
      <c r="T327" s="129" t="s">
        <v>1908</v>
      </c>
      <c r="U327" s="147" t="s">
        <v>37</v>
      </c>
      <c r="V327" s="129"/>
      <c r="W327" s="147" t="s">
        <v>2459</v>
      </c>
      <c r="X327" s="215" t="s">
        <v>1918</v>
      </c>
      <c r="Y327" s="216">
        <v>3055.8128124999998</v>
      </c>
      <c r="Z327" s="216">
        <v>3492.3575000000001</v>
      </c>
      <c r="AA327" s="263"/>
      <c r="AB327" s="305"/>
    </row>
    <row r="328" spans="2:28" ht="48" x14ac:dyDescent="0.25">
      <c r="B328" s="175">
        <v>1109160</v>
      </c>
      <c r="C328" s="127" t="s">
        <v>30</v>
      </c>
      <c r="D328" s="129" t="s">
        <v>1879</v>
      </c>
      <c r="E328" s="154" t="s">
        <v>2097</v>
      </c>
      <c r="F328" s="129" t="s">
        <v>1832</v>
      </c>
      <c r="G328" s="147" t="s">
        <v>34</v>
      </c>
      <c r="H328" s="191">
        <f t="shared" si="5"/>
        <v>2.6973903051195984</v>
      </c>
      <c r="I328" s="222" t="s">
        <v>2225</v>
      </c>
      <c r="J328" s="146">
        <v>0</v>
      </c>
      <c r="K328" s="147">
        <v>10</v>
      </c>
      <c r="L328" s="147">
        <v>8</v>
      </c>
      <c r="M328" s="147">
        <v>18</v>
      </c>
      <c r="N328" s="289">
        <v>1653.45</v>
      </c>
      <c r="O328" s="198"/>
      <c r="P328" s="180">
        <v>45427</v>
      </c>
      <c r="Q328" s="176">
        <v>1.3970788351628414</v>
      </c>
      <c r="R328" s="207">
        <v>1.3003114699567571</v>
      </c>
      <c r="S328" s="165"/>
      <c r="T328" s="129" t="s">
        <v>1908</v>
      </c>
      <c r="U328" s="147" t="s">
        <v>37</v>
      </c>
      <c r="V328" s="129"/>
      <c r="W328" s="147" t="s">
        <v>2459</v>
      </c>
      <c r="X328" s="215" t="s">
        <v>1918</v>
      </c>
      <c r="Y328" s="216">
        <v>3981.2904249999997</v>
      </c>
      <c r="Z328" s="216">
        <v>4550.0461999999998</v>
      </c>
      <c r="AA328" s="263"/>
      <c r="AB328" s="305"/>
    </row>
    <row r="329" spans="2:28" hidden="1" x14ac:dyDescent="0.25">
      <c r="B329" s="175">
        <v>1109161</v>
      </c>
      <c r="C329" s="127" t="s">
        <v>30</v>
      </c>
      <c r="D329" s="129" t="s">
        <v>1844</v>
      </c>
      <c r="E329" s="147" t="s">
        <v>1930</v>
      </c>
      <c r="F329" s="129" t="s">
        <v>307</v>
      </c>
      <c r="G329" s="147" t="s">
        <v>34</v>
      </c>
      <c r="H329" s="191">
        <f t="shared" si="5"/>
        <v>2.9299999999999997</v>
      </c>
      <c r="I329" s="134" t="s">
        <v>2084</v>
      </c>
      <c r="J329" s="146">
        <v>0</v>
      </c>
      <c r="K329" s="147">
        <v>8</v>
      </c>
      <c r="L329" s="147">
        <v>1</v>
      </c>
      <c r="M329" s="147">
        <v>9</v>
      </c>
      <c r="N329" s="289">
        <v>1653</v>
      </c>
      <c r="O329" s="198"/>
      <c r="P329" s="180"/>
      <c r="Q329" s="176">
        <v>2.88</v>
      </c>
      <c r="R329" s="205">
        <v>0.05</v>
      </c>
      <c r="S329" s="165"/>
      <c r="T329" s="129" t="s">
        <v>1908</v>
      </c>
      <c r="U329" s="147" t="s">
        <v>37</v>
      </c>
      <c r="V329" s="129"/>
      <c r="W329" s="177" t="s">
        <v>54</v>
      </c>
      <c r="X329" s="215" t="s">
        <v>1009</v>
      </c>
      <c r="Y329" s="216">
        <v>0</v>
      </c>
      <c r="Z329" s="216">
        <v>0</v>
      </c>
      <c r="AA329" s="263"/>
      <c r="AB329" s="305"/>
    </row>
    <row r="330" spans="2:28" ht="48" x14ac:dyDescent="0.25">
      <c r="B330" s="175">
        <v>1109162</v>
      </c>
      <c r="C330" s="127" t="s">
        <v>30</v>
      </c>
      <c r="D330" s="129" t="s">
        <v>1880</v>
      </c>
      <c r="E330" s="154" t="s">
        <v>2097</v>
      </c>
      <c r="F330" s="129" t="s">
        <v>1832</v>
      </c>
      <c r="G330" s="147" t="s">
        <v>34</v>
      </c>
      <c r="H330" s="191">
        <f t="shared" si="5"/>
        <v>2.6837823943874923</v>
      </c>
      <c r="I330" s="222" t="s">
        <v>2225</v>
      </c>
      <c r="J330" s="146">
        <v>0</v>
      </c>
      <c r="K330" s="147">
        <v>10</v>
      </c>
      <c r="L330" s="147">
        <v>8</v>
      </c>
      <c r="M330" s="147">
        <v>18</v>
      </c>
      <c r="N330" s="289">
        <v>1653.45</v>
      </c>
      <c r="O330" s="198"/>
      <c r="P330" s="180">
        <v>45427</v>
      </c>
      <c r="Q330" s="176">
        <v>1.3834709244307355</v>
      </c>
      <c r="R330" s="207">
        <v>1.3003114699567571</v>
      </c>
      <c r="S330" s="165"/>
      <c r="T330" s="129" t="s">
        <v>1908</v>
      </c>
      <c r="U330" s="147" t="s">
        <v>37</v>
      </c>
      <c r="V330" s="129"/>
      <c r="W330" s="147" t="s">
        <v>2459</v>
      </c>
      <c r="X330" s="215" t="s">
        <v>1918</v>
      </c>
      <c r="Y330" s="216">
        <v>23.978499999999997</v>
      </c>
      <c r="Z330" s="216">
        <v>27.403999999999996</v>
      </c>
      <c r="AA330" s="263"/>
      <c r="AB330" s="305"/>
    </row>
    <row r="331" spans="2:28" ht="48" x14ac:dyDescent="0.25">
      <c r="B331" s="175">
        <v>1109163</v>
      </c>
      <c r="C331" s="127" t="s">
        <v>30</v>
      </c>
      <c r="D331" s="129" t="s">
        <v>1887</v>
      </c>
      <c r="E331" s="154" t="s">
        <v>2097</v>
      </c>
      <c r="F331" s="129" t="s">
        <v>1832</v>
      </c>
      <c r="G331" s="147" t="s">
        <v>34</v>
      </c>
      <c r="H331" s="191">
        <f t="shared" si="5"/>
        <v>2.0336266594091139</v>
      </c>
      <c r="I331" s="222" t="s">
        <v>2225</v>
      </c>
      <c r="J331" s="146">
        <v>0</v>
      </c>
      <c r="K331" s="147">
        <v>10</v>
      </c>
      <c r="L331" s="147">
        <v>8</v>
      </c>
      <c r="M331" s="147">
        <v>18</v>
      </c>
      <c r="N331" s="289">
        <v>3306.9</v>
      </c>
      <c r="O331" s="198"/>
      <c r="P331" s="180">
        <v>45427</v>
      </c>
      <c r="Q331" s="176">
        <v>1.3834709244307355</v>
      </c>
      <c r="R331" s="207">
        <v>0.65015573497837853</v>
      </c>
      <c r="S331" s="165"/>
      <c r="T331" s="129" t="s">
        <v>1908</v>
      </c>
      <c r="U331" s="147" t="s">
        <v>37</v>
      </c>
      <c r="V331" s="129"/>
      <c r="W331" s="147" t="s">
        <v>2459</v>
      </c>
      <c r="X331" s="215" t="s">
        <v>1918</v>
      </c>
      <c r="Y331" s="216">
        <v>3363.9998875000001</v>
      </c>
      <c r="Z331" s="216">
        <v>3844.5713000000001</v>
      </c>
      <c r="AA331" s="263"/>
      <c r="AB331" s="305"/>
    </row>
    <row r="332" spans="2:28" ht="24" x14ac:dyDescent="0.25">
      <c r="B332" s="175">
        <v>1109164</v>
      </c>
      <c r="C332" s="127" t="s">
        <v>30</v>
      </c>
      <c r="D332" s="129" t="s">
        <v>2028</v>
      </c>
      <c r="E332" s="147" t="s">
        <v>2079</v>
      </c>
      <c r="F332" s="129" t="s">
        <v>2036</v>
      </c>
      <c r="G332" s="147" t="s">
        <v>34</v>
      </c>
      <c r="H332" s="191">
        <f t="shared" si="5"/>
        <v>9.3350267622244392</v>
      </c>
      <c r="I332" s="222" t="s">
        <v>2228</v>
      </c>
      <c r="J332" s="146">
        <v>30</v>
      </c>
      <c r="K332" s="147">
        <v>3</v>
      </c>
      <c r="L332" s="147">
        <v>1</v>
      </c>
      <c r="M332" s="147">
        <v>4</v>
      </c>
      <c r="N332" s="289">
        <v>2094.37</v>
      </c>
      <c r="O332" s="198">
        <v>5.2798999999999996</v>
      </c>
      <c r="P332" s="180">
        <v>45625</v>
      </c>
      <c r="Q332" s="202">
        <v>9.3350267622244392</v>
      </c>
      <c r="R332" s="208"/>
      <c r="S332" s="165"/>
      <c r="T332" s="129" t="s">
        <v>1908</v>
      </c>
      <c r="U332" s="147" t="s">
        <v>37</v>
      </c>
      <c r="V332" s="129"/>
      <c r="W332" s="147" t="s">
        <v>2213</v>
      </c>
      <c r="X332" s="215" t="s">
        <v>1918</v>
      </c>
      <c r="Y332" s="216">
        <v>27.026212500000003</v>
      </c>
      <c r="Z332" s="216">
        <v>38.608875000000005</v>
      </c>
      <c r="AA332" s="265" t="s">
        <v>2134</v>
      </c>
      <c r="AB332" s="305"/>
    </row>
    <row r="333" spans="2:28" ht="24" x14ac:dyDescent="0.25">
      <c r="B333" s="175">
        <v>1109165</v>
      </c>
      <c r="C333" s="127" t="s">
        <v>30</v>
      </c>
      <c r="D333" s="129" t="s">
        <v>1841</v>
      </c>
      <c r="E333" s="147" t="s">
        <v>1927</v>
      </c>
      <c r="F333" s="129" t="s">
        <v>47</v>
      </c>
      <c r="G333" s="147" t="s">
        <v>34</v>
      </c>
      <c r="H333" s="191">
        <f t="shared" si="5"/>
        <v>2.7678765880217786</v>
      </c>
      <c r="I333" s="222" t="s">
        <v>2228</v>
      </c>
      <c r="J333" s="146">
        <v>30</v>
      </c>
      <c r="K333" s="147">
        <v>7</v>
      </c>
      <c r="L333" s="147">
        <v>1</v>
      </c>
      <c r="M333" s="147">
        <v>8</v>
      </c>
      <c r="N333" s="289">
        <v>1653</v>
      </c>
      <c r="O333" s="198">
        <v>2.02</v>
      </c>
      <c r="P333" s="180">
        <v>45358</v>
      </c>
      <c r="Q333" s="176">
        <v>2.23</v>
      </c>
      <c r="R333" s="205">
        <v>0.53787658802177862</v>
      </c>
      <c r="S333" s="165"/>
      <c r="T333" s="129" t="s">
        <v>1908</v>
      </c>
      <c r="U333" s="147" t="s">
        <v>37</v>
      </c>
      <c r="V333" s="129"/>
      <c r="W333" s="147" t="s">
        <v>2213</v>
      </c>
      <c r="X333" s="215" t="s">
        <v>1906</v>
      </c>
      <c r="Y333" s="216">
        <v>4311.7766958774237</v>
      </c>
      <c r="Z333" s="216">
        <v>5487.715794753085</v>
      </c>
      <c r="AA333" s="265" t="s">
        <v>2134</v>
      </c>
      <c r="AB333" s="305"/>
    </row>
    <row r="334" spans="2:28" x14ac:dyDescent="0.25">
      <c r="B334" s="129">
        <v>1109166</v>
      </c>
      <c r="C334" s="127" t="s">
        <v>30</v>
      </c>
      <c r="D334" s="129" t="s">
        <v>1842</v>
      </c>
      <c r="E334" s="297" t="s">
        <v>380</v>
      </c>
      <c r="F334" s="129" t="s">
        <v>1788</v>
      </c>
      <c r="G334" s="147" t="s">
        <v>34</v>
      </c>
      <c r="H334" s="191">
        <f t="shared" si="5"/>
        <v>3.25</v>
      </c>
      <c r="I334" s="235" t="s">
        <v>2084</v>
      </c>
      <c r="J334" s="146">
        <v>0</v>
      </c>
      <c r="K334" s="147">
        <v>3</v>
      </c>
      <c r="L334" s="147">
        <v>2</v>
      </c>
      <c r="M334" s="147">
        <v>5</v>
      </c>
      <c r="N334" s="289">
        <v>1432</v>
      </c>
      <c r="O334" s="198"/>
      <c r="P334" s="180"/>
      <c r="Q334" s="176">
        <v>3.2</v>
      </c>
      <c r="R334" s="205">
        <v>0.05</v>
      </c>
      <c r="S334" s="165"/>
      <c r="T334" s="129" t="s">
        <v>1908</v>
      </c>
      <c r="U334" s="147" t="s">
        <v>37</v>
      </c>
      <c r="V334" s="129"/>
      <c r="W334" s="147" t="s">
        <v>2213</v>
      </c>
      <c r="X334" s="215" t="s">
        <v>1009</v>
      </c>
      <c r="Y334" s="216">
        <v>335.25000000000006</v>
      </c>
      <c r="Z334" s="216">
        <v>460.96875000000006</v>
      </c>
      <c r="AA334" s="265" t="s">
        <v>2134</v>
      </c>
      <c r="AB334" s="305"/>
    </row>
    <row r="335" spans="2:28" ht="24" x14ac:dyDescent="0.25">
      <c r="B335" s="129">
        <v>1109167</v>
      </c>
      <c r="C335" s="127" t="s">
        <v>30</v>
      </c>
      <c r="D335" s="129" t="s">
        <v>1845</v>
      </c>
      <c r="E335" s="147" t="s">
        <v>146</v>
      </c>
      <c r="F335" s="129" t="s">
        <v>1642</v>
      </c>
      <c r="G335" s="147" t="s">
        <v>34</v>
      </c>
      <c r="H335" s="191">
        <f t="shared" si="5"/>
        <v>0.68</v>
      </c>
      <c r="I335" s="222" t="s">
        <v>2222</v>
      </c>
      <c r="J335" s="146">
        <v>45</v>
      </c>
      <c r="K335" s="147">
        <v>3</v>
      </c>
      <c r="L335" s="147">
        <v>1</v>
      </c>
      <c r="M335" s="147">
        <v>4</v>
      </c>
      <c r="N335" s="289">
        <v>40000</v>
      </c>
      <c r="O335" s="176">
        <f>0.57+0.05</f>
        <v>0.62</v>
      </c>
      <c r="P335" s="180">
        <v>46111</v>
      </c>
      <c r="Q335" s="176">
        <v>0.63</v>
      </c>
      <c r="R335" s="205">
        <v>0.05</v>
      </c>
      <c r="S335" s="165"/>
      <c r="T335" s="129" t="s">
        <v>1711</v>
      </c>
      <c r="U335" s="147" t="s">
        <v>37</v>
      </c>
      <c r="V335" s="129"/>
      <c r="W335" s="147" t="s">
        <v>2213</v>
      </c>
      <c r="X335" s="215" t="s">
        <v>1009</v>
      </c>
      <c r="Y335" s="216">
        <v>9847.9499999999989</v>
      </c>
      <c r="Z335" s="216">
        <v>13540.931249999998</v>
      </c>
      <c r="AA335" s="263"/>
      <c r="AB335" s="305"/>
    </row>
    <row r="336" spans="2:28" ht="24" x14ac:dyDescent="0.25">
      <c r="B336" s="129">
        <v>1109168</v>
      </c>
      <c r="C336" s="127" t="s">
        <v>30</v>
      </c>
      <c r="D336" s="129" t="s">
        <v>1846</v>
      </c>
      <c r="E336" s="147" t="s">
        <v>32</v>
      </c>
      <c r="F336" s="129" t="s">
        <v>1685</v>
      </c>
      <c r="G336" s="147" t="s">
        <v>34</v>
      </c>
      <c r="H336" s="191">
        <f t="shared" si="5"/>
        <v>1.5065159212555566</v>
      </c>
      <c r="I336" s="222" t="s">
        <v>2226</v>
      </c>
      <c r="J336" s="146">
        <v>0</v>
      </c>
      <c r="K336" s="147">
        <v>4</v>
      </c>
      <c r="L336" s="147">
        <v>8</v>
      </c>
      <c r="M336" s="147">
        <v>12</v>
      </c>
      <c r="N336" s="289">
        <v>6613.8</v>
      </c>
      <c r="O336" s="198"/>
      <c r="P336" s="180">
        <v>45376</v>
      </c>
      <c r="Q336" s="176">
        <v>1.2315159212555564</v>
      </c>
      <c r="R336" s="205">
        <f>9000/40000+0.05</f>
        <v>0.27500000000000002</v>
      </c>
      <c r="S336" s="165" t="s">
        <v>35</v>
      </c>
      <c r="T336" s="129" t="s">
        <v>2211</v>
      </c>
      <c r="U336" s="147" t="s">
        <v>37</v>
      </c>
      <c r="V336" s="147">
        <v>3500338</v>
      </c>
      <c r="W336" s="147" t="s">
        <v>2213</v>
      </c>
      <c r="X336" s="215" t="s">
        <v>1856</v>
      </c>
      <c r="Y336" s="216">
        <v>233.45287499999998</v>
      </c>
      <c r="Z336" s="216">
        <v>280.14344999999997</v>
      </c>
      <c r="AA336" s="263"/>
      <c r="AB336" s="305"/>
    </row>
    <row r="337" spans="2:29" ht="24" x14ac:dyDescent="0.25">
      <c r="B337" s="129">
        <v>1109169</v>
      </c>
      <c r="C337" s="127" t="s">
        <v>30</v>
      </c>
      <c r="D337" s="129" t="s">
        <v>1847</v>
      </c>
      <c r="E337" s="147" t="s">
        <v>1810</v>
      </c>
      <c r="F337" s="129" t="s">
        <v>2513</v>
      </c>
      <c r="G337" s="147" t="s">
        <v>34</v>
      </c>
      <c r="H337" s="191">
        <f t="shared" si="5"/>
        <v>1.612008232489091</v>
      </c>
      <c r="I337" s="222" t="s">
        <v>2663</v>
      </c>
      <c r="J337" s="146">
        <v>0</v>
      </c>
      <c r="K337" s="147">
        <v>4</v>
      </c>
      <c r="L337" s="147">
        <v>8</v>
      </c>
      <c r="M337" s="147">
        <v>12</v>
      </c>
      <c r="N337" s="289">
        <v>44458</v>
      </c>
      <c r="O337" s="198">
        <f>1.2075+0.0538</f>
        <v>1.2613000000000001</v>
      </c>
      <c r="P337" s="180">
        <v>46161</v>
      </c>
      <c r="Q337" s="176">
        <v>1.6040000000000001</v>
      </c>
      <c r="R337" s="205">
        <f>356.03/N337</f>
        <v>8.0082324890908274E-3</v>
      </c>
      <c r="S337" s="165" t="s">
        <v>35</v>
      </c>
      <c r="T337" s="129" t="s">
        <v>2211</v>
      </c>
      <c r="U337" s="147" t="s">
        <v>37</v>
      </c>
      <c r="V337" s="147">
        <v>3500330</v>
      </c>
      <c r="W337" s="147" t="s">
        <v>2213</v>
      </c>
      <c r="X337" s="217" t="s">
        <v>1856</v>
      </c>
      <c r="Y337" s="216">
        <v>6767.4063124999993</v>
      </c>
      <c r="Z337" s="216">
        <v>8120.8875749999997</v>
      </c>
      <c r="AA337" s="263"/>
      <c r="AB337" s="305"/>
    </row>
    <row r="338" spans="2:29" ht="24" x14ac:dyDescent="0.25">
      <c r="B338" s="129">
        <v>1109170</v>
      </c>
      <c r="C338" s="127" t="s">
        <v>30</v>
      </c>
      <c r="D338" s="129" t="s">
        <v>1858</v>
      </c>
      <c r="E338" s="151" t="s">
        <v>1931</v>
      </c>
      <c r="F338" s="136" t="s">
        <v>1863</v>
      </c>
      <c r="G338" s="147" t="s">
        <v>34</v>
      </c>
      <c r="H338" s="191">
        <f t="shared" si="5"/>
        <v>2.3369999833533344</v>
      </c>
      <c r="I338" s="222" t="s">
        <v>2226</v>
      </c>
      <c r="J338" s="146">
        <v>30</v>
      </c>
      <c r="K338" s="147">
        <v>4</v>
      </c>
      <c r="L338" s="147">
        <v>8</v>
      </c>
      <c r="M338" s="147">
        <v>12</v>
      </c>
      <c r="N338" s="289">
        <v>39647.58</v>
      </c>
      <c r="O338" s="176">
        <f>4.347/2.2046+0.2396</f>
        <v>2.2113862650821012</v>
      </c>
      <c r="P338" s="180">
        <v>46132</v>
      </c>
      <c r="Q338" s="176">
        <v>2.11</v>
      </c>
      <c r="R338" s="207">
        <f>9000/N338</f>
        <v>0.22699998335333454</v>
      </c>
      <c r="S338" s="165" t="s">
        <v>35</v>
      </c>
      <c r="T338" s="129" t="s">
        <v>2211</v>
      </c>
      <c r="U338" s="147" t="s">
        <v>37</v>
      </c>
      <c r="V338" s="147">
        <v>3500329</v>
      </c>
      <c r="W338" s="147" t="s">
        <v>2213</v>
      </c>
      <c r="X338" s="215" t="s">
        <v>1856</v>
      </c>
      <c r="Y338" s="216">
        <v>171355.7641249999</v>
      </c>
      <c r="Z338" s="216">
        <v>205626.9169499999</v>
      </c>
      <c r="AA338" s="263"/>
      <c r="AB338" s="305"/>
    </row>
    <row r="339" spans="2:29" ht="48" hidden="1" x14ac:dyDescent="0.25">
      <c r="B339" s="129">
        <v>1109171</v>
      </c>
      <c r="C339" s="129" t="s">
        <v>30</v>
      </c>
      <c r="D339" s="129" t="s">
        <v>1864</v>
      </c>
      <c r="E339" s="147"/>
      <c r="F339" s="129" t="s">
        <v>1832</v>
      </c>
      <c r="G339" s="147" t="s">
        <v>34</v>
      </c>
      <c r="H339" s="191">
        <f t="shared" si="5"/>
        <v>0</v>
      </c>
      <c r="I339" s="222" t="s">
        <v>2225</v>
      </c>
      <c r="J339" s="150"/>
      <c r="K339" s="147">
        <v>11</v>
      </c>
      <c r="L339" s="147">
        <v>1</v>
      </c>
      <c r="M339" s="147">
        <v>12</v>
      </c>
      <c r="N339" s="289"/>
      <c r="O339" s="198"/>
      <c r="P339" s="180"/>
      <c r="Q339" s="176"/>
      <c r="R339" s="205"/>
      <c r="S339" s="165"/>
      <c r="T339" s="129" t="s">
        <v>1908</v>
      </c>
      <c r="U339" s="147" t="s">
        <v>37</v>
      </c>
      <c r="V339" s="129"/>
      <c r="W339" s="177" t="s">
        <v>2531</v>
      </c>
      <c r="X339" s="215"/>
      <c r="Y339" s="216">
        <v>0</v>
      </c>
      <c r="Z339" s="216">
        <v>0</v>
      </c>
      <c r="AA339" s="263"/>
      <c r="AB339" s="305"/>
      <c r="AC339" s="212"/>
    </row>
    <row r="340" spans="2:29" ht="48" hidden="1" x14ac:dyDescent="0.25">
      <c r="B340" s="129">
        <v>1109172</v>
      </c>
      <c r="C340" s="129" t="s">
        <v>30</v>
      </c>
      <c r="D340" s="129" t="s">
        <v>1865</v>
      </c>
      <c r="E340" s="147"/>
      <c r="F340" s="129" t="s">
        <v>1832</v>
      </c>
      <c r="G340" s="147" t="s">
        <v>34</v>
      </c>
      <c r="H340" s="191">
        <f t="shared" si="5"/>
        <v>0</v>
      </c>
      <c r="I340" s="222" t="s">
        <v>2225</v>
      </c>
      <c r="J340" s="150"/>
      <c r="K340" s="147">
        <v>11</v>
      </c>
      <c r="L340" s="147">
        <v>1</v>
      </c>
      <c r="M340" s="147">
        <v>12</v>
      </c>
      <c r="N340" s="289"/>
      <c r="O340" s="198"/>
      <c r="P340" s="180"/>
      <c r="Q340" s="176"/>
      <c r="R340" s="205"/>
      <c r="S340" s="165"/>
      <c r="T340" s="129" t="s">
        <v>1908</v>
      </c>
      <c r="U340" s="147" t="s">
        <v>37</v>
      </c>
      <c r="V340" s="129"/>
      <c r="W340" s="177" t="s">
        <v>2531</v>
      </c>
      <c r="X340" s="215"/>
      <c r="Y340" s="216">
        <v>0</v>
      </c>
      <c r="Z340" s="216">
        <v>0</v>
      </c>
      <c r="AA340" s="263"/>
      <c r="AB340" s="305"/>
      <c r="AC340" s="212"/>
    </row>
    <row r="341" spans="2:29" ht="48" hidden="1" x14ac:dyDescent="0.25">
      <c r="B341" s="129">
        <v>1109173</v>
      </c>
      <c r="C341" s="129" t="s">
        <v>30</v>
      </c>
      <c r="D341" s="129" t="s">
        <v>1866</v>
      </c>
      <c r="E341" s="147"/>
      <c r="F341" s="129" t="s">
        <v>1832</v>
      </c>
      <c r="G341" s="147" t="s">
        <v>34</v>
      </c>
      <c r="H341" s="191">
        <f t="shared" si="5"/>
        <v>0</v>
      </c>
      <c r="I341" s="222" t="s">
        <v>2225</v>
      </c>
      <c r="J341" s="150"/>
      <c r="K341" s="147">
        <v>11</v>
      </c>
      <c r="L341" s="147">
        <v>1</v>
      </c>
      <c r="M341" s="147">
        <v>12</v>
      </c>
      <c r="N341" s="289"/>
      <c r="O341" s="198"/>
      <c r="P341" s="180"/>
      <c r="Q341" s="176"/>
      <c r="R341" s="205"/>
      <c r="S341" s="165"/>
      <c r="T341" s="129" t="s">
        <v>1908</v>
      </c>
      <c r="U341" s="147" t="s">
        <v>37</v>
      </c>
      <c r="V341" s="129"/>
      <c r="W341" s="177" t="s">
        <v>2531</v>
      </c>
      <c r="X341" s="215"/>
      <c r="Y341" s="216">
        <v>0</v>
      </c>
      <c r="Z341" s="216">
        <v>0</v>
      </c>
      <c r="AA341" s="263"/>
      <c r="AB341" s="305"/>
      <c r="AC341" s="212"/>
    </row>
    <row r="342" spans="2:29" x14ac:dyDescent="0.25">
      <c r="B342" s="129">
        <v>1109174</v>
      </c>
      <c r="C342" s="129" t="s">
        <v>30</v>
      </c>
      <c r="D342" s="127" t="s">
        <v>2689</v>
      </c>
      <c r="E342" s="151" t="s">
        <v>32</v>
      </c>
      <c r="F342" s="129" t="s">
        <v>1870</v>
      </c>
      <c r="G342" s="147" t="s">
        <v>34</v>
      </c>
      <c r="H342" s="191">
        <f t="shared" si="5"/>
        <v>0</v>
      </c>
      <c r="I342" s="181" t="s">
        <v>2218</v>
      </c>
      <c r="J342" s="148"/>
      <c r="K342" s="147">
        <v>1</v>
      </c>
      <c r="L342" s="147">
        <v>1</v>
      </c>
      <c r="M342" s="147">
        <v>2</v>
      </c>
      <c r="N342" s="289"/>
      <c r="O342" s="195"/>
      <c r="P342" s="180"/>
      <c r="Q342" s="174"/>
      <c r="R342" s="205"/>
      <c r="S342" s="168"/>
      <c r="T342" s="129" t="s">
        <v>1870</v>
      </c>
      <c r="U342" s="147" t="s">
        <v>37</v>
      </c>
      <c r="V342" s="129"/>
      <c r="W342" s="147" t="s">
        <v>2459</v>
      </c>
      <c r="X342" s="215" t="s">
        <v>1009</v>
      </c>
      <c r="Y342" s="216">
        <v>0</v>
      </c>
      <c r="Z342" s="216">
        <v>0</v>
      </c>
      <c r="AA342" s="263"/>
      <c r="AB342" s="305"/>
    </row>
    <row r="343" spans="2:29" x14ac:dyDescent="0.25">
      <c r="B343" s="129">
        <v>1109175</v>
      </c>
      <c r="C343" s="129" t="s">
        <v>30</v>
      </c>
      <c r="D343" s="127" t="s">
        <v>1868</v>
      </c>
      <c r="E343" s="151" t="s">
        <v>131</v>
      </c>
      <c r="F343" s="129" t="s">
        <v>1791</v>
      </c>
      <c r="G343" s="147" t="s">
        <v>34</v>
      </c>
      <c r="H343" s="191">
        <f t="shared" si="5"/>
        <v>3</v>
      </c>
      <c r="I343" s="235" t="s">
        <v>2084</v>
      </c>
      <c r="J343" s="146">
        <v>30</v>
      </c>
      <c r="K343" s="147">
        <v>10</v>
      </c>
      <c r="L343" s="147">
        <v>1</v>
      </c>
      <c r="M343" s="147">
        <v>11</v>
      </c>
      <c r="N343" s="289">
        <v>1102</v>
      </c>
      <c r="O343" s="195"/>
      <c r="P343" s="180">
        <v>45622</v>
      </c>
      <c r="Q343" s="174">
        <v>2.95</v>
      </c>
      <c r="R343" s="205">
        <v>0.05</v>
      </c>
      <c r="S343" s="168"/>
      <c r="T343" s="129" t="s">
        <v>1870</v>
      </c>
      <c r="U343" s="147" t="s">
        <v>37</v>
      </c>
      <c r="V343" s="129"/>
      <c r="W343" s="147" t="s">
        <v>2213</v>
      </c>
      <c r="X343" s="215" t="s">
        <v>1009</v>
      </c>
      <c r="Y343" s="216">
        <v>7.2188666666666688</v>
      </c>
      <c r="Z343" s="216">
        <v>8.7657666666666696</v>
      </c>
      <c r="AA343" s="263"/>
      <c r="AB343" s="305"/>
    </row>
    <row r="344" spans="2:29" x14ac:dyDescent="0.25">
      <c r="B344" s="175">
        <v>1109176</v>
      </c>
      <c r="C344" s="127" t="s">
        <v>30</v>
      </c>
      <c r="D344" s="129" t="s">
        <v>1869</v>
      </c>
      <c r="E344" s="154" t="s">
        <v>317</v>
      </c>
      <c r="F344" s="129" t="s">
        <v>1870</v>
      </c>
      <c r="G344" s="147" t="s">
        <v>34</v>
      </c>
      <c r="H344" s="191">
        <f t="shared" si="5"/>
        <v>0</v>
      </c>
      <c r="I344" s="181" t="s">
        <v>2218</v>
      </c>
      <c r="J344" s="151"/>
      <c r="K344" s="147">
        <v>1</v>
      </c>
      <c r="L344" s="147">
        <v>1</v>
      </c>
      <c r="M344" s="147">
        <v>2</v>
      </c>
      <c r="N344" s="289"/>
      <c r="O344" s="198"/>
      <c r="P344" s="165"/>
      <c r="Q344" s="187"/>
      <c r="R344" s="209"/>
      <c r="S344" s="165"/>
      <c r="T344" s="129" t="s">
        <v>1870</v>
      </c>
      <c r="U344" s="147" t="s">
        <v>37</v>
      </c>
      <c r="V344" s="129"/>
      <c r="W344" s="147" t="s">
        <v>2459</v>
      </c>
      <c r="X344" s="215" t="s">
        <v>1009</v>
      </c>
      <c r="Y344" s="216">
        <v>0</v>
      </c>
      <c r="Z344" s="216">
        <v>0</v>
      </c>
      <c r="AA344" s="263"/>
      <c r="AB344" s="305"/>
    </row>
    <row r="345" spans="2:29" ht="48" hidden="1" x14ac:dyDescent="0.25">
      <c r="B345" s="129">
        <v>1109177</v>
      </c>
      <c r="C345" s="127" t="s">
        <v>30</v>
      </c>
      <c r="D345" s="129" t="s">
        <v>1877</v>
      </c>
      <c r="E345" s="147"/>
      <c r="F345" s="129" t="s">
        <v>1832</v>
      </c>
      <c r="G345" s="147" t="s">
        <v>34</v>
      </c>
      <c r="H345" s="191">
        <f t="shared" si="5"/>
        <v>0</v>
      </c>
      <c r="I345" s="222" t="s">
        <v>2225</v>
      </c>
      <c r="J345" s="151"/>
      <c r="K345" s="147">
        <v>11</v>
      </c>
      <c r="L345" s="147">
        <v>1</v>
      </c>
      <c r="M345" s="147">
        <v>12</v>
      </c>
      <c r="N345" s="289"/>
      <c r="O345" s="198"/>
      <c r="P345" s="165"/>
      <c r="Q345" s="187"/>
      <c r="R345" s="209"/>
      <c r="S345" s="165"/>
      <c r="T345" s="129" t="s">
        <v>1908</v>
      </c>
      <c r="U345" s="147" t="s">
        <v>37</v>
      </c>
      <c r="V345" s="129"/>
      <c r="W345" s="177" t="s">
        <v>2531</v>
      </c>
      <c r="X345" s="215"/>
      <c r="Y345" s="216">
        <v>0</v>
      </c>
      <c r="Z345" s="216">
        <v>0</v>
      </c>
      <c r="AA345" s="263"/>
      <c r="AB345" s="305"/>
      <c r="AC345" s="212"/>
    </row>
    <row r="346" spans="2:29" ht="48" hidden="1" x14ac:dyDescent="0.25">
      <c r="B346" s="129">
        <v>1109178</v>
      </c>
      <c r="C346" s="127" t="s">
        <v>30</v>
      </c>
      <c r="D346" s="129" t="s">
        <v>1885</v>
      </c>
      <c r="E346" s="147"/>
      <c r="F346" s="129" t="s">
        <v>1832</v>
      </c>
      <c r="G346" s="147" t="s">
        <v>34</v>
      </c>
      <c r="H346" s="191">
        <f t="shared" si="5"/>
        <v>2.11</v>
      </c>
      <c r="I346" s="222" t="s">
        <v>2225</v>
      </c>
      <c r="J346" s="151"/>
      <c r="K346" s="147">
        <v>11</v>
      </c>
      <c r="L346" s="147">
        <v>1</v>
      </c>
      <c r="M346" s="147">
        <v>12</v>
      </c>
      <c r="N346" s="289"/>
      <c r="O346" s="198"/>
      <c r="P346" s="165"/>
      <c r="Q346" s="187">
        <v>2.06</v>
      </c>
      <c r="R346" s="209">
        <v>0.05</v>
      </c>
      <c r="S346" s="165"/>
      <c r="T346" s="129" t="s">
        <v>1908</v>
      </c>
      <c r="U346" s="147" t="s">
        <v>37</v>
      </c>
      <c r="V346" s="129"/>
      <c r="W346" s="177" t="s">
        <v>2531</v>
      </c>
      <c r="X346" s="215"/>
      <c r="Y346" s="216">
        <v>0</v>
      </c>
      <c r="Z346" s="216">
        <v>0</v>
      </c>
      <c r="AA346" s="263"/>
      <c r="AB346" s="305"/>
      <c r="AC346" s="212"/>
    </row>
    <row r="347" spans="2:29" x14ac:dyDescent="0.25">
      <c r="B347" s="129">
        <v>1109179</v>
      </c>
      <c r="C347" s="127" t="s">
        <v>30</v>
      </c>
      <c r="D347" s="129" t="s">
        <v>1886</v>
      </c>
      <c r="E347" s="147" t="s">
        <v>32</v>
      </c>
      <c r="F347" s="129" t="s">
        <v>307</v>
      </c>
      <c r="G347" s="147" t="s">
        <v>34</v>
      </c>
      <c r="H347" s="191">
        <f t="shared" si="5"/>
        <v>15.05</v>
      </c>
      <c r="I347" s="222" t="s">
        <v>2084</v>
      </c>
      <c r="J347" s="147">
        <v>0</v>
      </c>
      <c r="K347" s="147">
        <v>9</v>
      </c>
      <c r="L347" s="147">
        <v>2</v>
      </c>
      <c r="M347" s="147">
        <v>11</v>
      </c>
      <c r="N347" s="289">
        <v>50</v>
      </c>
      <c r="O347" s="198"/>
      <c r="P347" s="152">
        <v>45429</v>
      </c>
      <c r="Q347" s="187">
        <v>15</v>
      </c>
      <c r="R347" s="205">
        <v>0.05</v>
      </c>
      <c r="S347" s="165"/>
      <c r="T347" s="129" t="s">
        <v>1870</v>
      </c>
      <c r="U347" s="147" t="s">
        <v>37</v>
      </c>
      <c r="V347" s="129"/>
      <c r="W347" s="147" t="s">
        <v>2213</v>
      </c>
      <c r="X347" s="215" t="s">
        <v>1009</v>
      </c>
      <c r="Y347" s="216">
        <v>470.42099999999994</v>
      </c>
      <c r="Z347" s="216">
        <v>571.2254999999999</v>
      </c>
      <c r="AA347" s="263"/>
      <c r="AB347" s="305"/>
    </row>
    <row r="348" spans="2:29" x14ac:dyDescent="0.25">
      <c r="B348" s="129">
        <v>1109180</v>
      </c>
      <c r="C348" s="127" t="s">
        <v>30</v>
      </c>
      <c r="D348" s="129" t="s">
        <v>1902</v>
      </c>
      <c r="E348" s="151" t="s">
        <v>1931</v>
      </c>
      <c r="F348" s="129" t="s">
        <v>307</v>
      </c>
      <c r="G348" s="147" t="s">
        <v>34</v>
      </c>
      <c r="H348" s="191">
        <f t="shared" si="5"/>
        <v>4.7249999999999996</v>
      </c>
      <c r="I348" s="222" t="s">
        <v>2084</v>
      </c>
      <c r="J348" s="147">
        <v>0</v>
      </c>
      <c r="K348" s="147">
        <v>8</v>
      </c>
      <c r="L348" s="147">
        <v>2</v>
      </c>
      <c r="M348" s="147">
        <v>10</v>
      </c>
      <c r="N348" s="289">
        <v>55</v>
      </c>
      <c r="O348" s="198"/>
      <c r="P348" s="152">
        <v>45429</v>
      </c>
      <c r="Q348" s="187">
        <v>4.6749999999999998</v>
      </c>
      <c r="R348" s="205">
        <v>0.05</v>
      </c>
      <c r="S348" s="165"/>
      <c r="T348" s="129" t="s">
        <v>1870</v>
      </c>
      <c r="U348" s="147" t="s">
        <v>37</v>
      </c>
      <c r="V348" s="129"/>
      <c r="W348" s="147" t="s">
        <v>2213</v>
      </c>
      <c r="X348" s="215" t="s">
        <v>1009</v>
      </c>
      <c r="Y348" s="216">
        <v>52.499200000000002</v>
      </c>
      <c r="Z348" s="216">
        <v>64.614400000000003</v>
      </c>
      <c r="AA348" s="263"/>
      <c r="AB348" s="305"/>
    </row>
    <row r="349" spans="2:29" x14ac:dyDescent="0.25">
      <c r="B349" s="136">
        <v>1109181</v>
      </c>
      <c r="C349" s="127" t="s">
        <v>30</v>
      </c>
      <c r="D349" s="127" t="s">
        <v>1898</v>
      </c>
      <c r="E349" s="297" t="s">
        <v>131</v>
      </c>
      <c r="F349" s="129" t="s">
        <v>1791</v>
      </c>
      <c r="G349" s="147" t="s">
        <v>34</v>
      </c>
      <c r="H349" s="191">
        <f t="shared" si="5"/>
        <v>3</v>
      </c>
      <c r="I349" s="235" t="s">
        <v>2084</v>
      </c>
      <c r="J349" s="146">
        <v>30</v>
      </c>
      <c r="K349" s="147">
        <v>10</v>
      </c>
      <c r="L349" s="147">
        <v>1</v>
      </c>
      <c r="M349" s="147">
        <v>11</v>
      </c>
      <c r="N349" s="289">
        <v>1102</v>
      </c>
      <c r="O349" s="195"/>
      <c r="P349" s="180">
        <v>45622</v>
      </c>
      <c r="Q349" s="174">
        <v>2.95</v>
      </c>
      <c r="R349" s="205">
        <v>0.05</v>
      </c>
      <c r="S349" s="147"/>
      <c r="T349" s="129" t="s">
        <v>1870</v>
      </c>
      <c r="U349" s="147" t="s">
        <v>37</v>
      </c>
      <c r="V349" s="129"/>
      <c r="W349" s="147" t="s">
        <v>2213</v>
      </c>
      <c r="X349" s="215" t="s">
        <v>1009</v>
      </c>
      <c r="Y349" s="216">
        <v>6.3192499999999985</v>
      </c>
      <c r="Z349" s="216">
        <v>7.6733749999999983</v>
      </c>
      <c r="AA349" s="263"/>
      <c r="AB349" s="305"/>
    </row>
    <row r="350" spans="2:29" x14ac:dyDescent="0.25">
      <c r="B350" s="136">
        <v>1109182</v>
      </c>
      <c r="C350" s="127" t="s">
        <v>30</v>
      </c>
      <c r="D350" s="127" t="s">
        <v>1899</v>
      </c>
      <c r="E350" s="297" t="s">
        <v>131</v>
      </c>
      <c r="F350" s="129" t="s">
        <v>1791</v>
      </c>
      <c r="G350" s="147" t="s">
        <v>34</v>
      </c>
      <c r="H350" s="191">
        <f t="shared" si="5"/>
        <v>2.9499999999999997</v>
      </c>
      <c r="I350" s="235" t="s">
        <v>2084</v>
      </c>
      <c r="J350" s="146">
        <v>30</v>
      </c>
      <c r="K350" s="147">
        <v>10</v>
      </c>
      <c r="L350" s="147">
        <v>1</v>
      </c>
      <c r="M350" s="147">
        <v>11</v>
      </c>
      <c r="N350" s="289">
        <v>1102</v>
      </c>
      <c r="O350" s="195"/>
      <c r="P350" s="180">
        <v>45622</v>
      </c>
      <c r="Q350" s="174">
        <v>2.9</v>
      </c>
      <c r="R350" s="205">
        <v>0.05</v>
      </c>
      <c r="S350" s="147"/>
      <c r="T350" s="129" t="s">
        <v>1870</v>
      </c>
      <c r="U350" s="147" t="s">
        <v>37</v>
      </c>
      <c r="V350" s="129"/>
      <c r="W350" s="147" t="s">
        <v>2213</v>
      </c>
      <c r="X350" s="215" t="s">
        <v>1009</v>
      </c>
      <c r="Y350" s="216">
        <v>48.542666666666662</v>
      </c>
      <c r="Z350" s="216">
        <v>58.944666666666663</v>
      </c>
      <c r="AA350" s="263"/>
      <c r="AB350" s="305"/>
    </row>
    <row r="351" spans="2:29" x14ac:dyDescent="0.25">
      <c r="B351" s="136">
        <v>1109183</v>
      </c>
      <c r="C351" s="127" t="s">
        <v>30</v>
      </c>
      <c r="D351" s="127" t="s">
        <v>1900</v>
      </c>
      <c r="E351" s="297" t="s">
        <v>1934</v>
      </c>
      <c r="F351" s="129" t="s">
        <v>307</v>
      </c>
      <c r="G351" s="147" t="s">
        <v>34</v>
      </c>
      <c r="H351" s="191">
        <f t="shared" si="5"/>
        <v>10.46</v>
      </c>
      <c r="I351" s="222" t="s">
        <v>2084</v>
      </c>
      <c r="J351" s="146">
        <v>0</v>
      </c>
      <c r="K351" s="147">
        <v>15</v>
      </c>
      <c r="L351" s="147">
        <v>2</v>
      </c>
      <c r="M351" s="147">
        <v>17</v>
      </c>
      <c r="N351" s="289">
        <v>110</v>
      </c>
      <c r="O351" s="195">
        <v>11.63</v>
      </c>
      <c r="P351" s="180">
        <v>45476</v>
      </c>
      <c r="Q351" s="174">
        <v>10.41</v>
      </c>
      <c r="R351" s="205">
        <v>0.05</v>
      </c>
      <c r="S351" s="147"/>
      <c r="T351" s="129" t="s">
        <v>1870</v>
      </c>
      <c r="U351" s="147" t="s">
        <v>37</v>
      </c>
      <c r="V351" s="129"/>
      <c r="W351" s="147" t="s">
        <v>2213</v>
      </c>
      <c r="X351" s="215" t="s">
        <v>1009</v>
      </c>
      <c r="Y351" s="216">
        <v>919.80266666666682</v>
      </c>
      <c r="Z351" s="216">
        <v>1057.7730666666669</v>
      </c>
      <c r="AA351" s="263"/>
      <c r="AB351" s="305"/>
    </row>
    <row r="352" spans="2:29" x14ac:dyDescent="0.25">
      <c r="B352" s="136">
        <v>1109184</v>
      </c>
      <c r="C352" s="127" t="s">
        <v>30</v>
      </c>
      <c r="D352" s="127" t="s">
        <v>1915</v>
      </c>
      <c r="E352" s="151" t="s">
        <v>259</v>
      </c>
      <c r="F352" s="129" t="s">
        <v>1791</v>
      </c>
      <c r="G352" s="147" t="s">
        <v>34</v>
      </c>
      <c r="H352" s="191">
        <f t="shared" si="5"/>
        <v>4.1899999999999995</v>
      </c>
      <c r="I352" s="235" t="s">
        <v>2084</v>
      </c>
      <c r="J352" s="146">
        <v>30</v>
      </c>
      <c r="K352" s="147">
        <v>10</v>
      </c>
      <c r="L352" s="147">
        <v>2</v>
      </c>
      <c r="M352" s="147">
        <v>12</v>
      </c>
      <c r="N352" s="289">
        <v>220.4</v>
      </c>
      <c r="O352" s="195">
        <v>4.0999999999999996</v>
      </c>
      <c r="P352" s="180">
        <v>45453</v>
      </c>
      <c r="Q352" s="174">
        <v>4.1399999999999997</v>
      </c>
      <c r="R352" s="205">
        <v>0.05</v>
      </c>
      <c r="S352" s="147"/>
      <c r="T352" s="129" t="s">
        <v>1870</v>
      </c>
      <c r="U352" s="147" t="s">
        <v>37</v>
      </c>
      <c r="V352" s="129"/>
      <c r="W352" s="147" t="s">
        <v>2213</v>
      </c>
      <c r="X352" s="215" t="s">
        <v>1009</v>
      </c>
      <c r="Y352" s="216">
        <v>130.9025</v>
      </c>
      <c r="Z352" s="216">
        <v>157.083</v>
      </c>
      <c r="AA352" s="263"/>
      <c r="AB352" s="305"/>
    </row>
    <row r="353" spans="1:29" s="182" customFormat="1" hidden="1" x14ac:dyDescent="0.25">
      <c r="A353" s="131"/>
      <c r="B353" s="136">
        <v>1109185</v>
      </c>
      <c r="C353" s="127" t="s">
        <v>30</v>
      </c>
      <c r="D353" s="127" t="s">
        <v>1944</v>
      </c>
      <c r="E353" s="297" t="s">
        <v>1808</v>
      </c>
      <c r="F353" s="129" t="s">
        <v>1945</v>
      </c>
      <c r="G353" s="147" t="s">
        <v>34</v>
      </c>
      <c r="H353" s="191">
        <f t="shared" si="5"/>
        <v>0</v>
      </c>
      <c r="I353" s="181" t="s">
        <v>2218</v>
      </c>
      <c r="J353" s="150"/>
      <c r="K353" s="147">
        <v>11</v>
      </c>
      <c r="L353" s="147">
        <v>1</v>
      </c>
      <c r="M353" s="147">
        <v>12</v>
      </c>
      <c r="N353" s="289"/>
      <c r="O353" s="196"/>
      <c r="P353" s="180"/>
      <c r="Q353" s="174"/>
      <c r="R353" s="205"/>
      <c r="S353" s="147"/>
      <c r="T353" s="129" t="s">
        <v>1848</v>
      </c>
      <c r="U353" s="147" t="s">
        <v>35</v>
      </c>
      <c r="V353" s="129"/>
      <c r="W353" s="177" t="s">
        <v>54</v>
      </c>
      <c r="X353" s="215" t="s">
        <v>1009</v>
      </c>
      <c r="Y353" s="216">
        <v>0</v>
      </c>
      <c r="Z353" s="216">
        <v>0</v>
      </c>
      <c r="AA353" s="263"/>
      <c r="AB353" s="305"/>
      <c r="AC353" s="212"/>
    </row>
    <row r="354" spans="1:29" x14ac:dyDescent="0.25">
      <c r="B354" s="136">
        <v>1109186</v>
      </c>
      <c r="C354" s="127" t="s">
        <v>30</v>
      </c>
      <c r="D354" s="127" t="s">
        <v>1947</v>
      </c>
      <c r="E354" s="297" t="s">
        <v>86</v>
      </c>
      <c r="F354" s="129" t="s">
        <v>323</v>
      </c>
      <c r="G354" s="147" t="s">
        <v>34</v>
      </c>
      <c r="H354" s="191">
        <f t="shared" si="5"/>
        <v>5.27</v>
      </c>
      <c r="I354" s="222" t="s">
        <v>2084</v>
      </c>
      <c r="J354" s="146">
        <v>30</v>
      </c>
      <c r="K354" s="147">
        <v>11</v>
      </c>
      <c r="L354" s="147">
        <v>1</v>
      </c>
      <c r="M354" s="147">
        <v>12</v>
      </c>
      <c r="N354" s="289">
        <v>1103</v>
      </c>
      <c r="O354" s="195"/>
      <c r="P354" s="180">
        <v>45469</v>
      </c>
      <c r="Q354" s="174">
        <v>5.22</v>
      </c>
      <c r="R354" s="205">
        <v>0.05</v>
      </c>
      <c r="S354" s="147"/>
      <c r="T354" s="129" t="s">
        <v>1870</v>
      </c>
      <c r="U354" s="147" t="s">
        <v>37</v>
      </c>
      <c r="V354" s="129"/>
      <c r="W354" s="147" t="s">
        <v>2213</v>
      </c>
      <c r="X354" s="215" t="s">
        <v>2010</v>
      </c>
      <c r="Y354" s="216">
        <v>127.77637499999996</v>
      </c>
      <c r="Z354" s="216">
        <v>153.33164999999994</v>
      </c>
      <c r="AA354" s="263"/>
      <c r="AB354" s="305"/>
    </row>
    <row r="355" spans="1:29" x14ac:dyDescent="0.25">
      <c r="B355" s="136">
        <v>1109187</v>
      </c>
      <c r="C355" s="127" t="s">
        <v>30</v>
      </c>
      <c r="D355" s="127" t="s">
        <v>1949</v>
      </c>
      <c r="E355" s="297" t="s">
        <v>131</v>
      </c>
      <c r="F355" s="129" t="s">
        <v>1791</v>
      </c>
      <c r="G355" s="147" t="s">
        <v>34</v>
      </c>
      <c r="H355" s="191">
        <f t="shared" si="5"/>
        <v>2.9499999999999997</v>
      </c>
      <c r="I355" s="235" t="s">
        <v>2084</v>
      </c>
      <c r="J355" s="146">
        <v>30</v>
      </c>
      <c r="K355" s="147">
        <v>10</v>
      </c>
      <c r="L355" s="147">
        <v>2</v>
      </c>
      <c r="M355" s="147">
        <v>12</v>
      </c>
      <c r="N355" s="289">
        <v>1102</v>
      </c>
      <c r="O355" s="195"/>
      <c r="P355" s="180">
        <v>45469</v>
      </c>
      <c r="Q355" s="174">
        <v>2.9</v>
      </c>
      <c r="R355" s="205">
        <v>0.05</v>
      </c>
      <c r="S355" s="147"/>
      <c r="T355" s="129" t="s">
        <v>1870</v>
      </c>
      <c r="U355" s="147" t="s">
        <v>37</v>
      </c>
      <c r="V355" s="129"/>
      <c r="W355" s="147" t="s">
        <v>2213</v>
      </c>
      <c r="X355" s="215" t="s">
        <v>1009</v>
      </c>
      <c r="Y355" s="216">
        <v>11.841058607999996</v>
      </c>
      <c r="Z355" s="216">
        <v>14.209270329599995</v>
      </c>
      <c r="AA355" s="263"/>
      <c r="AB355" s="305"/>
    </row>
    <row r="356" spans="1:29" x14ac:dyDescent="0.25">
      <c r="B356" s="136">
        <v>1109188</v>
      </c>
      <c r="C356" s="127" t="s">
        <v>30</v>
      </c>
      <c r="D356" s="127" t="s">
        <v>1948</v>
      </c>
      <c r="E356" s="297" t="s">
        <v>131</v>
      </c>
      <c r="F356" s="129" t="s">
        <v>1791</v>
      </c>
      <c r="G356" s="147" t="s">
        <v>34</v>
      </c>
      <c r="H356" s="191">
        <f t="shared" si="5"/>
        <v>7.34</v>
      </c>
      <c r="I356" s="235" t="s">
        <v>2084</v>
      </c>
      <c r="J356" s="146">
        <v>30</v>
      </c>
      <c r="K356" s="147">
        <v>8</v>
      </c>
      <c r="L356" s="147">
        <v>2</v>
      </c>
      <c r="M356" s="147">
        <v>10</v>
      </c>
      <c r="N356" s="289">
        <v>1102</v>
      </c>
      <c r="O356" s="195"/>
      <c r="P356" s="180">
        <v>45477</v>
      </c>
      <c r="Q356" s="174">
        <v>7.29</v>
      </c>
      <c r="R356" s="205">
        <v>0.05</v>
      </c>
      <c r="S356" s="147"/>
      <c r="T356" s="129" t="s">
        <v>1870</v>
      </c>
      <c r="U356" s="147" t="s">
        <v>37</v>
      </c>
      <c r="V356" s="129"/>
      <c r="W356" s="147" t="s">
        <v>2213</v>
      </c>
      <c r="X356" s="215" t="s">
        <v>1009</v>
      </c>
      <c r="Y356" s="216">
        <v>3.8885211144000009</v>
      </c>
      <c r="Z356" s="216">
        <v>4.7858721408000013</v>
      </c>
      <c r="AA356" s="263"/>
      <c r="AB356" s="305"/>
    </row>
    <row r="357" spans="1:29" x14ac:dyDescent="0.25">
      <c r="B357" s="136">
        <v>1109189</v>
      </c>
      <c r="C357" s="127" t="s">
        <v>30</v>
      </c>
      <c r="D357" s="127" t="s">
        <v>2695</v>
      </c>
      <c r="E357" s="297" t="s">
        <v>1808</v>
      </c>
      <c r="F357" s="129" t="s">
        <v>1791</v>
      </c>
      <c r="G357" s="147" t="s">
        <v>34</v>
      </c>
      <c r="H357" s="191">
        <f t="shared" si="5"/>
        <v>4.03</v>
      </c>
      <c r="I357" s="235" t="s">
        <v>2084</v>
      </c>
      <c r="J357" s="146">
        <v>30</v>
      </c>
      <c r="K357" s="147">
        <v>11</v>
      </c>
      <c r="L357" s="147">
        <v>1</v>
      </c>
      <c r="M357" s="147">
        <v>12</v>
      </c>
      <c r="N357" s="289">
        <v>3000</v>
      </c>
      <c r="O357" s="195">
        <f>3.1372+0.05</f>
        <v>3.1871999999999998</v>
      </c>
      <c r="P357" s="180">
        <v>46174</v>
      </c>
      <c r="Q357" s="174">
        <v>3.98</v>
      </c>
      <c r="R357" s="205">
        <v>0.05</v>
      </c>
      <c r="S357" s="147"/>
      <c r="T357" s="129" t="s">
        <v>1848</v>
      </c>
      <c r="U357" s="147" t="s">
        <v>35</v>
      </c>
      <c r="V357" s="129"/>
      <c r="W357" s="147" t="s">
        <v>2213</v>
      </c>
      <c r="X357" s="215" t="s">
        <v>1009</v>
      </c>
      <c r="Y357" s="216">
        <v>3910.1006250000005</v>
      </c>
      <c r="Z357" s="216">
        <v>4692.12075</v>
      </c>
      <c r="AA357" s="303">
        <v>46161</v>
      </c>
      <c r="AB357" s="306" t="s">
        <v>2668</v>
      </c>
    </row>
    <row r="358" spans="1:29" ht="24" x14ac:dyDescent="0.25">
      <c r="B358" s="136">
        <v>1109190</v>
      </c>
      <c r="C358" s="127" t="s">
        <v>30</v>
      </c>
      <c r="D358" s="127" t="s">
        <v>1955</v>
      </c>
      <c r="E358" s="297" t="s">
        <v>138</v>
      </c>
      <c r="F358" s="129" t="s">
        <v>1956</v>
      </c>
      <c r="G358" s="147" t="s">
        <v>34</v>
      </c>
      <c r="H358" s="191">
        <f t="shared" si="5"/>
        <v>1.9712404945084168</v>
      </c>
      <c r="I358" s="222" t="s">
        <v>2226</v>
      </c>
      <c r="J358" s="146">
        <v>0</v>
      </c>
      <c r="K358" s="147">
        <v>6</v>
      </c>
      <c r="L358" s="147">
        <v>8</v>
      </c>
      <c r="M358" s="147">
        <v>14</v>
      </c>
      <c r="N358" s="289">
        <v>1400</v>
      </c>
      <c r="O358" s="195">
        <v>2.13</v>
      </c>
      <c r="P358" s="180">
        <v>45505</v>
      </c>
      <c r="Q358" s="174">
        <v>1.4832622697995101</v>
      </c>
      <c r="R358" s="207">
        <v>0.48797822470890667</v>
      </c>
      <c r="S358" s="147" t="s">
        <v>35</v>
      </c>
      <c r="T358" s="129" t="s">
        <v>2211</v>
      </c>
      <c r="U358" s="147" t="s">
        <v>37</v>
      </c>
      <c r="V358" s="147" t="s">
        <v>1979</v>
      </c>
      <c r="W358" s="147" t="s">
        <v>2213</v>
      </c>
      <c r="X358" s="215" t="s">
        <v>1856</v>
      </c>
      <c r="Y358" s="216">
        <v>34940.302349720747</v>
      </c>
      <c r="Z358" s="216">
        <v>41106.238058495001</v>
      </c>
      <c r="AA358" s="263"/>
      <c r="AB358" s="305"/>
    </row>
    <row r="359" spans="1:29" ht="24" x14ac:dyDescent="0.25">
      <c r="B359" s="136">
        <v>1109191</v>
      </c>
      <c r="C359" s="127" t="s">
        <v>30</v>
      </c>
      <c r="D359" s="127" t="s">
        <v>1980</v>
      </c>
      <c r="E359" s="297" t="s">
        <v>131</v>
      </c>
      <c r="F359" s="136" t="s">
        <v>1981</v>
      </c>
      <c r="G359" s="147" t="s">
        <v>34</v>
      </c>
      <c r="H359" s="191">
        <f t="shared" si="5"/>
        <v>2.0411866098158393</v>
      </c>
      <c r="I359" s="222" t="s">
        <v>2228</v>
      </c>
      <c r="J359" s="146">
        <v>0</v>
      </c>
      <c r="K359" s="147">
        <v>12</v>
      </c>
      <c r="L359" s="147">
        <v>8</v>
      </c>
      <c r="M359" s="147">
        <v>20</v>
      </c>
      <c r="N359" s="289">
        <v>10582</v>
      </c>
      <c r="O359" s="178">
        <f>3.95/2.2046</f>
        <v>1.7917082463939036</v>
      </c>
      <c r="P359" s="180">
        <v>46147</v>
      </c>
      <c r="Q359" s="178">
        <f>4.5/2.2046</f>
        <v>2.0411866098158393</v>
      </c>
      <c r="R359" s="208">
        <v>0</v>
      </c>
      <c r="S359" s="147" t="s">
        <v>35</v>
      </c>
      <c r="T359" s="129" t="s">
        <v>2211</v>
      </c>
      <c r="U359" s="147" t="s">
        <v>37</v>
      </c>
      <c r="V359" s="147">
        <v>3500337</v>
      </c>
      <c r="W359" s="147" t="s">
        <v>2213</v>
      </c>
      <c r="X359" s="215" t="s">
        <v>2299</v>
      </c>
      <c r="Y359" s="216">
        <v>10586.925299999999</v>
      </c>
      <c r="Z359" s="216">
        <v>11967.828599999999</v>
      </c>
      <c r="AA359" s="263"/>
      <c r="AB359" s="305"/>
    </row>
    <row r="360" spans="1:29" ht="24" x14ac:dyDescent="0.25">
      <c r="B360" s="136">
        <v>1109192</v>
      </c>
      <c r="C360" s="127" t="s">
        <v>30</v>
      </c>
      <c r="D360" s="127" t="s">
        <v>1976</v>
      </c>
      <c r="E360" s="147" t="s">
        <v>66</v>
      </c>
      <c r="F360" s="136" t="s">
        <v>1977</v>
      </c>
      <c r="G360" s="147" t="s">
        <v>607</v>
      </c>
      <c r="H360" s="191">
        <f t="shared" si="5"/>
        <v>1.3</v>
      </c>
      <c r="I360" s="222" t="s">
        <v>2084</v>
      </c>
      <c r="J360" s="146">
        <v>0</v>
      </c>
      <c r="K360" s="147">
        <v>9</v>
      </c>
      <c r="L360" s="147">
        <v>1</v>
      </c>
      <c r="M360" s="147">
        <v>10</v>
      </c>
      <c r="N360" s="289">
        <v>726</v>
      </c>
      <c r="O360" s="195">
        <f>1.5+0.05</f>
        <v>1.55</v>
      </c>
      <c r="P360" s="180">
        <v>46118</v>
      </c>
      <c r="Q360" s="174">
        <v>1.25</v>
      </c>
      <c r="R360" s="205">
        <v>0.05</v>
      </c>
      <c r="S360" s="147"/>
      <c r="T360" s="129" t="s">
        <v>2450</v>
      </c>
      <c r="U360" s="147" t="s">
        <v>37</v>
      </c>
      <c r="V360" s="129"/>
      <c r="W360" s="147" t="s">
        <v>2215</v>
      </c>
      <c r="X360" s="215"/>
      <c r="Y360" s="216">
        <v>0</v>
      </c>
      <c r="Z360" s="216">
        <v>0</v>
      </c>
      <c r="AA360" s="263"/>
      <c r="AB360" s="305"/>
    </row>
    <row r="361" spans="1:29" ht="24" x14ac:dyDescent="0.25">
      <c r="B361" s="136">
        <v>1109193</v>
      </c>
      <c r="C361" s="127" t="s">
        <v>30</v>
      </c>
      <c r="D361" s="127" t="s">
        <v>2415</v>
      </c>
      <c r="E361" s="297" t="s">
        <v>131</v>
      </c>
      <c r="F361" s="136" t="s">
        <v>1888</v>
      </c>
      <c r="G361" s="147" t="s">
        <v>34</v>
      </c>
      <c r="H361" s="191">
        <f t="shared" si="5"/>
        <v>1.9000000000000001</v>
      </c>
      <c r="I361" s="222" t="s">
        <v>2298</v>
      </c>
      <c r="J361" s="146">
        <v>0</v>
      </c>
      <c r="K361" s="147">
        <v>23</v>
      </c>
      <c r="L361" s="147">
        <v>1</v>
      </c>
      <c r="M361" s="147">
        <v>24</v>
      </c>
      <c r="N361" s="289">
        <v>4400</v>
      </c>
      <c r="O361" s="195"/>
      <c r="P361" s="180"/>
      <c r="Q361" s="174">
        <v>1.85</v>
      </c>
      <c r="R361" s="205">
        <v>0.05</v>
      </c>
      <c r="S361" s="147" t="s">
        <v>35</v>
      </c>
      <c r="T361" s="129" t="s">
        <v>2211</v>
      </c>
      <c r="U361" s="147" t="s">
        <v>37</v>
      </c>
      <c r="V361" s="147">
        <v>3500337</v>
      </c>
      <c r="W361" s="147" t="s">
        <v>2213</v>
      </c>
      <c r="X361" s="215" t="s">
        <v>2299</v>
      </c>
      <c r="Y361" s="216">
        <v>10586.925299999999</v>
      </c>
      <c r="Z361" s="216">
        <v>11967.828599999999</v>
      </c>
      <c r="AA361" s="263"/>
      <c r="AB361" s="305"/>
    </row>
    <row r="362" spans="1:29" s="182" customFormat="1" ht="24" x14ac:dyDescent="0.25">
      <c r="A362" s="131"/>
      <c r="B362" s="136">
        <v>1109194</v>
      </c>
      <c r="C362" s="127" t="s">
        <v>30</v>
      </c>
      <c r="D362" s="127" t="s">
        <v>1997</v>
      </c>
      <c r="E362" s="147" t="s">
        <v>1998</v>
      </c>
      <c r="F362" s="129" t="s">
        <v>1888</v>
      </c>
      <c r="G362" s="147" t="s">
        <v>34</v>
      </c>
      <c r="H362" s="191">
        <f t="shared" si="5"/>
        <v>2.5499999999999998</v>
      </c>
      <c r="I362" s="222" t="s">
        <v>2300</v>
      </c>
      <c r="J362" s="146">
        <v>0</v>
      </c>
      <c r="K362" s="147">
        <v>8</v>
      </c>
      <c r="L362" s="147">
        <v>1</v>
      </c>
      <c r="M362" s="147">
        <v>9</v>
      </c>
      <c r="N362" s="289">
        <v>2500</v>
      </c>
      <c r="O362" s="195"/>
      <c r="P362" s="180">
        <v>45581</v>
      </c>
      <c r="Q362" s="174">
        <v>2.5</v>
      </c>
      <c r="R362" s="205">
        <v>0.05</v>
      </c>
      <c r="S362" s="165"/>
      <c r="T362" s="129" t="s">
        <v>1908</v>
      </c>
      <c r="U362" s="147" t="s">
        <v>37</v>
      </c>
      <c r="V362" s="129"/>
      <c r="W362" s="147" t="s">
        <v>2213</v>
      </c>
      <c r="X362" s="215" t="s">
        <v>1009</v>
      </c>
      <c r="Y362" s="216">
        <v>1018.8225</v>
      </c>
      <c r="Z362" s="216">
        <v>1273.528125</v>
      </c>
      <c r="AA362" s="265" t="s">
        <v>2134</v>
      </c>
      <c r="AB362" s="305"/>
      <c r="AC362" s="214"/>
    </row>
    <row r="363" spans="1:29" s="182" customFormat="1" hidden="1" x14ac:dyDescent="0.25">
      <c r="A363" s="131"/>
      <c r="B363" s="136">
        <v>1109195</v>
      </c>
      <c r="C363" s="127" t="s">
        <v>30</v>
      </c>
      <c r="D363" s="127" t="s">
        <v>2004</v>
      </c>
      <c r="E363" s="147" t="s">
        <v>2196</v>
      </c>
      <c r="F363" s="129" t="s">
        <v>2002</v>
      </c>
      <c r="G363" s="147" t="s">
        <v>34</v>
      </c>
      <c r="H363" s="191">
        <f t="shared" si="5"/>
        <v>0.55000000000000004</v>
      </c>
      <c r="I363" s="134" t="s">
        <v>2084</v>
      </c>
      <c r="J363" s="146">
        <v>30</v>
      </c>
      <c r="K363" s="147">
        <v>11</v>
      </c>
      <c r="L363" s="147">
        <v>1</v>
      </c>
      <c r="M363" s="147">
        <v>12</v>
      </c>
      <c r="N363" s="289">
        <v>2000</v>
      </c>
      <c r="O363" s="195"/>
      <c r="P363" s="180">
        <v>45602</v>
      </c>
      <c r="Q363" s="174">
        <v>0.5</v>
      </c>
      <c r="R363" s="205">
        <v>0.05</v>
      </c>
      <c r="S363" s="147"/>
      <c r="T363" s="129" t="s">
        <v>242</v>
      </c>
      <c r="U363" s="147" t="s">
        <v>35</v>
      </c>
      <c r="V363" s="129"/>
      <c r="W363" s="177" t="s">
        <v>54</v>
      </c>
      <c r="X363" s="215" t="s">
        <v>1009</v>
      </c>
      <c r="Y363" s="216">
        <v>1061.3881465498237</v>
      </c>
      <c r="Z363" s="216">
        <v>2122.7762930996473</v>
      </c>
      <c r="AA363" s="263"/>
      <c r="AB363" s="305"/>
      <c r="AC363" s="214"/>
    </row>
    <row r="364" spans="1:29" s="182" customFormat="1" ht="24" x14ac:dyDescent="0.25">
      <c r="A364" s="131"/>
      <c r="B364" s="136">
        <v>1109196</v>
      </c>
      <c r="C364" s="127" t="s">
        <v>30</v>
      </c>
      <c r="D364" s="127" t="s">
        <v>2600</v>
      </c>
      <c r="E364" s="151" t="s">
        <v>259</v>
      </c>
      <c r="F364" s="129" t="s">
        <v>2517</v>
      </c>
      <c r="G364" s="147" t="s">
        <v>34</v>
      </c>
      <c r="H364" s="191">
        <f t="shared" si="5"/>
        <v>2.3814887054340921</v>
      </c>
      <c r="I364" s="222" t="s">
        <v>2164</v>
      </c>
      <c r="J364" s="146">
        <v>30</v>
      </c>
      <c r="K364" s="147">
        <v>9</v>
      </c>
      <c r="L364" s="147">
        <v>1</v>
      </c>
      <c r="M364" s="147">
        <v>10</v>
      </c>
      <c r="N364" s="289">
        <f>9000*2.2046</f>
        <v>19841.400000000001</v>
      </c>
      <c r="O364" s="174">
        <v>2.4700000000000002</v>
      </c>
      <c r="P364" s="180">
        <v>46041</v>
      </c>
      <c r="Q364" s="174">
        <f>5.14/2.2046</f>
        <v>2.3314887054340923</v>
      </c>
      <c r="R364" s="205">
        <v>0.05</v>
      </c>
      <c r="S364" s="147"/>
      <c r="T364" s="129" t="s">
        <v>2091</v>
      </c>
      <c r="U364" s="147" t="s">
        <v>37</v>
      </c>
      <c r="V364" s="129"/>
      <c r="W364" s="147" t="s">
        <v>2213</v>
      </c>
      <c r="X364" s="215" t="s">
        <v>1009</v>
      </c>
      <c r="Y364" s="216">
        <v>0</v>
      </c>
      <c r="Z364" s="216">
        <v>0</v>
      </c>
      <c r="AA364" s="263"/>
      <c r="AB364" s="305"/>
      <c r="AC364" s="214"/>
    </row>
    <row r="365" spans="1:29" s="182" customFormat="1" x14ac:dyDescent="0.25">
      <c r="A365" s="131"/>
      <c r="B365" s="136">
        <v>1109197</v>
      </c>
      <c r="C365" s="127" t="s">
        <v>30</v>
      </c>
      <c r="D365" s="127" t="s">
        <v>2182</v>
      </c>
      <c r="E365" s="151" t="s">
        <v>2197</v>
      </c>
      <c r="F365" s="129" t="s">
        <v>1642</v>
      </c>
      <c r="G365" s="147" t="s">
        <v>34</v>
      </c>
      <c r="H365" s="191">
        <f t="shared" si="5"/>
        <v>0.88</v>
      </c>
      <c r="I365" s="222" t="s">
        <v>2084</v>
      </c>
      <c r="J365" s="146">
        <v>45</v>
      </c>
      <c r="K365" s="147">
        <v>3</v>
      </c>
      <c r="L365" s="147">
        <v>1</v>
      </c>
      <c r="M365" s="147">
        <v>4</v>
      </c>
      <c r="N365" s="289">
        <v>43000</v>
      </c>
      <c r="O365" s="174">
        <f>0.79+0.05</f>
        <v>0.84000000000000008</v>
      </c>
      <c r="P365" s="180">
        <v>46139</v>
      </c>
      <c r="Q365" s="174">
        <v>0.83</v>
      </c>
      <c r="R365" s="205">
        <v>0.05</v>
      </c>
      <c r="S365" s="147"/>
      <c r="T365" s="129" t="s">
        <v>242</v>
      </c>
      <c r="U365" s="147" t="s">
        <v>35</v>
      </c>
      <c r="V365" s="129"/>
      <c r="W365" s="147" t="s">
        <v>2213</v>
      </c>
      <c r="X365" s="215" t="s">
        <v>1009</v>
      </c>
      <c r="Y365" s="216">
        <v>0</v>
      </c>
      <c r="Z365" s="216">
        <v>0</v>
      </c>
      <c r="AA365" s="265" t="s">
        <v>2134</v>
      </c>
      <c r="AB365" s="305"/>
      <c r="AC365" s="214"/>
    </row>
    <row r="366" spans="1:29" s="182" customFormat="1" x14ac:dyDescent="0.25">
      <c r="A366" s="131"/>
      <c r="B366" s="136">
        <v>1109198</v>
      </c>
      <c r="C366" s="127" t="s">
        <v>30</v>
      </c>
      <c r="D366" s="127" t="s">
        <v>2029</v>
      </c>
      <c r="E366" s="147" t="s">
        <v>32</v>
      </c>
      <c r="F366" s="129" t="s">
        <v>2403</v>
      </c>
      <c r="G366" s="147" t="s">
        <v>34</v>
      </c>
      <c r="H366" s="191">
        <f t="shared" si="5"/>
        <v>4.01</v>
      </c>
      <c r="I366" s="222" t="s">
        <v>2084</v>
      </c>
      <c r="J366" s="146">
        <v>0</v>
      </c>
      <c r="K366" s="147">
        <v>9</v>
      </c>
      <c r="L366" s="147">
        <v>1</v>
      </c>
      <c r="M366" s="147">
        <v>10</v>
      </c>
      <c r="N366" s="289">
        <v>1500</v>
      </c>
      <c r="O366" s="195"/>
      <c r="P366" s="180">
        <v>45666</v>
      </c>
      <c r="Q366" s="174">
        <v>3.96</v>
      </c>
      <c r="R366" s="205">
        <v>0.05</v>
      </c>
      <c r="S366" s="147"/>
      <c r="T366" s="129" t="s">
        <v>2019</v>
      </c>
      <c r="U366" s="147" t="s">
        <v>37</v>
      </c>
      <c r="V366" s="129"/>
      <c r="W366" s="147" t="s">
        <v>2213</v>
      </c>
      <c r="X366" s="215" t="s">
        <v>1009</v>
      </c>
      <c r="Y366" s="216">
        <v>0</v>
      </c>
      <c r="Z366" s="216">
        <v>0</v>
      </c>
      <c r="AA366" s="265" t="s">
        <v>2134</v>
      </c>
      <c r="AB366" s="305"/>
      <c r="AC366" s="214"/>
    </row>
    <row r="367" spans="1:29" s="182" customFormat="1" x14ac:dyDescent="0.25">
      <c r="A367" s="131"/>
      <c r="B367" s="136">
        <v>1109199</v>
      </c>
      <c r="C367" s="127" t="s">
        <v>30</v>
      </c>
      <c r="D367" s="127" t="s">
        <v>2030</v>
      </c>
      <c r="E367" s="147" t="s">
        <v>2031</v>
      </c>
      <c r="F367" s="129" t="s">
        <v>1838</v>
      </c>
      <c r="G367" s="147" t="s">
        <v>34</v>
      </c>
      <c r="H367" s="191">
        <f t="shared" si="5"/>
        <v>4.5396000000000001</v>
      </c>
      <c r="I367" s="222" t="s">
        <v>2084</v>
      </c>
      <c r="J367" s="146">
        <v>0</v>
      </c>
      <c r="K367" s="147">
        <v>15</v>
      </c>
      <c r="L367" s="147">
        <v>1</v>
      </c>
      <c r="M367" s="147">
        <v>16</v>
      </c>
      <c r="N367" s="289">
        <v>3141</v>
      </c>
      <c r="O367" s="174">
        <f>4.3+0.0796+0.05</f>
        <v>4.4295999999999998</v>
      </c>
      <c r="P367" s="180">
        <v>46129</v>
      </c>
      <c r="Q367" s="178">
        <f>4.41+0.0796</f>
        <v>4.4896000000000003</v>
      </c>
      <c r="R367" s="178">
        <v>0.05</v>
      </c>
      <c r="S367" s="147"/>
      <c r="T367" s="129" t="s">
        <v>2082</v>
      </c>
      <c r="U367" s="147" t="s">
        <v>37</v>
      </c>
      <c r="V367" s="129"/>
      <c r="W367" s="147" t="s">
        <v>2213</v>
      </c>
      <c r="X367" s="215" t="s">
        <v>1009</v>
      </c>
      <c r="Y367" s="216"/>
      <c r="Z367" s="216"/>
      <c r="AA367" s="263"/>
      <c r="AB367" s="305"/>
      <c r="AC367" s="214"/>
    </row>
    <row r="368" spans="1:29" s="231" customFormat="1" x14ac:dyDescent="0.25">
      <c r="A368" s="131"/>
      <c r="B368" s="136">
        <v>1109200</v>
      </c>
      <c r="C368" s="127" t="s">
        <v>30</v>
      </c>
      <c r="D368" s="127" t="s">
        <v>2061</v>
      </c>
      <c r="E368" s="147" t="s">
        <v>2032</v>
      </c>
      <c r="F368" s="129" t="s">
        <v>323</v>
      </c>
      <c r="G368" s="147" t="s">
        <v>34</v>
      </c>
      <c r="H368" s="191">
        <f t="shared" si="5"/>
        <v>6.1099999999999994</v>
      </c>
      <c r="I368" s="222" t="s">
        <v>2084</v>
      </c>
      <c r="J368" s="146">
        <v>30</v>
      </c>
      <c r="K368" s="147">
        <v>19</v>
      </c>
      <c r="L368" s="147">
        <v>1</v>
      </c>
      <c r="M368" s="147">
        <v>20</v>
      </c>
      <c r="N368" s="289">
        <v>2500</v>
      </c>
      <c r="O368" s="195"/>
      <c r="P368" s="180">
        <v>45672</v>
      </c>
      <c r="Q368" s="174">
        <v>6.06</v>
      </c>
      <c r="R368" s="205">
        <v>0.05</v>
      </c>
      <c r="S368" s="147"/>
      <c r="T368" s="129" t="s">
        <v>102</v>
      </c>
      <c r="U368" s="147" t="s">
        <v>35</v>
      </c>
      <c r="V368" s="129"/>
      <c r="W368" s="147" t="s">
        <v>2215</v>
      </c>
      <c r="X368" s="217" t="s">
        <v>2044</v>
      </c>
      <c r="Y368" s="230"/>
      <c r="Z368" s="230"/>
      <c r="AA368" s="304">
        <v>46058</v>
      </c>
      <c r="AB368" s="305"/>
      <c r="AC368" s="214"/>
    </row>
    <row r="369" spans="1:29" s="182" customFormat="1" hidden="1" x14ac:dyDescent="0.25">
      <c r="A369" s="131"/>
      <c r="B369" s="136">
        <v>1109201</v>
      </c>
      <c r="C369" s="127" t="s">
        <v>30</v>
      </c>
      <c r="D369" s="127" t="s">
        <v>2033</v>
      </c>
      <c r="E369" s="147" t="s">
        <v>66</v>
      </c>
      <c r="F369" s="129" t="s">
        <v>2000</v>
      </c>
      <c r="G369" s="147" t="s">
        <v>34</v>
      </c>
      <c r="H369" s="191">
        <f t="shared" si="5"/>
        <v>1.1200000000000001</v>
      </c>
      <c r="I369" s="222" t="s">
        <v>2084</v>
      </c>
      <c r="J369" s="146">
        <v>60</v>
      </c>
      <c r="K369" s="147">
        <v>4</v>
      </c>
      <c r="L369" s="147">
        <v>8</v>
      </c>
      <c r="M369" s="147">
        <v>12</v>
      </c>
      <c r="N369" s="289">
        <v>35724</v>
      </c>
      <c r="O369" s="195"/>
      <c r="P369" s="180">
        <v>45673</v>
      </c>
      <c r="Q369" s="174">
        <v>1.07</v>
      </c>
      <c r="R369" s="205">
        <v>0.05</v>
      </c>
      <c r="S369" s="147"/>
      <c r="T369" s="129" t="s">
        <v>468</v>
      </c>
      <c r="U369" s="147" t="s">
        <v>37</v>
      </c>
      <c r="V369" s="129"/>
      <c r="W369" s="177" t="s">
        <v>54</v>
      </c>
      <c r="X369" s="215" t="s">
        <v>1917</v>
      </c>
      <c r="Y369" s="216"/>
      <c r="Z369" s="216"/>
      <c r="AA369" s="263"/>
      <c r="AB369" s="305"/>
      <c r="AC369" s="214"/>
    </row>
    <row r="370" spans="1:29" s="182" customFormat="1" hidden="1" x14ac:dyDescent="0.25">
      <c r="A370" s="131"/>
      <c r="B370" s="136">
        <v>1109202</v>
      </c>
      <c r="C370" s="127" t="s">
        <v>30</v>
      </c>
      <c r="D370" s="127" t="s">
        <v>2042</v>
      </c>
      <c r="E370" s="147" t="s">
        <v>46</v>
      </c>
      <c r="F370" s="129" t="s">
        <v>323</v>
      </c>
      <c r="G370" s="147" t="s">
        <v>34</v>
      </c>
      <c r="H370" s="191">
        <f t="shared" si="5"/>
        <v>2.88</v>
      </c>
      <c r="I370" s="134" t="s">
        <v>2084</v>
      </c>
      <c r="J370" s="146">
        <v>30</v>
      </c>
      <c r="K370" s="147">
        <v>7</v>
      </c>
      <c r="L370" s="147">
        <v>1</v>
      </c>
      <c r="M370" s="147">
        <v>8</v>
      </c>
      <c r="N370" s="289">
        <v>6000</v>
      </c>
      <c r="O370" s="195"/>
      <c r="P370" s="180">
        <v>45688</v>
      </c>
      <c r="Q370" s="174">
        <v>2.83</v>
      </c>
      <c r="R370" s="205">
        <v>0.05</v>
      </c>
      <c r="S370" s="147"/>
      <c r="T370" s="129" t="s">
        <v>102</v>
      </c>
      <c r="U370" s="147" t="s">
        <v>35</v>
      </c>
      <c r="V370" s="129"/>
      <c r="W370" s="177" t="s">
        <v>54</v>
      </c>
      <c r="X370" s="215"/>
      <c r="Y370" s="216"/>
      <c r="Z370" s="216"/>
      <c r="AA370" s="263"/>
      <c r="AB370" s="305"/>
      <c r="AC370" s="214"/>
    </row>
    <row r="371" spans="1:29" s="182" customFormat="1" ht="24" x14ac:dyDescent="0.25">
      <c r="A371" s="131"/>
      <c r="B371" s="136">
        <v>1109203</v>
      </c>
      <c r="C371" s="127" t="s">
        <v>30</v>
      </c>
      <c r="D371" s="127" t="s">
        <v>2072</v>
      </c>
      <c r="E371" s="147" t="s">
        <v>2079</v>
      </c>
      <c r="F371" s="129" t="s">
        <v>47</v>
      </c>
      <c r="G371" s="147" t="s">
        <v>34</v>
      </c>
      <c r="H371" s="191">
        <f t="shared" si="5"/>
        <v>1.94</v>
      </c>
      <c r="I371" s="222" t="s">
        <v>2228</v>
      </c>
      <c r="J371" s="146">
        <v>30</v>
      </c>
      <c r="K371" s="147">
        <v>9</v>
      </c>
      <c r="L371" s="147">
        <v>1</v>
      </c>
      <c r="M371" s="147">
        <v>10</v>
      </c>
      <c r="N371" s="289">
        <v>1600.5396000000001</v>
      </c>
      <c r="O371" s="174">
        <v>1.7917082463939036</v>
      </c>
      <c r="P371" s="180">
        <v>46104</v>
      </c>
      <c r="Q371" s="174">
        <v>1.94</v>
      </c>
      <c r="R371" s="205">
        <v>0</v>
      </c>
      <c r="S371" s="147"/>
      <c r="T371" s="129" t="s">
        <v>102</v>
      </c>
      <c r="U371" s="147" t="s">
        <v>35</v>
      </c>
      <c r="V371" s="129"/>
      <c r="W371" s="147" t="s">
        <v>2213</v>
      </c>
      <c r="X371" s="215" t="s">
        <v>1009</v>
      </c>
      <c r="Y371" s="216"/>
      <c r="Z371" s="216"/>
      <c r="AA371" s="303">
        <v>46118</v>
      </c>
      <c r="AB371" s="305"/>
      <c r="AC371" s="214"/>
    </row>
    <row r="372" spans="1:29" s="182" customFormat="1" x14ac:dyDescent="0.25">
      <c r="A372" s="131"/>
      <c r="B372" s="136">
        <v>1109204</v>
      </c>
      <c r="C372" s="127" t="s">
        <v>30</v>
      </c>
      <c r="D372" s="127" t="s">
        <v>2074</v>
      </c>
      <c r="E372" s="147" t="s">
        <v>1929</v>
      </c>
      <c r="F372" s="129" t="s">
        <v>1788</v>
      </c>
      <c r="G372" s="147" t="s">
        <v>34</v>
      </c>
      <c r="H372" s="191">
        <f t="shared" si="5"/>
        <v>2.0299999999999998</v>
      </c>
      <c r="I372" s="235" t="s">
        <v>2084</v>
      </c>
      <c r="J372" s="146">
        <v>0</v>
      </c>
      <c r="K372" s="147">
        <v>10</v>
      </c>
      <c r="L372" s="147">
        <v>2</v>
      </c>
      <c r="M372" s="147">
        <v>12</v>
      </c>
      <c r="N372" s="289">
        <v>1601</v>
      </c>
      <c r="O372" s="195"/>
      <c r="P372" s="180">
        <v>45714</v>
      </c>
      <c r="Q372" s="174">
        <v>1.98</v>
      </c>
      <c r="R372" s="205">
        <v>0.05</v>
      </c>
      <c r="S372" s="147"/>
      <c r="T372" s="129" t="s">
        <v>102</v>
      </c>
      <c r="U372" s="147" t="s">
        <v>35</v>
      </c>
      <c r="V372" s="129"/>
      <c r="W372" s="147" t="s">
        <v>2215</v>
      </c>
      <c r="X372" s="215" t="s">
        <v>1009</v>
      </c>
      <c r="Y372" s="216"/>
      <c r="Z372" s="216"/>
      <c r="AA372" s="310">
        <v>45784</v>
      </c>
      <c r="AB372" s="306" t="s">
        <v>2670</v>
      </c>
      <c r="AC372" s="214"/>
    </row>
    <row r="373" spans="1:29" s="182" customFormat="1" hidden="1" x14ac:dyDescent="0.25">
      <c r="A373" s="131"/>
      <c r="B373" s="136">
        <v>1109205</v>
      </c>
      <c r="C373" s="127" t="s">
        <v>30</v>
      </c>
      <c r="D373" s="127" t="s">
        <v>2077</v>
      </c>
      <c r="E373" s="147" t="s">
        <v>66</v>
      </c>
      <c r="F373" s="129" t="s">
        <v>2078</v>
      </c>
      <c r="G373" s="147" t="s">
        <v>34</v>
      </c>
      <c r="H373" s="191">
        <f t="shared" si="5"/>
        <v>1.35</v>
      </c>
      <c r="I373" s="222"/>
      <c r="J373" s="146">
        <v>0</v>
      </c>
      <c r="K373" s="147">
        <v>11</v>
      </c>
      <c r="L373" s="147">
        <v>1</v>
      </c>
      <c r="M373" s="147">
        <v>12</v>
      </c>
      <c r="N373" s="289"/>
      <c r="O373" s="195"/>
      <c r="P373" s="180"/>
      <c r="Q373" s="174">
        <v>1.3</v>
      </c>
      <c r="R373" s="205">
        <v>0.05</v>
      </c>
      <c r="S373" s="147"/>
      <c r="T373" s="129" t="s">
        <v>468</v>
      </c>
      <c r="U373" s="147" t="s">
        <v>37</v>
      </c>
      <c r="V373" s="129"/>
      <c r="W373" s="177" t="s">
        <v>54</v>
      </c>
      <c r="X373" s="215" t="s">
        <v>1009</v>
      </c>
      <c r="Y373" s="216"/>
      <c r="Z373" s="216"/>
      <c r="AA373" s="263"/>
      <c r="AB373" s="305"/>
      <c r="AC373" s="212"/>
    </row>
    <row r="374" spans="1:29" s="182" customFormat="1" x14ac:dyDescent="0.25">
      <c r="A374" s="131"/>
      <c r="B374" s="136">
        <v>1109206</v>
      </c>
      <c r="C374" s="127" t="s">
        <v>30</v>
      </c>
      <c r="D374" s="127" t="s">
        <v>2080</v>
      </c>
      <c r="E374" s="147" t="s">
        <v>2106</v>
      </c>
      <c r="F374" s="129" t="s">
        <v>2081</v>
      </c>
      <c r="G374" s="147" t="s">
        <v>34</v>
      </c>
      <c r="H374" s="191">
        <f t="shared" si="5"/>
        <v>3.3099999999999996</v>
      </c>
      <c r="I374" s="222" t="s">
        <v>2084</v>
      </c>
      <c r="J374" s="146">
        <v>30</v>
      </c>
      <c r="K374" s="147">
        <v>12</v>
      </c>
      <c r="L374" s="147">
        <v>1</v>
      </c>
      <c r="M374" s="147">
        <v>13</v>
      </c>
      <c r="N374" s="289">
        <v>6000</v>
      </c>
      <c r="O374" s="195"/>
      <c r="P374" s="180">
        <v>45720</v>
      </c>
      <c r="Q374" s="174">
        <v>3.26</v>
      </c>
      <c r="R374" s="205">
        <v>0.05</v>
      </c>
      <c r="S374" s="147"/>
      <c r="T374" s="129" t="s">
        <v>242</v>
      </c>
      <c r="U374" s="147" t="s">
        <v>35</v>
      </c>
      <c r="V374" s="129"/>
      <c r="W374" s="147" t="s">
        <v>2213</v>
      </c>
      <c r="X374" s="215" t="s">
        <v>1009</v>
      </c>
      <c r="Y374" s="216"/>
      <c r="Z374" s="216"/>
      <c r="AA374" s="303">
        <v>46140</v>
      </c>
      <c r="AB374" s="306" t="s">
        <v>2539</v>
      </c>
      <c r="AC374" s="214"/>
    </row>
    <row r="375" spans="1:29" s="182" customFormat="1" ht="24" hidden="1" x14ac:dyDescent="0.25">
      <c r="A375" s="131"/>
      <c r="B375" s="136">
        <v>1109207</v>
      </c>
      <c r="C375" s="127" t="s">
        <v>30</v>
      </c>
      <c r="D375" s="127" t="s">
        <v>2083</v>
      </c>
      <c r="E375" s="147" t="s">
        <v>66</v>
      </c>
      <c r="F375" s="129" t="s">
        <v>2017</v>
      </c>
      <c r="G375" s="147" t="s">
        <v>34</v>
      </c>
      <c r="H375" s="191">
        <f t="shared" si="5"/>
        <v>0.78</v>
      </c>
      <c r="I375" s="222" t="s">
        <v>2220</v>
      </c>
      <c r="J375" s="146">
        <v>15</v>
      </c>
      <c r="K375" s="147">
        <v>3</v>
      </c>
      <c r="L375" s="147">
        <v>2</v>
      </c>
      <c r="M375" s="147">
        <v>5</v>
      </c>
      <c r="N375" s="289">
        <v>1500</v>
      </c>
      <c r="O375" s="195"/>
      <c r="P375" s="180">
        <v>45723</v>
      </c>
      <c r="Q375" s="174">
        <v>0.73</v>
      </c>
      <c r="R375" s="205">
        <v>0.05</v>
      </c>
      <c r="S375" s="147"/>
      <c r="T375" s="129" t="s">
        <v>36</v>
      </c>
      <c r="U375" s="147" t="s">
        <v>37</v>
      </c>
      <c r="V375" s="129"/>
      <c r="W375" s="177" t="s">
        <v>54</v>
      </c>
      <c r="X375" s="215" t="s">
        <v>1009</v>
      </c>
      <c r="Y375" s="216"/>
      <c r="Z375" s="216"/>
      <c r="AA375" s="263"/>
      <c r="AB375" s="305"/>
      <c r="AC375" s="214"/>
    </row>
    <row r="376" spans="1:29" s="182" customFormat="1" ht="24" x14ac:dyDescent="0.25">
      <c r="A376" s="131"/>
      <c r="B376" s="136">
        <v>1109208</v>
      </c>
      <c r="C376" s="127" t="s">
        <v>30</v>
      </c>
      <c r="D376" s="127" t="s">
        <v>2092</v>
      </c>
      <c r="E376" s="147" t="s">
        <v>32</v>
      </c>
      <c r="F376" s="129" t="s">
        <v>323</v>
      </c>
      <c r="G376" s="147" t="s">
        <v>34</v>
      </c>
      <c r="H376" s="191">
        <f t="shared" si="5"/>
        <v>9.2700000000000014</v>
      </c>
      <c r="I376" s="222" t="s">
        <v>2271</v>
      </c>
      <c r="J376" s="146">
        <v>30</v>
      </c>
      <c r="K376" s="147">
        <v>9</v>
      </c>
      <c r="L376" s="147">
        <v>1</v>
      </c>
      <c r="M376" s="147">
        <v>10</v>
      </c>
      <c r="N376" s="289">
        <v>551</v>
      </c>
      <c r="O376" s="195">
        <v>13.268000000000001</v>
      </c>
      <c r="P376" s="180">
        <v>45896</v>
      </c>
      <c r="Q376" s="241">
        <v>9.2200000000000006</v>
      </c>
      <c r="R376" s="205">
        <v>0.05</v>
      </c>
      <c r="S376" s="147"/>
      <c r="T376" s="129" t="s">
        <v>2091</v>
      </c>
      <c r="U376" s="147" t="s">
        <v>37</v>
      </c>
      <c r="V376" s="129"/>
      <c r="W376" s="147" t="s">
        <v>2213</v>
      </c>
      <c r="X376" s="215" t="s">
        <v>1009</v>
      </c>
      <c r="Y376" s="216"/>
      <c r="Z376" s="216"/>
      <c r="AA376" s="263"/>
      <c r="AB376" s="305"/>
      <c r="AC376" s="214"/>
    </row>
    <row r="377" spans="1:29" s="182" customFormat="1" ht="36" x14ac:dyDescent="0.25">
      <c r="A377" s="131"/>
      <c r="B377" s="136">
        <v>1109209</v>
      </c>
      <c r="C377" s="127" t="s">
        <v>30</v>
      </c>
      <c r="D377" s="127" t="s">
        <v>2093</v>
      </c>
      <c r="E377" s="147" t="s">
        <v>138</v>
      </c>
      <c r="F377" s="129" t="s">
        <v>2091</v>
      </c>
      <c r="G377" s="147" t="s">
        <v>34</v>
      </c>
      <c r="H377" s="191">
        <f t="shared" si="5"/>
        <v>6.4183978953098064</v>
      </c>
      <c r="I377" s="222" t="s">
        <v>2239</v>
      </c>
      <c r="J377" s="146">
        <v>90</v>
      </c>
      <c r="K377" s="147">
        <v>6</v>
      </c>
      <c r="L377" s="147">
        <v>1</v>
      </c>
      <c r="M377" s="147">
        <v>7</v>
      </c>
      <c r="N377" s="289">
        <v>491.62580000000003</v>
      </c>
      <c r="O377" s="195"/>
      <c r="P377" s="180">
        <v>45730</v>
      </c>
      <c r="Q377" s="241">
        <v>6.4183978953098064</v>
      </c>
      <c r="R377" s="205">
        <v>0</v>
      </c>
      <c r="S377" s="147"/>
      <c r="T377" s="129" t="s">
        <v>2091</v>
      </c>
      <c r="U377" s="147" t="s">
        <v>37</v>
      </c>
      <c r="V377" s="129"/>
      <c r="W377" s="147" t="s">
        <v>2215</v>
      </c>
      <c r="X377" s="215" t="s">
        <v>1009</v>
      </c>
      <c r="Y377" s="216"/>
      <c r="Z377" s="216"/>
      <c r="AA377" s="263"/>
      <c r="AB377" s="305"/>
      <c r="AC377" s="214"/>
    </row>
    <row r="378" spans="1:29" s="182" customFormat="1" ht="36" x14ac:dyDescent="0.25">
      <c r="A378" s="131"/>
      <c r="B378" s="136">
        <v>1109300</v>
      </c>
      <c r="C378" s="127" t="s">
        <v>30</v>
      </c>
      <c r="D378" s="127" t="s">
        <v>2684</v>
      </c>
      <c r="E378" s="147" t="s">
        <v>32</v>
      </c>
      <c r="F378" s="129" t="s">
        <v>2091</v>
      </c>
      <c r="G378" s="147" t="s">
        <v>34</v>
      </c>
      <c r="H378" s="191">
        <f t="shared" si="5"/>
        <v>2.8896852036650635</v>
      </c>
      <c r="I378" s="222" t="s">
        <v>2240</v>
      </c>
      <c r="J378" s="146">
        <v>90</v>
      </c>
      <c r="K378" s="147">
        <v>11</v>
      </c>
      <c r="L378" s="147">
        <v>1</v>
      </c>
      <c r="M378" s="147">
        <v>12</v>
      </c>
      <c r="N378" s="289">
        <v>2998.2560000000003</v>
      </c>
      <c r="O378" s="195"/>
      <c r="P378" s="180">
        <v>45730</v>
      </c>
      <c r="Q378" s="241">
        <f>6.3706/2.2046</f>
        <v>2.8896852036650635</v>
      </c>
      <c r="R378" s="205">
        <v>0</v>
      </c>
      <c r="S378" s="147"/>
      <c r="T378" s="129" t="s">
        <v>2091</v>
      </c>
      <c r="U378" s="147" t="s">
        <v>37</v>
      </c>
      <c r="V378" s="129"/>
      <c r="W378" s="147" t="s">
        <v>2215</v>
      </c>
      <c r="X378" s="215" t="s">
        <v>1009</v>
      </c>
      <c r="Y378" s="216"/>
      <c r="Z378" s="216"/>
      <c r="AA378" s="263"/>
      <c r="AB378" s="305"/>
      <c r="AC378" s="214"/>
    </row>
    <row r="379" spans="1:29" s="182" customFormat="1" ht="24" x14ac:dyDescent="0.25">
      <c r="A379" s="131"/>
      <c r="B379" s="136">
        <v>1109301</v>
      </c>
      <c r="C379" s="127" t="s">
        <v>30</v>
      </c>
      <c r="D379" s="127" t="s">
        <v>2529</v>
      </c>
      <c r="E379" s="147" t="s">
        <v>131</v>
      </c>
      <c r="F379" s="129" t="s">
        <v>1503</v>
      </c>
      <c r="G379" s="147" t="s">
        <v>34</v>
      </c>
      <c r="H379" s="191">
        <f t="shared" si="5"/>
        <v>3.3499999999999996</v>
      </c>
      <c r="I379" s="222" t="s">
        <v>2574</v>
      </c>
      <c r="J379" s="146">
        <v>90</v>
      </c>
      <c r="K379" s="147">
        <v>10</v>
      </c>
      <c r="L379" s="147">
        <v>1</v>
      </c>
      <c r="M379" s="147">
        <v>12</v>
      </c>
      <c r="N379" s="289">
        <v>811.38098400000013</v>
      </c>
      <c r="O379" s="241">
        <f>6.94/2.2046</f>
        <v>3.147963349360428</v>
      </c>
      <c r="P379" s="180">
        <v>46052</v>
      </c>
      <c r="Q379" s="241">
        <v>3.3</v>
      </c>
      <c r="R379" s="205">
        <v>0.05</v>
      </c>
      <c r="S379" s="147"/>
      <c r="T379" s="129" t="s">
        <v>2091</v>
      </c>
      <c r="U379" s="147" t="s">
        <v>37</v>
      </c>
      <c r="V379" s="129"/>
      <c r="W379" s="147" t="s">
        <v>2213</v>
      </c>
      <c r="X379" s="217" t="s">
        <v>1009</v>
      </c>
      <c r="Y379" s="216"/>
      <c r="Z379" s="216"/>
      <c r="AA379" s="263"/>
      <c r="AB379" s="305"/>
      <c r="AC379" s="214"/>
    </row>
    <row r="380" spans="1:29" s="182" customFormat="1" ht="36" x14ac:dyDescent="0.25">
      <c r="A380" s="131"/>
      <c r="B380" s="136">
        <v>1109302</v>
      </c>
      <c r="C380" s="127" t="s">
        <v>30</v>
      </c>
      <c r="D380" s="127" t="s">
        <v>2094</v>
      </c>
      <c r="E380" s="147" t="s">
        <v>32</v>
      </c>
      <c r="F380" s="129" t="s">
        <v>2357</v>
      </c>
      <c r="G380" s="147" t="s">
        <v>34</v>
      </c>
      <c r="H380" s="191">
        <f t="shared" si="5"/>
        <v>8.1148507665789715</v>
      </c>
      <c r="I380" s="222" t="s">
        <v>2241</v>
      </c>
      <c r="J380" s="146">
        <v>30</v>
      </c>
      <c r="K380" s="147">
        <v>11</v>
      </c>
      <c r="L380" s="147">
        <v>1</v>
      </c>
      <c r="M380" s="147">
        <v>12</v>
      </c>
      <c r="N380" s="289">
        <f>450*2.2046</f>
        <v>992.07</v>
      </c>
      <c r="O380" s="241">
        <f>11.8527/2.2046</f>
        <v>5.3763494511476004</v>
      </c>
      <c r="P380" s="180">
        <v>45975</v>
      </c>
      <c r="Q380" s="241">
        <f>17.89/2.2046</f>
        <v>8.1148507665789715</v>
      </c>
      <c r="R380" s="205">
        <v>0</v>
      </c>
      <c r="S380" s="147"/>
      <c r="T380" s="129" t="s">
        <v>2091</v>
      </c>
      <c r="U380" s="147" t="s">
        <v>37</v>
      </c>
      <c r="V380" s="129"/>
      <c r="W380" s="147" t="s">
        <v>2213</v>
      </c>
      <c r="X380" s="217" t="s">
        <v>1009</v>
      </c>
      <c r="Y380" s="216"/>
      <c r="Z380" s="216"/>
      <c r="AA380" s="263"/>
      <c r="AB380" s="305"/>
      <c r="AC380" s="214"/>
    </row>
    <row r="381" spans="1:29" s="182" customFormat="1" ht="36" x14ac:dyDescent="0.25">
      <c r="A381" s="131"/>
      <c r="B381" s="136">
        <v>1109303</v>
      </c>
      <c r="C381" s="127" t="s">
        <v>30</v>
      </c>
      <c r="D381" s="127" t="s">
        <v>2095</v>
      </c>
      <c r="E381" s="147" t="s">
        <v>131</v>
      </c>
      <c r="F381" s="129" t="s">
        <v>2091</v>
      </c>
      <c r="G381" s="147" t="s">
        <v>34</v>
      </c>
      <c r="H381" s="191">
        <f t="shared" si="5"/>
        <v>10.704889775923069</v>
      </c>
      <c r="I381" s="222" t="s">
        <v>2242</v>
      </c>
      <c r="J381" s="146">
        <v>90</v>
      </c>
      <c r="K381" s="147">
        <v>11</v>
      </c>
      <c r="L381" s="147">
        <v>1</v>
      </c>
      <c r="M381" s="147">
        <v>12</v>
      </c>
      <c r="N381" s="289">
        <v>48.501200000000004</v>
      </c>
      <c r="O381" s="195"/>
      <c r="P381" s="180">
        <v>45730</v>
      </c>
      <c r="Q381" s="241">
        <v>10.704889775923069</v>
      </c>
      <c r="R381" s="205">
        <v>0</v>
      </c>
      <c r="S381" s="147"/>
      <c r="T381" s="129" t="s">
        <v>2091</v>
      </c>
      <c r="U381" s="147" t="s">
        <v>37</v>
      </c>
      <c r="V381" s="129"/>
      <c r="W381" s="147" t="s">
        <v>2215</v>
      </c>
      <c r="X381" s="215" t="s">
        <v>1009</v>
      </c>
      <c r="Y381" s="216"/>
      <c r="Z381" s="216"/>
      <c r="AA381" s="263"/>
      <c r="AB381" s="305"/>
      <c r="AC381" s="214"/>
    </row>
    <row r="382" spans="1:29" s="182" customFormat="1" ht="36" x14ac:dyDescent="0.25">
      <c r="A382" s="131"/>
      <c r="B382" s="136">
        <v>1109304</v>
      </c>
      <c r="C382" s="127" t="s">
        <v>30</v>
      </c>
      <c r="D382" s="127" t="s">
        <v>2683</v>
      </c>
      <c r="E382" s="147" t="s">
        <v>32</v>
      </c>
      <c r="F382" s="129" t="s">
        <v>2091</v>
      </c>
      <c r="G382" s="147" t="s">
        <v>34</v>
      </c>
      <c r="H382" s="191">
        <f t="shared" si="5"/>
        <v>5.0167830899029298</v>
      </c>
      <c r="I382" s="222" t="s">
        <v>2243</v>
      </c>
      <c r="J382" s="146">
        <v>90</v>
      </c>
      <c r="K382" s="147">
        <v>11</v>
      </c>
      <c r="L382" s="147">
        <v>1</v>
      </c>
      <c r="M382" s="147">
        <v>12</v>
      </c>
      <c r="N382" s="289">
        <v>597.66706000000011</v>
      </c>
      <c r="O382" s="195"/>
      <c r="P382" s="180">
        <v>45730</v>
      </c>
      <c r="Q382" s="241">
        <v>5.0167830899029298</v>
      </c>
      <c r="R382" s="205">
        <v>0</v>
      </c>
      <c r="S382" s="147"/>
      <c r="T382" s="129" t="s">
        <v>2091</v>
      </c>
      <c r="U382" s="147" t="s">
        <v>37</v>
      </c>
      <c r="V382" s="129"/>
      <c r="W382" s="147" t="s">
        <v>2215</v>
      </c>
      <c r="X382" s="215" t="s">
        <v>1009</v>
      </c>
      <c r="Y382" s="216"/>
      <c r="Z382" s="216"/>
      <c r="AA382" s="263"/>
      <c r="AB382" s="305"/>
      <c r="AC382" s="214"/>
    </row>
    <row r="383" spans="1:29" s="182" customFormat="1" ht="24" x14ac:dyDescent="0.25">
      <c r="A383" s="131"/>
      <c r="B383" s="136">
        <v>1109305</v>
      </c>
      <c r="C383" s="127" t="s">
        <v>30</v>
      </c>
      <c r="D383" s="127" t="s">
        <v>2427</v>
      </c>
      <c r="E383" s="147" t="s">
        <v>131</v>
      </c>
      <c r="F383" s="129" t="s">
        <v>1791</v>
      </c>
      <c r="G383" s="147" t="s">
        <v>34</v>
      </c>
      <c r="H383" s="191">
        <f t="shared" si="5"/>
        <v>2.84</v>
      </c>
      <c r="I383" s="222" t="s">
        <v>2426</v>
      </c>
      <c r="J383" s="146">
        <v>30</v>
      </c>
      <c r="K383" s="147">
        <v>9</v>
      </c>
      <c r="L383" s="147">
        <v>1</v>
      </c>
      <c r="M383" s="147">
        <v>10</v>
      </c>
      <c r="N383" s="289">
        <v>2204</v>
      </c>
      <c r="O383" s="241">
        <f>10.18/2.2046</f>
        <v>4.617617708427832</v>
      </c>
      <c r="P383" s="180">
        <v>45961</v>
      </c>
      <c r="Q383" s="241">
        <v>2.79</v>
      </c>
      <c r="R383" s="205">
        <v>0.05</v>
      </c>
      <c r="S383" s="147"/>
      <c r="T383" s="129" t="s">
        <v>2091</v>
      </c>
      <c r="U383" s="147" t="s">
        <v>37</v>
      </c>
      <c r="V383" s="129"/>
      <c r="W383" s="147" t="s">
        <v>2213</v>
      </c>
      <c r="X383" s="215" t="s">
        <v>1009</v>
      </c>
      <c r="Y383" s="216"/>
      <c r="Z383" s="216"/>
      <c r="AA383" s="263"/>
      <c r="AB383" s="305"/>
      <c r="AC383" s="214"/>
    </row>
    <row r="384" spans="1:29" s="182" customFormat="1" x14ac:dyDescent="0.25">
      <c r="A384" s="131"/>
      <c r="B384" s="136">
        <v>1109306</v>
      </c>
      <c r="C384" s="127" t="s">
        <v>30</v>
      </c>
      <c r="D384" s="127" t="s">
        <v>2237</v>
      </c>
      <c r="E384" s="147" t="s">
        <v>32</v>
      </c>
      <c r="F384" s="129" t="s">
        <v>1838</v>
      </c>
      <c r="G384" s="147" t="s">
        <v>34</v>
      </c>
      <c r="H384" s="191">
        <f t="shared" si="5"/>
        <v>6.51</v>
      </c>
      <c r="I384" s="222" t="s">
        <v>2084</v>
      </c>
      <c r="J384" s="146">
        <v>0</v>
      </c>
      <c r="K384" s="147">
        <v>9</v>
      </c>
      <c r="L384" s="147">
        <v>1</v>
      </c>
      <c r="M384" s="147">
        <v>10</v>
      </c>
      <c r="N384" s="289">
        <v>3300</v>
      </c>
      <c r="O384" s="174">
        <v>7.13</v>
      </c>
      <c r="P384" s="180">
        <v>45982</v>
      </c>
      <c r="Q384" s="178">
        <v>6.46</v>
      </c>
      <c r="R384" s="205">
        <v>0.05</v>
      </c>
      <c r="S384" s="147"/>
      <c r="T384" s="129" t="s">
        <v>2212</v>
      </c>
      <c r="U384" s="147" t="s">
        <v>37</v>
      </c>
      <c r="V384" s="129"/>
      <c r="W384" s="147" t="s">
        <v>2215</v>
      </c>
      <c r="X384" s="215" t="s">
        <v>1009</v>
      </c>
      <c r="Y384" s="216"/>
      <c r="Z384" s="216"/>
      <c r="AA384" s="303">
        <v>46101</v>
      </c>
      <c r="AB384" s="306" t="s">
        <v>2603</v>
      </c>
      <c r="AC384" s="214"/>
    </row>
    <row r="385" spans="1:29" s="182" customFormat="1" hidden="1" x14ac:dyDescent="0.25">
      <c r="A385" s="131"/>
      <c r="B385" s="136">
        <v>1109307</v>
      </c>
      <c r="C385" s="127" t="s">
        <v>30</v>
      </c>
      <c r="D385" s="127" t="s">
        <v>2116</v>
      </c>
      <c r="E385" s="147" t="s">
        <v>66</v>
      </c>
      <c r="F385" s="129" t="s">
        <v>2078</v>
      </c>
      <c r="G385" s="147" t="s">
        <v>34</v>
      </c>
      <c r="H385" s="191">
        <f t="shared" si="5"/>
        <v>1.1400000000000001</v>
      </c>
      <c r="I385" s="222"/>
      <c r="J385" s="146">
        <v>0</v>
      </c>
      <c r="K385" s="147">
        <v>11</v>
      </c>
      <c r="L385" s="147">
        <v>1</v>
      </c>
      <c r="M385" s="147">
        <v>12</v>
      </c>
      <c r="N385" s="289"/>
      <c r="O385" s="195"/>
      <c r="P385" s="180"/>
      <c r="Q385" s="174">
        <v>1.0900000000000001</v>
      </c>
      <c r="R385" s="205">
        <v>0.05</v>
      </c>
      <c r="S385" s="147"/>
      <c r="T385" s="129" t="s">
        <v>468</v>
      </c>
      <c r="U385" s="147" t="s">
        <v>37</v>
      </c>
      <c r="V385" s="129"/>
      <c r="W385" s="177" t="s">
        <v>54</v>
      </c>
      <c r="X385" s="215" t="s">
        <v>1009</v>
      </c>
      <c r="Y385" s="216"/>
      <c r="Z385" s="216"/>
      <c r="AA385" s="263"/>
      <c r="AB385" s="305"/>
      <c r="AC385" s="212"/>
    </row>
    <row r="386" spans="1:29" ht="24" x14ac:dyDescent="0.25">
      <c r="B386" s="136">
        <v>1109308</v>
      </c>
      <c r="C386" s="127" t="s">
        <v>30</v>
      </c>
      <c r="D386" s="127" t="s">
        <v>2117</v>
      </c>
      <c r="E386" s="147" t="s">
        <v>32</v>
      </c>
      <c r="F386" s="129" t="s">
        <v>1791</v>
      </c>
      <c r="G386" s="147" t="s">
        <v>34</v>
      </c>
      <c r="H386" s="191">
        <f t="shared" si="5"/>
        <v>3.03</v>
      </c>
      <c r="I386" s="222" t="s">
        <v>2358</v>
      </c>
      <c r="J386" s="146">
        <v>30</v>
      </c>
      <c r="K386" s="147">
        <v>10</v>
      </c>
      <c r="L386" s="147">
        <v>1</v>
      </c>
      <c r="M386" s="147">
        <v>11</v>
      </c>
      <c r="N386" s="289">
        <v>4959</v>
      </c>
      <c r="O386" s="195">
        <f>6.84263/2.2046</f>
        <v>3.1037966070942571</v>
      </c>
      <c r="P386" s="180">
        <v>45945</v>
      </c>
      <c r="Q386" s="174">
        <v>2.98</v>
      </c>
      <c r="R386" s="205">
        <v>0.05</v>
      </c>
      <c r="S386" s="147"/>
      <c r="T386" s="129" t="s">
        <v>2091</v>
      </c>
      <c r="U386" s="147" t="s">
        <v>37</v>
      </c>
      <c r="V386" s="129"/>
      <c r="W386" s="147" t="s">
        <v>2213</v>
      </c>
      <c r="X386" s="215" t="s">
        <v>1009</v>
      </c>
      <c r="Y386" s="216"/>
      <c r="Z386" s="216"/>
      <c r="AA386" s="263"/>
      <c r="AB386" s="305"/>
    </row>
    <row r="387" spans="1:29" ht="36" x14ac:dyDescent="0.25">
      <c r="B387" s="136">
        <v>1109309</v>
      </c>
      <c r="C387" s="127" t="s">
        <v>30</v>
      </c>
      <c r="D387" s="127" t="s">
        <v>2118</v>
      </c>
      <c r="E387" s="151" t="s">
        <v>259</v>
      </c>
      <c r="F387" s="129" t="s">
        <v>2091</v>
      </c>
      <c r="G387" s="147" t="s">
        <v>34</v>
      </c>
      <c r="H387" s="191">
        <f t="shared" ref="H387:H450" si="6">Q387+R387</f>
        <v>2.1681937766488253</v>
      </c>
      <c r="I387" s="222" t="s">
        <v>2244</v>
      </c>
      <c r="J387" s="146">
        <v>90</v>
      </c>
      <c r="K387" s="147">
        <v>11</v>
      </c>
      <c r="L387" s="147">
        <v>1</v>
      </c>
      <c r="M387" s="147">
        <v>12</v>
      </c>
      <c r="N387" s="289">
        <f>375*2.2046</f>
        <v>826.72500000000002</v>
      </c>
      <c r="O387" s="195"/>
      <c r="P387" s="180">
        <v>45839</v>
      </c>
      <c r="Q387" s="174">
        <f>4.78/2.2046</f>
        <v>2.1681937766488253</v>
      </c>
      <c r="R387" s="205">
        <v>0</v>
      </c>
      <c r="S387" s="147"/>
      <c r="T387" s="129" t="s">
        <v>2091</v>
      </c>
      <c r="U387" s="147" t="s">
        <v>37</v>
      </c>
      <c r="V387" s="129"/>
      <c r="W387" s="147" t="s">
        <v>2215</v>
      </c>
      <c r="X387" s="215" t="s">
        <v>1009</v>
      </c>
      <c r="Y387" s="216"/>
      <c r="Z387" s="216"/>
      <c r="AA387" s="263"/>
      <c r="AB387" s="305"/>
    </row>
    <row r="388" spans="1:29" ht="36" x14ac:dyDescent="0.25">
      <c r="B388" s="136">
        <v>1109310</v>
      </c>
      <c r="C388" s="127" t="s">
        <v>30</v>
      </c>
      <c r="D388" s="127" t="s">
        <v>2119</v>
      </c>
      <c r="E388" s="147" t="s">
        <v>32</v>
      </c>
      <c r="F388" s="129" t="s">
        <v>2091</v>
      </c>
      <c r="G388" s="147" t="s">
        <v>34</v>
      </c>
      <c r="H388" s="191">
        <f t="shared" si="6"/>
        <v>5.375124739181711</v>
      </c>
      <c r="I388" s="222" t="s">
        <v>2245</v>
      </c>
      <c r="J388" s="146">
        <v>90</v>
      </c>
      <c r="K388" s="147">
        <v>11</v>
      </c>
      <c r="L388" s="147">
        <v>1</v>
      </c>
      <c r="M388" s="147">
        <v>12</v>
      </c>
      <c r="N388" s="289">
        <v>942</v>
      </c>
      <c r="O388" s="195"/>
      <c r="P388" s="180">
        <v>45839</v>
      </c>
      <c r="Q388" s="174">
        <f>11.85/2.2046</f>
        <v>5.375124739181711</v>
      </c>
      <c r="R388" s="205"/>
      <c r="S388" s="147"/>
      <c r="T388" s="129" t="s">
        <v>2091</v>
      </c>
      <c r="U388" s="147" t="s">
        <v>37</v>
      </c>
      <c r="V388" s="129"/>
      <c r="W388" s="147" t="s">
        <v>2215</v>
      </c>
      <c r="X388" s="215" t="s">
        <v>1009</v>
      </c>
      <c r="Y388" s="216"/>
      <c r="Z388" s="216"/>
      <c r="AA388" s="263"/>
      <c r="AB388" s="305"/>
    </row>
    <row r="389" spans="1:29" ht="36" x14ac:dyDescent="0.25">
      <c r="B389" s="136">
        <v>1109311</v>
      </c>
      <c r="C389" s="127" t="s">
        <v>30</v>
      </c>
      <c r="D389" s="127" t="s">
        <v>2120</v>
      </c>
      <c r="E389" s="147" t="s">
        <v>84</v>
      </c>
      <c r="F389" s="129" t="s">
        <v>2091</v>
      </c>
      <c r="G389" s="147" t="s">
        <v>34</v>
      </c>
      <c r="H389" s="191">
        <f t="shared" si="6"/>
        <v>4.79</v>
      </c>
      <c r="I389" s="222" t="s">
        <v>2246</v>
      </c>
      <c r="J389" s="146">
        <v>90</v>
      </c>
      <c r="K389" s="147">
        <v>11</v>
      </c>
      <c r="L389" s="147">
        <v>1</v>
      </c>
      <c r="M389" s="147">
        <v>12</v>
      </c>
      <c r="N389" s="289">
        <v>386</v>
      </c>
      <c r="O389" s="195"/>
      <c r="P389" s="180">
        <v>45839</v>
      </c>
      <c r="Q389" s="174">
        <v>4.79</v>
      </c>
      <c r="R389" s="205">
        <v>0</v>
      </c>
      <c r="S389" s="147"/>
      <c r="T389" s="129" t="s">
        <v>2091</v>
      </c>
      <c r="U389" s="147" t="s">
        <v>37</v>
      </c>
      <c r="V389" s="129"/>
      <c r="W389" s="147" t="s">
        <v>2215</v>
      </c>
      <c r="X389" s="215" t="s">
        <v>1009</v>
      </c>
      <c r="Y389" s="216"/>
      <c r="Z389" s="216"/>
      <c r="AA389" s="263"/>
      <c r="AB389" s="305"/>
    </row>
    <row r="390" spans="1:29" ht="36" x14ac:dyDescent="0.25">
      <c r="B390" s="136">
        <v>1109312</v>
      </c>
      <c r="C390" s="127" t="s">
        <v>30</v>
      </c>
      <c r="D390" s="127" t="s">
        <v>2370</v>
      </c>
      <c r="E390" s="147" t="s">
        <v>535</v>
      </c>
      <c r="F390" s="129" t="s">
        <v>2357</v>
      </c>
      <c r="G390" s="147" t="s">
        <v>34</v>
      </c>
      <c r="H390" s="191">
        <f t="shared" si="6"/>
        <v>5.05</v>
      </c>
      <c r="I390" s="222" t="s">
        <v>2247</v>
      </c>
      <c r="J390" s="146">
        <v>30</v>
      </c>
      <c r="K390" s="147">
        <v>11</v>
      </c>
      <c r="L390" s="147">
        <v>1</v>
      </c>
      <c r="M390" s="147">
        <v>12</v>
      </c>
      <c r="N390" s="289">
        <f>1635*2.2046</f>
        <v>3604.5210000000002</v>
      </c>
      <c r="O390" s="174">
        <f>11.49/2.2046</f>
        <v>5.211829810396444</v>
      </c>
      <c r="P390" s="180">
        <v>45954</v>
      </c>
      <c r="Q390" s="174">
        <v>5.05</v>
      </c>
      <c r="R390" s="205">
        <v>0</v>
      </c>
      <c r="S390" s="147"/>
      <c r="T390" s="129" t="s">
        <v>2091</v>
      </c>
      <c r="U390" s="147" t="s">
        <v>37</v>
      </c>
      <c r="V390" s="129"/>
      <c r="W390" s="147" t="s">
        <v>2213</v>
      </c>
      <c r="X390" s="215" t="s">
        <v>1009</v>
      </c>
      <c r="Y390" s="216"/>
      <c r="Z390" s="216"/>
      <c r="AA390" s="263"/>
      <c r="AB390" s="305"/>
    </row>
    <row r="391" spans="1:29" ht="36" x14ac:dyDescent="0.25">
      <c r="B391" s="136">
        <v>1109313</v>
      </c>
      <c r="C391" s="127" t="s">
        <v>30</v>
      </c>
      <c r="D391" s="127" t="s">
        <v>2665</v>
      </c>
      <c r="E391" s="147" t="s">
        <v>2160</v>
      </c>
      <c r="F391" s="129" t="s">
        <v>2357</v>
      </c>
      <c r="G391" s="147" t="s">
        <v>34</v>
      </c>
      <c r="H391" s="191">
        <f t="shared" si="6"/>
        <v>4.93</v>
      </c>
      <c r="I391" s="222" t="s">
        <v>2248</v>
      </c>
      <c r="J391" s="146">
        <v>30</v>
      </c>
      <c r="K391" s="147">
        <v>11</v>
      </c>
      <c r="L391" s="147">
        <v>1</v>
      </c>
      <c r="M391" s="147">
        <v>12</v>
      </c>
      <c r="N391" s="289">
        <f>2310*2.2046</f>
        <v>5092.6260000000002</v>
      </c>
      <c r="O391" s="174">
        <v>4.704354531434273</v>
      </c>
      <c r="P391" s="180">
        <v>45946</v>
      </c>
      <c r="Q391" s="174">
        <v>4.93</v>
      </c>
      <c r="R391" s="205">
        <v>0</v>
      </c>
      <c r="S391" s="147"/>
      <c r="T391" s="129" t="s">
        <v>2091</v>
      </c>
      <c r="U391" s="147" t="s">
        <v>37</v>
      </c>
      <c r="V391" s="129"/>
      <c r="W391" s="147" t="s">
        <v>2213</v>
      </c>
      <c r="X391" s="217" t="s">
        <v>1009</v>
      </c>
      <c r="Y391" s="216"/>
      <c r="Z391" s="216"/>
      <c r="AA391" s="263"/>
      <c r="AB391" s="305"/>
    </row>
    <row r="392" spans="1:29" s="182" customFormat="1" ht="36" x14ac:dyDescent="0.25">
      <c r="A392" s="131"/>
      <c r="B392" s="136">
        <v>1109314</v>
      </c>
      <c r="C392" s="127" t="s">
        <v>30</v>
      </c>
      <c r="D392" s="127" t="s">
        <v>2686</v>
      </c>
      <c r="E392" s="147" t="s">
        <v>32</v>
      </c>
      <c r="F392" s="129" t="s">
        <v>2091</v>
      </c>
      <c r="G392" s="147" t="s">
        <v>34</v>
      </c>
      <c r="H392" s="191">
        <f t="shared" si="6"/>
        <v>1.3471831624784543</v>
      </c>
      <c r="I392" s="222" t="s">
        <v>2249</v>
      </c>
      <c r="J392" s="146">
        <v>90</v>
      </c>
      <c r="K392" s="147">
        <v>11</v>
      </c>
      <c r="L392" s="147">
        <v>1</v>
      </c>
      <c r="M392" s="147">
        <v>12</v>
      </c>
      <c r="N392" s="289">
        <v>1499.1280000000002</v>
      </c>
      <c r="O392" s="195"/>
      <c r="P392" s="180">
        <v>45777</v>
      </c>
      <c r="Q392" s="174">
        <v>1.3471831624784543</v>
      </c>
      <c r="R392" s="205">
        <v>0</v>
      </c>
      <c r="S392" s="147"/>
      <c r="T392" s="129" t="s">
        <v>2091</v>
      </c>
      <c r="U392" s="147" t="s">
        <v>37</v>
      </c>
      <c r="V392" s="129"/>
      <c r="W392" s="147" t="s">
        <v>2215</v>
      </c>
      <c r="X392" s="215" t="s">
        <v>1009</v>
      </c>
      <c r="Y392" s="216"/>
      <c r="Z392" s="216"/>
      <c r="AA392" s="263"/>
      <c r="AB392" s="305"/>
      <c r="AC392" s="214"/>
    </row>
    <row r="393" spans="1:29" s="182" customFormat="1" ht="36" x14ac:dyDescent="0.25">
      <c r="A393" s="131"/>
      <c r="B393" s="136">
        <v>1109315</v>
      </c>
      <c r="C393" s="127" t="s">
        <v>30</v>
      </c>
      <c r="D393" s="127" t="s">
        <v>2155</v>
      </c>
      <c r="E393" s="147" t="s">
        <v>32</v>
      </c>
      <c r="F393" s="129" t="s">
        <v>2357</v>
      </c>
      <c r="G393" s="147" t="s">
        <v>34</v>
      </c>
      <c r="H393" s="191">
        <f t="shared" si="6"/>
        <v>7.07</v>
      </c>
      <c r="I393" s="222" t="s">
        <v>2250</v>
      </c>
      <c r="J393" s="146">
        <v>30</v>
      </c>
      <c r="K393" s="147">
        <v>11</v>
      </c>
      <c r="L393" s="147">
        <v>1</v>
      </c>
      <c r="M393" s="147">
        <v>12</v>
      </c>
      <c r="N393" s="289">
        <f>2040*2.2046</f>
        <v>4497.384</v>
      </c>
      <c r="O393" s="174">
        <f>11.21/2.2046</f>
        <v>5.0848226435634585</v>
      </c>
      <c r="P393" s="180">
        <v>45954</v>
      </c>
      <c r="Q393" s="174">
        <v>7.07</v>
      </c>
      <c r="R393" s="205">
        <v>0</v>
      </c>
      <c r="S393" s="147"/>
      <c r="T393" s="129" t="s">
        <v>2091</v>
      </c>
      <c r="U393" s="147" t="s">
        <v>37</v>
      </c>
      <c r="V393" s="129"/>
      <c r="W393" s="147" t="s">
        <v>2213</v>
      </c>
      <c r="X393" s="215" t="s">
        <v>1009</v>
      </c>
      <c r="Y393" s="216"/>
      <c r="Z393" s="216"/>
      <c r="AA393" s="263"/>
      <c r="AB393" s="305"/>
      <c r="AC393" s="214"/>
    </row>
    <row r="394" spans="1:29" hidden="1" x14ac:dyDescent="0.25">
      <c r="B394" s="136">
        <v>1109316</v>
      </c>
      <c r="C394" s="127" t="s">
        <v>30</v>
      </c>
      <c r="D394" s="127" t="s">
        <v>2156</v>
      </c>
      <c r="E394" s="147" t="s">
        <v>146</v>
      </c>
      <c r="F394" s="129" t="s">
        <v>2157</v>
      </c>
      <c r="G394" s="147" t="s">
        <v>34</v>
      </c>
      <c r="H394" s="191">
        <f t="shared" si="6"/>
        <v>0.67</v>
      </c>
      <c r="I394" s="222"/>
      <c r="J394" s="146"/>
      <c r="K394" s="147">
        <v>11</v>
      </c>
      <c r="L394" s="147">
        <v>1</v>
      </c>
      <c r="M394" s="147">
        <v>12</v>
      </c>
      <c r="N394" s="289">
        <v>25000</v>
      </c>
      <c r="O394" s="195"/>
      <c r="P394" s="180">
        <v>45840</v>
      </c>
      <c r="Q394" s="174">
        <v>0.62</v>
      </c>
      <c r="R394" s="205">
        <v>0.05</v>
      </c>
      <c r="S394" s="147"/>
      <c r="T394" s="129" t="s">
        <v>1711</v>
      </c>
      <c r="U394" s="147" t="s">
        <v>37</v>
      </c>
      <c r="V394" s="129"/>
      <c r="W394" s="177" t="s">
        <v>54</v>
      </c>
      <c r="X394" s="215"/>
      <c r="Y394" s="216"/>
      <c r="Z394" s="216"/>
      <c r="AA394" s="263"/>
      <c r="AB394" s="305"/>
      <c r="AC394" s="212"/>
    </row>
    <row r="395" spans="1:29" s="182" customFormat="1" ht="23.4" hidden="1" customHeight="1" x14ac:dyDescent="0.25">
      <c r="A395" s="131"/>
      <c r="B395" s="136">
        <v>1109317</v>
      </c>
      <c r="C395" s="128" t="s">
        <v>30</v>
      </c>
      <c r="D395" s="127" t="s">
        <v>2691</v>
      </c>
      <c r="E395" s="147" t="s">
        <v>32</v>
      </c>
      <c r="F395" s="129" t="s">
        <v>2402</v>
      </c>
      <c r="G395" s="147" t="s">
        <v>34</v>
      </c>
      <c r="H395" s="191">
        <f t="shared" si="6"/>
        <v>4.0415494874353621</v>
      </c>
      <c r="I395" s="222" t="s">
        <v>2251</v>
      </c>
      <c r="J395" s="146">
        <v>30</v>
      </c>
      <c r="K395" s="147">
        <v>11</v>
      </c>
      <c r="L395" s="147">
        <v>1</v>
      </c>
      <c r="M395" s="147">
        <v>12</v>
      </c>
      <c r="N395" s="289">
        <f>1770*2.2046</f>
        <v>3902.1420000000003</v>
      </c>
      <c r="O395" s="174">
        <v>6.8674589494692917</v>
      </c>
      <c r="P395" s="180">
        <v>45957</v>
      </c>
      <c r="Q395" s="174">
        <f>8.91/2.2046</f>
        <v>4.0415494874353621</v>
      </c>
      <c r="R395" s="205">
        <v>0</v>
      </c>
      <c r="S395" s="147"/>
      <c r="T395" s="129" t="s">
        <v>2091</v>
      </c>
      <c r="U395" s="147" t="s">
        <v>37</v>
      </c>
      <c r="V395" s="129"/>
      <c r="W395" s="147" t="s">
        <v>2214</v>
      </c>
      <c r="X395" s="215" t="s">
        <v>1009</v>
      </c>
      <c r="Y395" s="216"/>
      <c r="Z395" s="216"/>
      <c r="AA395" s="263"/>
      <c r="AB395" s="305"/>
      <c r="AC395" s="214"/>
    </row>
    <row r="396" spans="1:29" ht="36" hidden="1" x14ac:dyDescent="0.25">
      <c r="B396" s="136">
        <v>1109318</v>
      </c>
      <c r="C396" s="128" t="s">
        <v>30</v>
      </c>
      <c r="D396" s="127" t="s">
        <v>2165</v>
      </c>
      <c r="E396" s="147" t="s">
        <v>259</v>
      </c>
      <c r="F396" s="129" t="s">
        <v>2091</v>
      </c>
      <c r="G396" s="147" t="s">
        <v>34</v>
      </c>
      <c r="H396" s="191">
        <f t="shared" si="6"/>
        <v>3.7223714052435817</v>
      </c>
      <c r="I396" s="222" t="s">
        <v>2252</v>
      </c>
      <c r="J396" s="146">
        <v>90</v>
      </c>
      <c r="K396" s="147">
        <v>11</v>
      </c>
      <c r="L396" s="147">
        <v>1</v>
      </c>
      <c r="M396" s="147">
        <v>12</v>
      </c>
      <c r="N396" s="289">
        <v>1653.427954</v>
      </c>
      <c r="O396" s="195"/>
      <c r="P396" s="180">
        <v>45860</v>
      </c>
      <c r="Q396" s="174">
        <v>3.7223714052435817</v>
      </c>
      <c r="R396" s="205">
        <v>0</v>
      </c>
      <c r="S396" s="147"/>
      <c r="T396" s="129" t="s">
        <v>2091</v>
      </c>
      <c r="U396" s="147" t="s">
        <v>37</v>
      </c>
      <c r="V396" s="129"/>
      <c r="W396" s="147" t="s">
        <v>2214</v>
      </c>
      <c r="X396" s="215" t="s">
        <v>1009</v>
      </c>
      <c r="Y396" s="216"/>
      <c r="Z396" s="216"/>
      <c r="AA396" s="215"/>
      <c r="AB396" s="305"/>
    </row>
    <row r="397" spans="1:29" ht="36" x14ac:dyDescent="0.25">
      <c r="B397" s="136">
        <v>1109319</v>
      </c>
      <c r="C397" s="128" t="s">
        <v>30</v>
      </c>
      <c r="D397" s="127" t="s">
        <v>2681</v>
      </c>
      <c r="E397" s="147" t="s">
        <v>32</v>
      </c>
      <c r="F397" s="129" t="s">
        <v>2357</v>
      </c>
      <c r="G397" s="147" t="s">
        <v>34</v>
      </c>
      <c r="H397" s="191">
        <f t="shared" si="6"/>
        <v>4.78</v>
      </c>
      <c r="I397" s="222" t="s">
        <v>2253</v>
      </c>
      <c r="J397" s="146">
        <v>30</v>
      </c>
      <c r="K397" s="147">
        <v>11</v>
      </c>
      <c r="L397" s="147">
        <v>1</v>
      </c>
      <c r="M397" s="147">
        <v>12</v>
      </c>
      <c r="N397" s="289">
        <f>1360*2.2046</f>
        <v>2998.2560000000003</v>
      </c>
      <c r="O397" s="174">
        <f>10.47/2.2046</f>
        <v>4.7491608455048535</v>
      </c>
      <c r="P397" s="180">
        <v>45946</v>
      </c>
      <c r="Q397" s="174">
        <v>4.78</v>
      </c>
      <c r="R397" s="205">
        <v>0</v>
      </c>
      <c r="S397" s="147"/>
      <c r="T397" s="129" t="s">
        <v>2091</v>
      </c>
      <c r="U397" s="147" t="s">
        <v>37</v>
      </c>
      <c r="V397" s="129"/>
      <c r="W397" s="147" t="s">
        <v>2213</v>
      </c>
      <c r="X397" s="217" t="s">
        <v>1009</v>
      </c>
      <c r="Y397" s="216"/>
      <c r="Z397" s="216"/>
      <c r="AA397" s="215"/>
      <c r="AB397" s="305"/>
    </row>
    <row r="398" spans="1:29" ht="24" x14ac:dyDescent="0.25">
      <c r="B398" s="136">
        <v>1109320</v>
      </c>
      <c r="C398" s="128" t="s">
        <v>30</v>
      </c>
      <c r="D398" s="127" t="s">
        <v>2170</v>
      </c>
      <c r="E398" s="147" t="s">
        <v>66</v>
      </c>
      <c r="F398" s="129" t="s">
        <v>2365</v>
      </c>
      <c r="G398" s="147" t="s">
        <v>34</v>
      </c>
      <c r="H398" s="191">
        <f t="shared" si="6"/>
        <v>6.5202150049895673</v>
      </c>
      <c r="I398" s="222" t="s">
        <v>2368</v>
      </c>
      <c r="J398" s="146">
        <v>30</v>
      </c>
      <c r="K398" s="147">
        <v>8</v>
      </c>
      <c r="L398" s="147">
        <v>1</v>
      </c>
      <c r="M398" s="147">
        <v>9</v>
      </c>
      <c r="N398" s="289">
        <f>1000*2.2046</f>
        <v>2204.6</v>
      </c>
      <c r="O398" s="174">
        <v>3.8018824276512744</v>
      </c>
      <c r="P398" s="180">
        <v>45860</v>
      </c>
      <c r="Q398" s="174">
        <f>8.4/2.2046</f>
        <v>3.8102150049895673</v>
      </c>
      <c r="R398" s="205">
        <f>2.66+0.05</f>
        <v>2.71</v>
      </c>
      <c r="S398" s="147"/>
      <c r="T398" s="129" t="s">
        <v>2091</v>
      </c>
      <c r="U398" s="147" t="s">
        <v>37</v>
      </c>
      <c r="V398" s="129"/>
      <c r="W398" s="147" t="s">
        <v>2213</v>
      </c>
      <c r="X398" s="217" t="s">
        <v>2520</v>
      </c>
      <c r="Y398" s="216"/>
      <c r="Z398" s="216"/>
      <c r="AA398" s="215"/>
      <c r="AB398" s="305"/>
    </row>
    <row r="399" spans="1:29" ht="24" x14ac:dyDescent="0.25">
      <c r="B399" s="136">
        <v>1109321</v>
      </c>
      <c r="C399" s="128" t="s">
        <v>30</v>
      </c>
      <c r="D399" s="127" t="s">
        <v>2166</v>
      </c>
      <c r="E399" s="147" t="s">
        <v>259</v>
      </c>
      <c r="F399" s="129" t="s">
        <v>1838</v>
      </c>
      <c r="G399" s="147" t="s">
        <v>34</v>
      </c>
      <c r="H399" s="191">
        <f t="shared" si="6"/>
        <v>7.4195900000000004</v>
      </c>
      <c r="I399" s="222" t="s">
        <v>2530</v>
      </c>
      <c r="J399" s="146">
        <v>0</v>
      </c>
      <c r="K399" s="147">
        <v>11</v>
      </c>
      <c r="L399" s="147">
        <v>1</v>
      </c>
      <c r="M399" s="147">
        <v>12</v>
      </c>
      <c r="N399" s="289">
        <f>680*2.2046</f>
        <v>1499.1280000000002</v>
      </c>
      <c r="O399" s="174">
        <v>7.24</v>
      </c>
      <c r="P399" s="180">
        <v>46128</v>
      </c>
      <c r="Q399" s="174">
        <f>7.24+0.05</f>
        <v>7.29</v>
      </c>
      <c r="R399" s="205">
        <f>0.07959+0.05</f>
        <v>0.12958999999999998</v>
      </c>
      <c r="S399" s="147"/>
      <c r="T399" s="129" t="s">
        <v>2091</v>
      </c>
      <c r="U399" s="147" t="s">
        <v>37</v>
      </c>
      <c r="V399" s="129"/>
      <c r="W399" s="147" t="s">
        <v>2213</v>
      </c>
      <c r="X399" s="215" t="s">
        <v>1009</v>
      </c>
      <c r="Y399" s="216"/>
      <c r="Z399" s="216"/>
      <c r="AA399" s="215"/>
      <c r="AB399" s="305"/>
    </row>
    <row r="400" spans="1:29" ht="36" x14ac:dyDescent="0.25">
      <c r="B400" s="136">
        <v>1109322</v>
      </c>
      <c r="C400" s="128" t="s">
        <v>30</v>
      </c>
      <c r="D400" s="127" t="s">
        <v>2687</v>
      </c>
      <c r="E400" s="147" t="s">
        <v>32</v>
      </c>
      <c r="F400" s="129" t="s">
        <v>2091</v>
      </c>
      <c r="G400" s="147" t="s">
        <v>34</v>
      </c>
      <c r="H400" s="191">
        <f t="shared" si="6"/>
        <v>1.709788623786628</v>
      </c>
      <c r="I400" s="222" t="s">
        <v>2254</v>
      </c>
      <c r="J400" s="146">
        <v>90</v>
      </c>
      <c r="K400" s="147">
        <v>11</v>
      </c>
      <c r="L400" s="147">
        <v>1</v>
      </c>
      <c r="M400" s="147">
        <v>12</v>
      </c>
      <c r="N400" s="289">
        <v>0.87963540000000007</v>
      </c>
      <c r="O400" s="195"/>
      <c r="P400" s="180">
        <v>45860</v>
      </c>
      <c r="Q400" s="174">
        <v>1.709788623786628</v>
      </c>
      <c r="R400" s="205">
        <v>0</v>
      </c>
      <c r="S400" s="147"/>
      <c r="T400" s="129" t="s">
        <v>2091</v>
      </c>
      <c r="U400" s="147" t="s">
        <v>37</v>
      </c>
      <c r="V400" s="129"/>
      <c r="W400" s="147" t="s">
        <v>2215</v>
      </c>
      <c r="X400" s="215" t="s">
        <v>1009</v>
      </c>
      <c r="Y400" s="216"/>
      <c r="Z400" s="216"/>
      <c r="AA400" s="215"/>
      <c r="AB400" s="305"/>
    </row>
    <row r="401" spans="1:28 16384:16384" ht="36" x14ac:dyDescent="0.25">
      <c r="B401" s="136">
        <v>1109323</v>
      </c>
      <c r="C401" s="128" t="s">
        <v>30</v>
      </c>
      <c r="D401" s="127" t="s">
        <v>2169</v>
      </c>
      <c r="E401" s="147" t="s">
        <v>32</v>
      </c>
      <c r="F401" s="129" t="s">
        <v>2091</v>
      </c>
      <c r="G401" s="147" t="s">
        <v>34</v>
      </c>
      <c r="H401" s="191">
        <f t="shared" si="6"/>
        <v>4.372675315249932</v>
      </c>
      <c r="I401" s="222" t="s">
        <v>2255</v>
      </c>
      <c r="J401" s="146">
        <v>90</v>
      </c>
      <c r="K401" s="147">
        <v>11</v>
      </c>
      <c r="L401" s="147">
        <v>1</v>
      </c>
      <c r="M401" s="147">
        <v>12</v>
      </c>
      <c r="N401" s="289">
        <f>320*2.2046</f>
        <v>705.47199999999998</v>
      </c>
      <c r="O401" s="195"/>
      <c r="P401" s="180">
        <v>45966</v>
      </c>
      <c r="Q401" s="174">
        <f>9.64/2.2046</f>
        <v>4.372675315249932</v>
      </c>
      <c r="R401" s="205">
        <v>0</v>
      </c>
      <c r="S401" s="147"/>
      <c r="T401" s="129" t="s">
        <v>2091</v>
      </c>
      <c r="U401" s="147" t="s">
        <v>37</v>
      </c>
      <c r="V401" s="129"/>
      <c r="W401" s="147" t="s">
        <v>2215</v>
      </c>
      <c r="X401" s="215" t="s">
        <v>1009</v>
      </c>
      <c r="Y401" s="216"/>
      <c r="Z401" s="216"/>
      <c r="AA401" s="215"/>
      <c r="AB401" s="305"/>
    </row>
    <row r="402" spans="1:28 16384:16384" ht="36" x14ac:dyDescent="0.25">
      <c r="B402" s="136">
        <v>1109324</v>
      </c>
      <c r="C402" s="128" t="s">
        <v>30</v>
      </c>
      <c r="D402" s="127" t="s">
        <v>2562</v>
      </c>
      <c r="E402" s="147" t="s">
        <v>2198</v>
      </c>
      <c r="F402" s="129" t="s">
        <v>1503</v>
      </c>
      <c r="G402" s="147" t="s">
        <v>34</v>
      </c>
      <c r="H402" s="191">
        <f t="shared" si="6"/>
        <v>14.950000000000001</v>
      </c>
      <c r="I402" s="222" t="s">
        <v>2256</v>
      </c>
      <c r="J402" s="146">
        <v>90</v>
      </c>
      <c r="K402" s="147">
        <v>9</v>
      </c>
      <c r="L402" s="147">
        <v>1</v>
      </c>
      <c r="M402" s="147">
        <v>10</v>
      </c>
      <c r="N402" s="289">
        <v>2200</v>
      </c>
      <c r="O402" s="174">
        <v>18.017155039462939</v>
      </c>
      <c r="P402" s="180">
        <v>46065</v>
      </c>
      <c r="Q402" s="174">
        <v>14.9</v>
      </c>
      <c r="R402" s="174">
        <v>0.05</v>
      </c>
      <c r="S402" s="147"/>
      <c r="T402" s="129" t="s">
        <v>2091</v>
      </c>
      <c r="U402" s="147" t="s">
        <v>37</v>
      </c>
      <c r="V402" s="129"/>
      <c r="W402" s="147" t="s">
        <v>2215</v>
      </c>
      <c r="X402" s="215" t="s">
        <v>1009</v>
      </c>
      <c r="Y402" s="216"/>
      <c r="Z402" s="216"/>
      <c r="AA402" s="215"/>
      <c r="AB402" s="305"/>
    </row>
    <row r="403" spans="1:28 16384:16384" ht="36" x14ac:dyDescent="0.25">
      <c r="B403" s="136">
        <v>1109325</v>
      </c>
      <c r="C403" s="128" t="s">
        <v>30</v>
      </c>
      <c r="D403" s="127" t="s">
        <v>2167</v>
      </c>
      <c r="E403" s="147" t="s">
        <v>259</v>
      </c>
      <c r="F403" s="129" t="s">
        <v>2091</v>
      </c>
      <c r="G403" s="147" t="s">
        <v>34</v>
      </c>
      <c r="H403" s="191">
        <f t="shared" si="6"/>
        <v>5.040066225165563</v>
      </c>
      <c r="I403" s="222" t="s">
        <v>2257</v>
      </c>
      <c r="J403" s="146">
        <v>90</v>
      </c>
      <c r="K403" s="147">
        <v>11</v>
      </c>
      <c r="L403" s="147">
        <v>1</v>
      </c>
      <c r="M403" s="147">
        <v>12</v>
      </c>
      <c r="N403" s="289">
        <v>284.39340000000004</v>
      </c>
      <c r="O403" s="195"/>
      <c r="P403" s="180">
        <v>45860</v>
      </c>
      <c r="Q403" s="174">
        <v>5.040066225165563</v>
      </c>
      <c r="R403" s="205">
        <v>0</v>
      </c>
      <c r="S403" s="147"/>
      <c r="T403" s="129" t="s">
        <v>2091</v>
      </c>
      <c r="U403" s="147" t="s">
        <v>37</v>
      </c>
      <c r="V403" s="129"/>
      <c r="W403" s="147" t="s">
        <v>2215</v>
      </c>
      <c r="X403" s="215" t="s">
        <v>1009</v>
      </c>
      <c r="Y403" s="216"/>
      <c r="Z403" s="216"/>
      <c r="AA403" s="215"/>
      <c r="AB403" s="305"/>
    </row>
    <row r="404" spans="1:28 16384:16384" ht="24" x14ac:dyDescent="0.25">
      <c r="B404" s="136">
        <v>1109326</v>
      </c>
      <c r="C404" s="128" t="s">
        <v>30</v>
      </c>
      <c r="D404" s="127" t="s">
        <v>2168</v>
      </c>
      <c r="E404" s="147" t="s">
        <v>80</v>
      </c>
      <c r="F404" s="129" t="s">
        <v>1791</v>
      </c>
      <c r="G404" s="147" t="s">
        <v>34</v>
      </c>
      <c r="H404" s="191">
        <f t="shared" si="6"/>
        <v>4.2</v>
      </c>
      <c r="I404" s="222" t="s">
        <v>2423</v>
      </c>
      <c r="J404" s="146">
        <v>30</v>
      </c>
      <c r="K404" s="147">
        <v>9</v>
      </c>
      <c r="L404" s="147">
        <v>1</v>
      </c>
      <c r="M404" s="147">
        <v>10</v>
      </c>
      <c r="N404" s="289">
        <v>5400</v>
      </c>
      <c r="O404" s="174"/>
      <c r="P404" s="180">
        <v>45961</v>
      </c>
      <c r="Q404" s="174">
        <v>4.1500000000000004</v>
      </c>
      <c r="R404" s="205">
        <v>0.05</v>
      </c>
      <c r="S404" s="147"/>
      <c r="T404" s="129" t="s">
        <v>2091</v>
      </c>
      <c r="U404" s="147" t="s">
        <v>37</v>
      </c>
      <c r="V404" s="129"/>
      <c r="W404" s="147" t="s">
        <v>2213</v>
      </c>
      <c r="X404" s="215" t="s">
        <v>1009</v>
      </c>
      <c r="Y404" s="216"/>
      <c r="Z404" s="216"/>
      <c r="AA404" s="215"/>
      <c r="AB404" s="305"/>
    </row>
    <row r="405" spans="1:28 16384:16384" ht="36" x14ac:dyDescent="0.25">
      <c r="B405" s="136">
        <v>1109327</v>
      </c>
      <c r="C405" s="128" t="s">
        <v>30</v>
      </c>
      <c r="D405" s="127" t="s">
        <v>2360</v>
      </c>
      <c r="E405" s="147" t="s">
        <v>32</v>
      </c>
      <c r="F405" s="129" t="s">
        <v>2357</v>
      </c>
      <c r="G405" s="147" t="s">
        <v>34</v>
      </c>
      <c r="H405" s="191">
        <f t="shared" si="6"/>
        <v>3.6</v>
      </c>
      <c r="I405" s="222" t="s">
        <v>2258</v>
      </c>
      <c r="J405" s="146">
        <v>30</v>
      </c>
      <c r="K405" s="147">
        <v>11</v>
      </c>
      <c r="L405" s="147">
        <v>1</v>
      </c>
      <c r="M405" s="147">
        <v>12</v>
      </c>
      <c r="N405" s="289">
        <v>4497</v>
      </c>
      <c r="O405" s="272">
        <f>3.51+0.05</f>
        <v>3.5599999999999996</v>
      </c>
      <c r="P405" s="180">
        <v>46127</v>
      </c>
      <c r="Q405" s="174">
        <v>3.6</v>
      </c>
      <c r="R405" s="205">
        <v>0</v>
      </c>
      <c r="S405" s="147"/>
      <c r="T405" s="129" t="s">
        <v>2091</v>
      </c>
      <c r="U405" s="147" t="s">
        <v>37</v>
      </c>
      <c r="V405" s="129"/>
      <c r="W405" s="147" t="s">
        <v>2213</v>
      </c>
      <c r="X405" s="215" t="s">
        <v>1009</v>
      </c>
      <c r="Y405" s="216"/>
      <c r="Z405" s="216"/>
      <c r="AA405" s="215"/>
      <c r="AB405" s="305"/>
    </row>
    <row r="406" spans="1:28 16384:16384" ht="36" x14ac:dyDescent="0.25">
      <c r="A406" s="270"/>
      <c r="B406" s="136">
        <v>1109328</v>
      </c>
      <c r="C406" s="128" t="s">
        <v>30</v>
      </c>
      <c r="D406" s="129" t="s">
        <v>2183</v>
      </c>
      <c r="E406" s="147" t="s">
        <v>32</v>
      </c>
      <c r="F406" s="129" t="s">
        <v>2091</v>
      </c>
      <c r="G406" s="147" t="s">
        <v>34</v>
      </c>
      <c r="H406" s="191">
        <f t="shared" si="6"/>
        <v>4.3499954640297558</v>
      </c>
      <c r="I406" s="222" t="s">
        <v>2259</v>
      </c>
      <c r="J406" s="146">
        <v>90</v>
      </c>
      <c r="K406" s="147">
        <v>11</v>
      </c>
      <c r="L406" s="147">
        <v>1</v>
      </c>
      <c r="M406" s="147">
        <v>12</v>
      </c>
      <c r="N406" s="281">
        <v>33.069000000000003</v>
      </c>
      <c r="O406" s="180"/>
      <c r="P406" s="283">
        <v>45943</v>
      </c>
      <c r="Q406" s="284">
        <f>9.59/2.2046</f>
        <v>4.3499954640297558</v>
      </c>
      <c r="R406" s="205">
        <v>0</v>
      </c>
      <c r="S406" s="129"/>
      <c r="T406" s="129" t="s">
        <v>2091</v>
      </c>
      <c r="U406" s="147" t="s">
        <v>37</v>
      </c>
      <c r="V406" s="147"/>
      <c r="W406" s="147" t="s">
        <v>2213</v>
      </c>
      <c r="X406" s="215" t="s">
        <v>1009</v>
      </c>
      <c r="Y406" s="216"/>
      <c r="Z406" s="215"/>
      <c r="AA406" s="215"/>
      <c r="AB406" s="305"/>
      <c r="XFD406" s="271"/>
    </row>
    <row r="407" spans="1:28 16384:16384" ht="24" x14ac:dyDescent="0.25">
      <c r="A407" s="270"/>
      <c r="B407" s="136">
        <v>1109329</v>
      </c>
      <c r="C407" s="128" t="s">
        <v>30</v>
      </c>
      <c r="D407" s="129" t="s">
        <v>2303</v>
      </c>
      <c r="E407" s="147" t="s">
        <v>131</v>
      </c>
      <c r="F407" s="129" t="s">
        <v>1791</v>
      </c>
      <c r="G407" s="147" t="s">
        <v>34</v>
      </c>
      <c r="H407" s="191">
        <f t="shared" si="6"/>
        <v>4.9737205081669691</v>
      </c>
      <c r="I407" s="222" t="s">
        <v>2306</v>
      </c>
      <c r="J407" s="146">
        <v>30</v>
      </c>
      <c r="K407" s="147">
        <v>9</v>
      </c>
      <c r="L407" s="147">
        <v>1</v>
      </c>
      <c r="M407" s="179">
        <v>10</v>
      </c>
      <c r="N407" s="289">
        <v>551</v>
      </c>
      <c r="O407" s="205">
        <v>4.4588587498866001</v>
      </c>
      <c r="P407" s="180">
        <v>45911</v>
      </c>
      <c r="Q407" s="205">
        <v>4.47</v>
      </c>
      <c r="R407" s="205">
        <f>0.453720508166969+0.05</f>
        <v>0.50372050816696901</v>
      </c>
      <c r="S407" s="129"/>
      <c r="T407" s="129" t="s">
        <v>2091</v>
      </c>
      <c r="U407" s="147" t="s">
        <v>37</v>
      </c>
      <c r="V407" s="147"/>
      <c r="W407" s="147" t="s">
        <v>2213</v>
      </c>
      <c r="X407" s="215" t="s">
        <v>1009</v>
      </c>
      <c r="Y407" s="216"/>
      <c r="Z407" s="215"/>
      <c r="AA407" s="215"/>
      <c r="AB407" s="305"/>
      <c r="XFD407" s="271"/>
    </row>
    <row r="408" spans="1:28 16384:16384" x14ac:dyDescent="0.25">
      <c r="B408" s="158">
        <v>1109330</v>
      </c>
      <c r="C408" s="128" t="s">
        <v>30</v>
      </c>
      <c r="D408" s="127" t="s">
        <v>2409</v>
      </c>
      <c r="E408" s="147" t="s">
        <v>2344</v>
      </c>
      <c r="F408" s="129" t="s">
        <v>307</v>
      </c>
      <c r="G408" s="147" t="s">
        <v>2276</v>
      </c>
      <c r="H408" s="191">
        <f t="shared" si="6"/>
        <v>1.2150000000000001</v>
      </c>
      <c r="I408" s="129" t="s">
        <v>2084</v>
      </c>
      <c r="J408" s="146"/>
      <c r="K408" s="147">
        <v>9</v>
      </c>
      <c r="L408" s="147">
        <v>1</v>
      </c>
      <c r="M408" s="147">
        <v>10</v>
      </c>
      <c r="N408" s="289">
        <v>1500</v>
      </c>
      <c r="O408" s="195">
        <f>2.05+0.21</f>
        <v>2.2599999999999998</v>
      </c>
      <c r="P408" s="180">
        <v>46041</v>
      </c>
      <c r="Q408" s="174">
        <v>1.165</v>
      </c>
      <c r="R408" s="205">
        <v>0.05</v>
      </c>
      <c r="S408" s="147"/>
      <c r="T408" s="129" t="s">
        <v>358</v>
      </c>
      <c r="U408" s="147" t="s">
        <v>37</v>
      </c>
      <c r="V408" s="129"/>
      <c r="W408" s="147" t="s">
        <v>2213</v>
      </c>
      <c r="X408" s="215" t="s">
        <v>1009</v>
      </c>
      <c r="Y408" s="216"/>
      <c r="Z408" s="216"/>
      <c r="AA408" s="263"/>
      <c r="AB408" s="305"/>
    </row>
    <row r="409" spans="1:28 16384:16384" ht="24" x14ac:dyDescent="0.25">
      <c r="A409" s="270"/>
      <c r="B409" s="136">
        <v>1109331</v>
      </c>
      <c r="C409" s="128" t="s">
        <v>30</v>
      </c>
      <c r="D409" s="129" t="s">
        <v>2424</v>
      </c>
      <c r="E409" s="147" t="s">
        <v>843</v>
      </c>
      <c r="F409" s="129" t="s">
        <v>1791</v>
      </c>
      <c r="G409" s="147" t="s">
        <v>34</v>
      </c>
      <c r="H409" s="191">
        <f t="shared" si="6"/>
        <v>8.8600000000000012</v>
      </c>
      <c r="I409" s="136" t="s">
        <v>2425</v>
      </c>
      <c r="J409" s="146">
        <v>30</v>
      </c>
      <c r="K409" s="147">
        <v>9</v>
      </c>
      <c r="L409" s="147">
        <v>1</v>
      </c>
      <c r="M409" s="147">
        <v>10</v>
      </c>
      <c r="N409" s="281">
        <v>550</v>
      </c>
      <c r="O409" s="205">
        <v>9.5164655719858473</v>
      </c>
      <c r="P409" s="180">
        <v>45961</v>
      </c>
      <c r="Q409" s="284">
        <v>8.81</v>
      </c>
      <c r="R409" s="282">
        <v>0.05</v>
      </c>
      <c r="S409" s="129"/>
      <c r="T409" s="129" t="s">
        <v>2091</v>
      </c>
      <c r="U409" s="147" t="s">
        <v>37</v>
      </c>
      <c r="V409" s="147"/>
      <c r="W409" s="147" t="s">
        <v>2215</v>
      </c>
      <c r="X409" s="215" t="s">
        <v>1009</v>
      </c>
      <c r="Y409" s="216"/>
      <c r="Z409" s="215"/>
      <c r="AA409" s="215"/>
      <c r="AB409" s="305"/>
      <c r="XFD409" s="271"/>
    </row>
    <row r="410" spans="1:28 16384:16384" ht="24" x14ac:dyDescent="0.25">
      <c r="B410" s="136">
        <v>1109332</v>
      </c>
      <c r="C410" s="128" t="s">
        <v>30</v>
      </c>
      <c r="D410" s="127" t="s">
        <v>2333</v>
      </c>
      <c r="E410" s="147" t="s">
        <v>259</v>
      </c>
      <c r="F410" s="129" t="s">
        <v>2015</v>
      </c>
      <c r="G410" s="147" t="s">
        <v>34</v>
      </c>
      <c r="H410" s="191">
        <f t="shared" si="6"/>
        <v>3.4099999999999997</v>
      </c>
      <c r="I410" s="136" t="s">
        <v>2332</v>
      </c>
      <c r="J410" s="146">
        <v>0</v>
      </c>
      <c r="K410" s="147">
        <v>9</v>
      </c>
      <c r="L410" s="147">
        <v>1</v>
      </c>
      <c r="M410" s="147">
        <v>10</v>
      </c>
      <c r="N410" s="289">
        <v>9924</v>
      </c>
      <c r="O410" s="195">
        <v>4.2728839698811569</v>
      </c>
      <c r="P410" s="180">
        <v>46170</v>
      </c>
      <c r="Q410" s="174">
        <v>3.36</v>
      </c>
      <c r="R410" s="205">
        <v>0.05</v>
      </c>
      <c r="S410" s="147"/>
      <c r="T410" s="129" t="s">
        <v>2091</v>
      </c>
      <c r="U410" s="147" t="s">
        <v>37</v>
      </c>
      <c r="V410" s="129"/>
      <c r="W410" s="147" t="s">
        <v>2213</v>
      </c>
      <c r="X410" s="217" t="s">
        <v>1009</v>
      </c>
      <c r="Y410" s="216"/>
      <c r="Z410" s="216"/>
      <c r="AA410" s="263"/>
      <c r="AB410" s="305"/>
    </row>
    <row r="411" spans="1:28 16384:16384" ht="24" x14ac:dyDescent="0.25">
      <c r="B411" s="136">
        <v>1109333</v>
      </c>
      <c r="C411" s="128" t="s">
        <v>30</v>
      </c>
      <c r="D411" s="127" t="s">
        <v>2407</v>
      </c>
      <c r="E411" s="147" t="s">
        <v>32</v>
      </c>
      <c r="F411" s="129" t="s">
        <v>323</v>
      </c>
      <c r="G411" s="147" t="s">
        <v>34</v>
      </c>
      <c r="H411" s="191">
        <f t="shared" si="6"/>
        <v>5.38</v>
      </c>
      <c r="I411" s="136" t="s">
        <v>2359</v>
      </c>
      <c r="J411" s="146">
        <v>90</v>
      </c>
      <c r="K411" s="147">
        <v>9</v>
      </c>
      <c r="L411" s="147">
        <v>1</v>
      </c>
      <c r="M411" s="147">
        <v>10</v>
      </c>
      <c r="N411" s="289">
        <v>4497</v>
      </c>
      <c r="O411" s="174">
        <f>11.85/2.2046</f>
        <v>5.375124739181711</v>
      </c>
      <c r="P411" s="180">
        <v>45946</v>
      </c>
      <c r="Q411" s="174">
        <v>5.33</v>
      </c>
      <c r="R411" s="205">
        <v>0.05</v>
      </c>
      <c r="S411" s="147"/>
      <c r="T411" s="129" t="s">
        <v>2091</v>
      </c>
      <c r="U411" s="147" t="s">
        <v>37</v>
      </c>
      <c r="V411" s="129"/>
      <c r="W411" s="147" t="s">
        <v>2213</v>
      </c>
      <c r="X411" s="215" t="s">
        <v>1009</v>
      </c>
      <c r="Y411" s="216"/>
      <c r="Z411" s="216"/>
      <c r="AA411" s="263"/>
      <c r="AB411" s="305"/>
    </row>
    <row r="412" spans="1:28 16384:16384" ht="36" x14ac:dyDescent="0.25">
      <c r="B412" s="136">
        <v>1109334</v>
      </c>
      <c r="C412" s="128" t="s">
        <v>30</v>
      </c>
      <c r="D412" s="127" t="s">
        <v>2688</v>
      </c>
      <c r="E412" s="147" t="s">
        <v>32</v>
      </c>
      <c r="F412" s="129" t="s">
        <v>2357</v>
      </c>
      <c r="G412" s="147" t="s">
        <v>34</v>
      </c>
      <c r="H412" s="191">
        <f t="shared" si="6"/>
        <v>9.906559012972874</v>
      </c>
      <c r="I412" s="136" t="s">
        <v>2260</v>
      </c>
      <c r="J412" s="146">
        <v>30</v>
      </c>
      <c r="K412" s="147">
        <v>11</v>
      </c>
      <c r="L412" s="147">
        <v>1</v>
      </c>
      <c r="M412" s="147">
        <v>12</v>
      </c>
      <c r="N412" s="289">
        <f>250*2.2046</f>
        <v>551.15</v>
      </c>
      <c r="O412" s="174">
        <f>4.86/2.2046</f>
        <v>2.2044815386011067</v>
      </c>
      <c r="P412" s="180">
        <v>46002</v>
      </c>
      <c r="Q412" s="174">
        <f>21.84/2.2046</f>
        <v>9.906559012972874</v>
      </c>
      <c r="R412" s="205">
        <v>0</v>
      </c>
      <c r="S412" s="147"/>
      <c r="T412" s="129" t="s">
        <v>2091</v>
      </c>
      <c r="U412" s="147" t="s">
        <v>37</v>
      </c>
      <c r="V412" s="129"/>
      <c r="W412" s="147" t="s">
        <v>2213</v>
      </c>
      <c r="X412" s="217" t="s">
        <v>1009</v>
      </c>
      <c r="Y412" s="216"/>
      <c r="Z412" s="216"/>
      <c r="AA412" s="263"/>
      <c r="AB412" s="305"/>
    </row>
    <row r="413" spans="1:28 16384:16384" ht="24" x14ac:dyDescent="0.25">
      <c r="B413" s="136">
        <v>1109335</v>
      </c>
      <c r="C413" s="128" t="s">
        <v>30</v>
      </c>
      <c r="D413" s="127" t="s">
        <v>2275</v>
      </c>
      <c r="E413" s="147" t="s">
        <v>2199</v>
      </c>
      <c r="F413" s="129" t="s">
        <v>1791</v>
      </c>
      <c r="G413" s="147" t="s">
        <v>34</v>
      </c>
      <c r="H413" s="191">
        <f t="shared" si="6"/>
        <v>7.4799999999999995</v>
      </c>
      <c r="I413" s="136" t="s">
        <v>2421</v>
      </c>
      <c r="J413" s="146">
        <v>30</v>
      </c>
      <c r="K413" s="147">
        <v>9</v>
      </c>
      <c r="L413" s="147">
        <v>1</v>
      </c>
      <c r="M413" s="147">
        <v>10</v>
      </c>
      <c r="N413" s="289">
        <v>55</v>
      </c>
      <c r="O413" s="174">
        <v>9.493785720765672</v>
      </c>
      <c r="P413" s="180">
        <v>45961</v>
      </c>
      <c r="Q413" s="174">
        <v>7.43</v>
      </c>
      <c r="R413" s="205">
        <v>0.05</v>
      </c>
      <c r="S413" s="147"/>
      <c r="T413" s="129" t="s">
        <v>2091</v>
      </c>
      <c r="U413" s="147" t="s">
        <v>37</v>
      </c>
      <c r="V413" s="129"/>
      <c r="W413" s="147" t="s">
        <v>2213</v>
      </c>
      <c r="X413" s="215" t="s">
        <v>1009</v>
      </c>
      <c r="Y413" s="216"/>
      <c r="Z413" s="216"/>
      <c r="AA413" s="263"/>
      <c r="AB413" s="305"/>
    </row>
    <row r="414" spans="1:28 16384:16384" ht="36" hidden="1" x14ac:dyDescent="0.25">
      <c r="B414" s="136">
        <v>1109336</v>
      </c>
      <c r="C414" s="128" t="s">
        <v>30</v>
      </c>
      <c r="D414" s="127" t="s">
        <v>2401</v>
      </c>
      <c r="E414" s="147" t="s">
        <v>66</v>
      </c>
      <c r="F414" s="129" t="s">
        <v>2091</v>
      </c>
      <c r="G414" s="147" t="s">
        <v>34</v>
      </c>
      <c r="H414" s="191">
        <f t="shared" si="6"/>
        <v>3.3475460400979768</v>
      </c>
      <c r="I414" s="136" t="s">
        <v>2261</v>
      </c>
      <c r="J414" s="146">
        <v>90</v>
      </c>
      <c r="K414" s="147">
        <v>11</v>
      </c>
      <c r="L414" s="147">
        <v>1</v>
      </c>
      <c r="M414" s="147">
        <v>12</v>
      </c>
      <c r="N414" s="289">
        <f>15.9*2.2046</f>
        <v>35.053139999999999</v>
      </c>
      <c r="O414" s="195"/>
      <c r="P414" s="180">
        <v>45891</v>
      </c>
      <c r="Q414" s="174">
        <f>7.38/2.2046</f>
        <v>3.3475460400979768</v>
      </c>
      <c r="R414" s="205"/>
      <c r="S414" s="147"/>
      <c r="T414" s="129" t="s">
        <v>2091</v>
      </c>
      <c r="U414" s="147" t="s">
        <v>37</v>
      </c>
      <c r="V414" s="129"/>
      <c r="W414" s="147" t="s">
        <v>2214</v>
      </c>
      <c r="X414" s="215" t="s">
        <v>1009</v>
      </c>
      <c r="Y414" s="216"/>
      <c r="Z414" s="216"/>
      <c r="AA414" s="263"/>
      <c r="AB414" s="305"/>
    </row>
    <row r="415" spans="1:28 16384:16384" ht="36" x14ac:dyDescent="0.25">
      <c r="B415" s="136">
        <v>1109337</v>
      </c>
      <c r="C415" s="128" t="s">
        <v>30</v>
      </c>
      <c r="D415" s="127" t="s">
        <v>2273</v>
      </c>
      <c r="E415" s="147" t="s">
        <v>32</v>
      </c>
      <c r="F415" s="129" t="s">
        <v>2357</v>
      </c>
      <c r="G415" s="147" t="s">
        <v>34</v>
      </c>
      <c r="H415" s="191">
        <f t="shared" si="6"/>
        <v>4.1500000000000004</v>
      </c>
      <c r="I415" s="136" t="s">
        <v>2262</v>
      </c>
      <c r="J415" s="146">
        <v>30</v>
      </c>
      <c r="K415" s="147">
        <v>11</v>
      </c>
      <c r="L415" s="147">
        <v>1</v>
      </c>
      <c r="M415" s="147">
        <v>12</v>
      </c>
      <c r="N415" s="289">
        <f>2040*2.2046</f>
        <v>4497.384</v>
      </c>
      <c r="O415" s="174">
        <f>9/2.2046</f>
        <v>4.0823732196316787</v>
      </c>
      <c r="P415" s="180">
        <v>46112</v>
      </c>
      <c r="Q415" s="174">
        <v>4.1500000000000004</v>
      </c>
      <c r="R415" s="205">
        <v>0</v>
      </c>
      <c r="S415" s="147"/>
      <c r="T415" s="129" t="s">
        <v>2091</v>
      </c>
      <c r="U415" s="147" t="s">
        <v>37</v>
      </c>
      <c r="V415" s="129"/>
      <c r="W415" s="147" t="s">
        <v>2213</v>
      </c>
      <c r="X415" s="215" t="s">
        <v>1009</v>
      </c>
      <c r="Y415" s="216"/>
      <c r="Z415" s="216"/>
      <c r="AA415" s="263"/>
      <c r="AB415" s="305"/>
    </row>
    <row r="416" spans="1:28 16384:16384" ht="48" x14ac:dyDescent="0.25">
      <c r="B416" s="136">
        <v>1109338</v>
      </c>
      <c r="C416" s="128" t="s">
        <v>30</v>
      </c>
      <c r="D416" s="127" t="s">
        <v>2185</v>
      </c>
      <c r="E416" s="147" t="s">
        <v>843</v>
      </c>
      <c r="F416" s="129" t="s">
        <v>2091</v>
      </c>
      <c r="G416" s="147" t="s">
        <v>34</v>
      </c>
      <c r="H416" s="191">
        <f t="shared" si="6"/>
        <v>9.2034836251474186</v>
      </c>
      <c r="I416" s="136" t="s">
        <v>2274</v>
      </c>
      <c r="J416" s="146">
        <v>90</v>
      </c>
      <c r="K416" s="147">
        <v>6</v>
      </c>
      <c r="L416" s="147">
        <v>1</v>
      </c>
      <c r="M416" s="147">
        <v>7</v>
      </c>
      <c r="N416" s="289">
        <v>53.351320000000001</v>
      </c>
      <c r="O416" s="195"/>
      <c r="P416" s="180">
        <v>45875</v>
      </c>
      <c r="Q416" s="174">
        <v>9.2034836251474186</v>
      </c>
      <c r="R416" s="205">
        <v>0</v>
      </c>
      <c r="S416" s="147"/>
      <c r="T416" s="129" t="s">
        <v>2091</v>
      </c>
      <c r="U416" s="147" t="s">
        <v>37</v>
      </c>
      <c r="V416" s="129"/>
      <c r="W416" s="147" t="s">
        <v>2215</v>
      </c>
      <c r="X416" s="215" t="s">
        <v>1009</v>
      </c>
      <c r="Y416" s="216"/>
      <c r="Z416" s="216"/>
      <c r="AA416" s="263"/>
      <c r="AB416" s="305"/>
    </row>
    <row r="417" spans="2:28" ht="24" x14ac:dyDescent="0.25">
      <c r="B417" s="136">
        <v>1109339</v>
      </c>
      <c r="C417" s="128" t="s">
        <v>30</v>
      </c>
      <c r="D417" s="127" t="s">
        <v>2362</v>
      </c>
      <c r="E417" s="147" t="s">
        <v>545</v>
      </c>
      <c r="F417" s="129" t="s">
        <v>1503</v>
      </c>
      <c r="G417" s="147" t="s">
        <v>34</v>
      </c>
      <c r="H417" s="191">
        <f t="shared" si="6"/>
        <v>16.822727272727271</v>
      </c>
      <c r="I417" s="136" t="s">
        <v>2310</v>
      </c>
      <c r="J417" s="146">
        <v>90</v>
      </c>
      <c r="K417" s="147">
        <v>9</v>
      </c>
      <c r="L417" s="147">
        <v>1</v>
      </c>
      <c r="M417" s="147">
        <v>10</v>
      </c>
      <c r="N417" s="289">
        <v>110</v>
      </c>
      <c r="O417" s="195"/>
      <c r="P417" s="180">
        <v>45701</v>
      </c>
      <c r="Q417" s="174">
        <v>14.5</v>
      </c>
      <c r="R417" s="205">
        <f>2.27272727272727+0.05</f>
        <v>2.3227272727272696</v>
      </c>
      <c r="S417" s="147"/>
      <c r="T417" s="129" t="s">
        <v>2091</v>
      </c>
      <c r="U417" s="147" t="s">
        <v>37</v>
      </c>
      <c r="V417" s="129"/>
      <c r="W417" s="147" t="s">
        <v>2213</v>
      </c>
      <c r="X417" s="217" t="s">
        <v>1009</v>
      </c>
      <c r="Y417" s="216"/>
      <c r="Z417" s="216"/>
      <c r="AA417" s="263"/>
      <c r="AB417" s="305"/>
    </row>
    <row r="418" spans="2:28" ht="48" x14ac:dyDescent="0.25">
      <c r="B418" s="136">
        <v>1109340</v>
      </c>
      <c r="C418" s="128" t="s">
        <v>30</v>
      </c>
      <c r="D418" s="127" t="s">
        <v>2186</v>
      </c>
      <c r="E418" s="147" t="s">
        <v>545</v>
      </c>
      <c r="F418" s="129" t="s">
        <v>2091</v>
      </c>
      <c r="G418" s="147" t="s">
        <v>34</v>
      </c>
      <c r="H418" s="191">
        <f t="shared" si="6"/>
        <v>8.4226163476367599</v>
      </c>
      <c r="I418" s="136" t="s">
        <v>2355</v>
      </c>
      <c r="J418" s="146">
        <v>90</v>
      </c>
      <c r="K418" s="147">
        <v>8</v>
      </c>
      <c r="L418" s="147">
        <v>2</v>
      </c>
      <c r="M418" s="147">
        <v>10</v>
      </c>
      <c r="N418" s="289">
        <f>25*2.2046</f>
        <v>55.115000000000002</v>
      </c>
      <c r="O418" s="195"/>
      <c r="P418" s="180">
        <v>45945</v>
      </c>
      <c r="Q418" s="174">
        <f>18.5685/2.2046</f>
        <v>8.4226163476367599</v>
      </c>
      <c r="R418" s="205"/>
      <c r="S418" s="147"/>
      <c r="T418" s="129" t="s">
        <v>2091</v>
      </c>
      <c r="U418" s="147" t="s">
        <v>37</v>
      </c>
      <c r="V418" s="129"/>
      <c r="W418" s="147" t="s">
        <v>2215</v>
      </c>
      <c r="X418" s="215" t="s">
        <v>1009</v>
      </c>
      <c r="Y418" s="216"/>
      <c r="Z418" s="216"/>
      <c r="AA418" s="263"/>
      <c r="AB418" s="305"/>
    </row>
    <row r="419" spans="2:28" ht="36" x14ac:dyDescent="0.25">
      <c r="B419" s="136">
        <v>1109341</v>
      </c>
      <c r="C419" s="128" t="s">
        <v>30</v>
      </c>
      <c r="D419" s="127" t="s">
        <v>2682</v>
      </c>
      <c r="E419" s="147" t="s">
        <v>32</v>
      </c>
      <c r="F419" s="129" t="s">
        <v>2091</v>
      </c>
      <c r="G419" s="147" t="s">
        <v>34</v>
      </c>
      <c r="H419" s="191">
        <f t="shared" si="6"/>
        <v>7.8517644924249286</v>
      </c>
      <c r="I419" s="136" t="s">
        <v>2263</v>
      </c>
      <c r="J419" s="146">
        <v>90</v>
      </c>
      <c r="K419" s="147">
        <v>11</v>
      </c>
      <c r="L419" s="147">
        <v>1</v>
      </c>
      <c r="M419" s="147">
        <v>12</v>
      </c>
      <c r="N419" s="289">
        <f>625*2.2046</f>
        <v>1377.875</v>
      </c>
      <c r="O419" s="195"/>
      <c r="P419" s="180">
        <v>45891</v>
      </c>
      <c r="Q419" s="174">
        <f>17.31/2.2046</f>
        <v>7.8517644924249286</v>
      </c>
      <c r="R419" s="205"/>
      <c r="S419" s="147"/>
      <c r="T419" s="129" t="s">
        <v>2091</v>
      </c>
      <c r="U419" s="147" t="s">
        <v>37</v>
      </c>
      <c r="V419" s="129"/>
      <c r="W419" s="147" t="s">
        <v>2215</v>
      </c>
      <c r="X419" s="215" t="s">
        <v>1009</v>
      </c>
      <c r="Y419" s="216"/>
      <c r="Z419" s="216"/>
      <c r="AA419" s="263"/>
      <c r="AB419" s="305"/>
    </row>
    <row r="420" spans="2:28" ht="24" x14ac:dyDescent="0.25">
      <c r="B420" s="136">
        <v>1109342</v>
      </c>
      <c r="C420" s="128" t="s">
        <v>30</v>
      </c>
      <c r="D420" s="128" t="s">
        <v>2507</v>
      </c>
      <c r="E420" s="147" t="s">
        <v>259</v>
      </c>
      <c r="F420" s="129" t="s">
        <v>2015</v>
      </c>
      <c r="G420" s="147" t="s">
        <v>34</v>
      </c>
      <c r="H420" s="191">
        <f t="shared" si="6"/>
        <v>2.92</v>
      </c>
      <c r="I420" s="136" t="s">
        <v>2508</v>
      </c>
      <c r="J420" s="146">
        <v>0</v>
      </c>
      <c r="K420" s="147">
        <v>9</v>
      </c>
      <c r="L420" s="147">
        <v>1</v>
      </c>
      <c r="M420" s="147">
        <v>10</v>
      </c>
      <c r="N420" s="289">
        <v>6616</v>
      </c>
      <c r="O420" s="174">
        <f>18.6/2.2046</f>
        <v>8.4369046539054704</v>
      </c>
      <c r="P420" s="180">
        <v>46170</v>
      </c>
      <c r="Q420" s="174">
        <v>2.87</v>
      </c>
      <c r="R420" s="205">
        <v>0.05</v>
      </c>
      <c r="S420" s="147"/>
      <c r="T420" s="129" t="s">
        <v>2091</v>
      </c>
      <c r="U420" s="147" t="s">
        <v>37</v>
      </c>
      <c r="V420" s="129"/>
      <c r="W420" s="147" t="s">
        <v>2215</v>
      </c>
      <c r="X420" s="215" t="s">
        <v>1009</v>
      </c>
      <c r="Y420" s="216"/>
      <c r="Z420" s="216"/>
      <c r="AA420" s="263"/>
      <c r="AB420" s="305"/>
    </row>
    <row r="421" spans="2:28" ht="24" x14ac:dyDescent="0.25">
      <c r="B421" s="136">
        <v>1109343</v>
      </c>
      <c r="C421" s="128" t="s">
        <v>30</v>
      </c>
      <c r="D421" s="127" t="s">
        <v>2187</v>
      </c>
      <c r="E421" s="147" t="s">
        <v>32</v>
      </c>
      <c r="F421" s="129" t="s">
        <v>1503</v>
      </c>
      <c r="G421" s="147" t="s">
        <v>34</v>
      </c>
      <c r="H421" s="191">
        <f t="shared" si="6"/>
        <v>45.957799999999999</v>
      </c>
      <c r="I421" s="136" t="s">
        <v>2422</v>
      </c>
      <c r="J421" s="146">
        <v>90</v>
      </c>
      <c r="K421" s="147">
        <v>9</v>
      </c>
      <c r="L421" s="147">
        <v>1</v>
      </c>
      <c r="M421" s="147">
        <v>10</v>
      </c>
      <c r="N421" s="289">
        <v>107</v>
      </c>
      <c r="O421" s="174"/>
      <c r="P421" s="180">
        <v>45961</v>
      </c>
      <c r="Q421" s="174">
        <v>19.989999999999998</v>
      </c>
      <c r="R421" s="205">
        <f>25.9178+0.05</f>
        <v>25.9678</v>
      </c>
      <c r="S421" s="147"/>
      <c r="T421" s="129" t="s">
        <v>2091</v>
      </c>
      <c r="U421" s="147" t="s">
        <v>37</v>
      </c>
      <c r="V421" s="129"/>
      <c r="W421" s="147" t="s">
        <v>2213</v>
      </c>
      <c r="X421" s="215" t="s">
        <v>1009</v>
      </c>
      <c r="Y421" s="216"/>
      <c r="Z421" s="216"/>
      <c r="AA421" s="263"/>
      <c r="AB421" s="305"/>
    </row>
    <row r="422" spans="2:28" ht="24" x14ac:dyDescent="0.25">
      <c r="B422" s="136">
        <v>1109344</v>
      </c>
      <c r="C422" s="128" t="s">
        <v>30</v>
      </c>
      <c r="D422" s="127" t="s">
        <v>2435</v>
      </c>
      <c r="E422" s="147" t="s">
        <v>146</v>
      </c>
      <c r="F422" s="129" t="s">
        <v>1791</v>
      </c>
      <c r="G422" s="147" t="s">
        <v>34</v>
      </c>
      <c r="H422" s="191">
        <f t="shared" si="6"/>
        <v>3.0549999999999997</v>
      </c>
      <c r="I422" s="136" t="s">
        <v>2436</v>
      </c>
      <c r="J422" s="146">
        <v>30</v>
      </c>
      <c r="K422" s="147">
        <v>10</v>
      </c>
      <c r="L422" s="147">
        <v>1</v>
      </c>
      <c r="M422" s="147">
        <v>11</v>
      </c>
      <c r="N422" s="289">
        <v>1500</v>
      </c>
      <c r="O422" s="174"/>
      <c r="P422" s="180">
        <v>45971</v>
      </c>
      <c r="Q422" s="174">
        <v>3.0049999999999999</v>
      </c>
      <c r="R422" s="205">
        <v>0.05</v>
      </c>
      <c r="S422" s="147"/>
      <c r="T422" s="129" t="s">
        <v>2091</v>
      </c>
      <c r="U422" s="147" t="s">
        <v>37</v>
      </c>
      <c r="V422" s="129"/>
      <c r="W422" s="147" t="s">
        <v>2213</v>
      </c>
      <c r="X422" s="215" t="s">
        <v>1009</v>
      </c>
      <c r="Y422" s="216"/>
      <c r="Z422" s="216"/>
      <c r="AA422" s="263"/>
      <c r="AB422" s="305"/>
    </row>
    <row r="423" spans="2:28" ht="24" x14ac:dyDescent="0.25">
      <c r="B423" s="136">
        <v>1109345</v>
      </c>
      <c r="C423" s="128" t="s">
        <v>30</v>
      </c>
      <c r="D423" s="127" t="s">
        <v>2462</v>
      </c>
      <c r="E423" s="147" t="s">
        <v>1690</v>
      </c>
      <c r="F423" s="129" t="s">
        <v>1503</v>
      </c>
      <c r="G423" s="147" t="s">
        <v>34</v>
      </c>
      <c r="H423" s="191">
        <f t="shared" si="6"/>
        <v>11.586</v>
      </c>
      <c r="I423" s="136" t="s">
        <v>2371</v>
      </c>
      <c r="J423" s="146">
        <v>90</v>
      </c>
      <c r="K423" s="147">
        <v>9</v>
      </c>
      <c r="L423" s="147">
        <v>1</v>
      </c>
      <c r="M423" s="147">
        <v>10</v>
      </c>
      <c r="N423" s="289">
        <v>55</v>
      </c>
      <c r="O423" s="195"/>
      <c r="P423" s="180">
        <v>45952</v>
      </c>
      <c r="Q423" s="174">
        <v>6.9</v>
      </c>
      <c r="R423" s="205">
        <f>4.636+0.05</f>
        <v>4.6859999999999999</v>
      </c>
      <c r="S423" s="147"/>
      <c r="T423" s="129" t="s">
        <v>2091</v>
      </c>
      <c r="U423" s="147" t="s">
        <v>37</v>
      </c>
      <c r="V423" s="129"/>
      <c r="W423" s="147" t="s">
        <v>2213</v>
      </c>
      <c r="X423" s="215" t="s">
        <v>1856</v>
      </c>
      <c r="Y423" s="216"/>
      <c r="Z423" s="216"/>
      <c r="AA423" s="263"/>
      <c r="AB423" s="305"/>
    </row>
    <row r="424" spans="2:28" ht="24" x14ac:dyDescent="0.25">
      <c r="B424" s="136">
        <v>1109346</v>
      </c>
      <c r="C424" s="128" t="s">
        <v>30</v>
      </c>
      <c r="D424" s="127" t="s">
        <v>2589</v>
      </c>
      <c r="E424" s="147" t="s">
        <v>2200</v>
      </c>
      <c r="F424" s="129" t="s">
        <v>1503</v>
      </c>
      <c r="G424" s="147" t="s">
        <v>34</v>
      </c>
      <c r="H424" s="191">
        <f t="shared" si="6"/>
        <v>27.0806</v>
      </c>
      <c r="I424" s="136" t="s">
        <v>2434</v>
      </c>
      <c r="J424" s="146">
        <v>90</v>
      </c>
      <c r="K424" s="147">
        <v>8</v>
      </c>
      <c r="L424" s="147">
        <v>1</v>
      </c>
      <c r="M424" s="147">
        <v>9</v>
      </c>
      <c r="N424" s="289">
        <v>50</v>
      </c>
      <c r="O424" s="174">
        <f>66.28/2.2046</f>
        <v>30.064410777465298</v>
      </c>
      <c r="P424" s="180">
        <v>45971</v>
      </c>
      <c r="Q424" s="174">
        <v>24.98</v>
      </c>
      <c r="R424" s="205">
        <f>2.0506+0.05</f>
        <v>2.1006</v>
      </c>
      <c r="S424" s="147"/>
      <c r="T424" s="129" t="s">
        <v>2091</v>
      </c>
      <c r="U424" s="147" t="s">
        <v>37</v>
      </c>
      <c r="V424" s="129"/>
      <c r="W424" s="147" t="s">
        <v>2215</v>
      </c>
      <c r="X424" s="215" t="s">
        <v>1009</v>
      </c>
      <c r="Y424" s="216"/>
      <c r="Z424" s="216"/>
      <c r="AA424" s="263"/>
      <c r="AB424" s="305"/>
    </row>
    <row r="425" spans="2:28" ht="36" x14ac:dyDescent="0.25">
      <c r="B425" s="136">
        <v>1109347</v>
      </c>
      <c r="C425" s="128" t="s">
        <v>30</v>
      </c>
      <c r="D425" s="127" t="s">
        <v>2500</v>
      </c>
      <c r="E425" s="147" t="s">
        <v>37</v>
      </c>
      <c r="F425" s="129" t="s">
        <v>1838</v>
      </c>
      <c r="G425" s="147" t="s">
        <v>34</v>
      </c>
      <c r="H425" s="191">
        <f t="shared" si="6"/>
        <v>18.68</v>
      </c>
      <c r="I425" s="136" t="s">
        <v>2264</v>
      </c>
      <c r="J425" s="146">
        <v>0</v>
      </c>
      <c r="K425" s="147">
        <v>9</v>
      </c>
      <c r="L425" s="147">
        <v>1</v>
      </c>
      <c r="M425" s="147">
        <v>10</v>
      </c>
      <c r="N425" s="289">
        <v>220</v>
      </c>
      <c r="O425" s="174">
        <f>76.134/2.2046</f>
        <v>34.534155855937584</v>
      </c>
      <c r="P425" s="180">
        <v>46031</v>
      </c>
      <c r="Q425" s="174">
        <v>18.63</v>
      </c>
      <c r="R425" s="174">
        <v>0.05</v>
      </c>
      <c r="S425" s="147"/>
      <c r="T425" s="129" t="s">
        <v>2091</v>
      </c>
      <c r="U425" s="147" t="s">
        <v>37</v>
      </c>
      <c r="V425" s="129"/>
      <c r="W425" s="147" t="s">
        <v>2213</v>
      </c>
      <c r="X425" s="215" t="s">
        <v>1009</v>
      </c>
      <c r="Y425" s="216"/>
      <c r="Z425" s="216"/>
      <c r="AA425" s="263"/>
      <c r="AB425" s="305"/>
    </row>
    <row r="426" spans="2:28" ht="24" x14ac:dyDescent="0.25">
      <c r="B426" s="136">
        <v>1109348</v>
      </c>
      <c r="C426" s="128" t="s">
        <v>30</v>
      </c>
      <c r="D426" s="127" t="s">
        <v>2364</v>
      </c>
      <c r="E426" s="147" t="s">
        <v>2200</v>
      </c>
      <c r="F426" s="129" t="s">
        <v>1503</v>
      </c>
      <c r="G426" s="147" t="s">
        <v>34</v>
      </c>
      <c r="H426" s="191">
        <f t="shared" si="6"/>
        <v>22.3309</v>
      </c>
      <c r="I426" s="136" t="s">
        <v>2372</v>
      </c>
      <c r="J426" s="146">
        <v>90</v>
      </c>
      <c r="K426" s="147">
        <v>9</v>
      </c>
      <c r="L426" s="147">
        <v>1</v>
      </c>
      <c r="M426" s="147">
        <v>10</v>
      </c>
      <c r="N426" s="289" t="s">
        <v>2363</v>
      </c>
      <c r="O426" s="174">
        <f>63.92/2.2046</f>
        <v>28.993921799872993</v>
      </c>
      <c r="P426" s="180">
        <v>45951</v>
      </c>
      <c r="Q426" s="174">
        <v>21.9</v>
      </c>
      <c r="R426" s="205">
        <f>0.3809+0.05</f>
        <v>0.43090000000000001</v>
      </c>
      <c r="S426" s="147"/>
      <c r="T426" s="129" t="s">
        <v>2091</v>
      </c>
      <c r="U426" s="147" t="s">
        <v>37</v>
      </c>
      <c r="V426" s="129"/>
      <c r="W426" s="147" t="s">
        <v>2213</v>
      </c>
      <c r="X426" s="215" t="s">
        <v>1009</v>
      </c>
      <c r="Y426" s="216"/>
      <c r="Z426" s="216"/>
      <c r="AA426" s="263"/>
      <c r="AB426" s="305"/>
    </row>
    <row r="427" spans="2:28" ht="24" x14ac:dyDescent="0.25">
      <c r="B427" s="136">
        <v>1109349</v>
      </c>
      <c r="C427" s="128" t="s">
        <v>30</v>
      </c>
      <c r="D427" s="127" t="s">
        <v>2188</v>
      </c>
      <c r="E427" s="147" t="s">
        <v>1808</v>
      </c>
      <c r="F427" s="129" t="s">
        <v>1791</v>
      </c>
      <c r="G427" s="147" t="s">
        <v>34</v>
      </c>
      <c r="H427" s="191">
        <f t="shared" si="6"/>
        <v>4.0200000000000005</v>
      </c>
      <c r="I427" s="136" t="s">
        <v>2373</v>
      </c>
      <c r="J427" s="146">
        <v>30</v>
      </c>
      <c r="K427" s="147">
        <v>6</v>
      </c>
      <c r="L427" s="147">
        <v>1</v>
      </c>
      <c r="M427" s="147">
        <v>8</v>
      </c>
      <c r="N427" s="289">
        <v>1500</v>
      </c>
      <c r="O427" s="174">
        <f>8.63/2.2046</f>
        <v>3.9145423206023771</v>
      </c>
      <c r="P427" s="180">
        <v>45952</v>
      </c>
      <c r="Q427" s="174">
        <v>3.97</v>
      </c>
      <c r="R427" s="205">
        <v>0.05</v>
      </c>
      <c r="S427" s="147"/>
      <c r="T427" s="129" t="s">
        <v>2091</v>
      </c>
      <c r="U427" s="147" t="s">
        <v>37</v>
      </c>
      <c r="V427" s="129"/>
      <c r="W427" s="147" t="s">
        <v>2213</v>
      </c>
      <c r="X427" s="215" t="s">
        <v>1009</v>
      </c>
      <c r="Y427" s="216"/>
      <c r="Z427" s="216"/>
      <c r="AA427" s="263"/>
      <c r="AB427" s="305"/>
    </row>
    <row r="428" spans="2:28" ht="24" x14ac:dyDescent="0.25">
      <c r="B428" s="136">
        <v>1109350</v>
      </c>
      <c r="C428" s="128" t="s">
        <v>30</v>
      </c>
      <c r="D428" s="127" t="s">
        <v>2341</v>
      </c>
      <c r="E428" s="147" t="s">
        <v>843</v>
      </c>
      <c r="F428" s="129" t="s">
        <v>1748</v>
      </c>
      <c r="G428" s="147" t="s">
        <v>34</v>
      </c>
      <c r="H428" s="191">
        <f t="shared" si="6"/>
        <v>6.3</v>
      </c>
      <c r="I428" s="136" t="s">
        <v>2404</v>
      </c>
      <c r="J428" s="146">
        <v>0</v>
      </c>
      <c r="K428" s="147">
        <v>6</v>
      </c>
      <c r="L428" s="147">
        <v>1</v>
      </c>
      <c r="M428" s="147">
        <v>7</v>
      </c>
      <c r="N428" s="289">
        <v>2200</v>
      </c>
      <c r="O428" s="174">
        <v>5.99</v>
      </c>
      <c r="P428" s="180">
        <v>46153</v>
      </c>
      <c r="Q428" s="174">
        <v>6.25</v>
      </c>
      <c r="R428" s="205">
        <v>0.05</v>
      </c>
      <c r="S428" s="147"/>
      <c r="T428" s="129" t="s">
        <v>2091</v>
      </c>
      <c r="U428" s="147" t="s">
        <v>37</v>
      </c>
      <c r="V428" s="129"/>
      <c r="W428" s="147" t="s">
        <v>2213</v>
      </c>
      <c r="X428" s="215" t="s">
        <v>1009</v>
      </c>
      <c r="Y428" s="216"/>
      <c r="Z428" s="216"/>
      <c r="AA428" s="263"/>
      <c r="AB428" s="305"/>
    </row>
    <row r="429" spans="2:28" ht="36" x14ac:dyDescent="0.25">
      <c r="B429" s="136">
        <v>1109351</v>
      </c>
      <c r="C429" s="128" t="s">
        <v>30</v>
      </c>
      <c r="D429" s="127" t="s">
        <v>2334</v>
      </c>
      <c r="E429" s="147" t="s">
        <v>2031</v>
      </c>
      <c r="F429" s="129" t="s">
        <v>2091</v>
      </c>
      <c r="G429" s="147" t="s">
        <v>34</v>
      </c>
      <c r="H429" s="191">
        <f t="shared" si="6"/>
        <v>5.2662614533248657</v>
      </c>
      <c r="I429" s="136" t="s">
        <v>2265</v>
      </c>
      <c r="J429" s="146">
        <v>90</v>
      </c>
      <c r="K429" s="147">
        <v>11</v>
      </c>
      <c r="L429" s="147">
        <v>1</v>
      </c>
      <c r="M429" s="147">
        <v>12</v>
      </c>
      <c r="N429" s="289">
        <f>274.4*2.2046</f>
        <v>604.94223999999997</v>
      </c>
      <c r="O429" s="195"/>
      <c r="P429" s="180">
        <v>45891</v>
      </c>
      <c r="Q429" s="174">
        <f>11.61/2.2046</f>
        <v>5.2662614533248657</v>
      </c>
      <c r="R429" s="205"/>
      <c r="S429" s="147"/>
      <c r="T429" s="129" t="s">
        <v>2091</v>
      </c>
      <c r="U429" s="147" t="s">
        <v>37</v>
      </c>
      <c r="V429" s="129"/>
      <c r="W429" s="147" t="s">
        <v>2215</v>
      </c>
      <c r="X429" s="215" t="s">
        <v>1009</v>
      </c>
      <c r="Y429" s="216"/>
      <c r="Z429" s="216"/>
      <c r="AA429" s="263"/>
      <c r="AB429" s="305"/>
    </row>
    <row r="430" spans="2:28" ht="36" x14ac:dyDescent="0.25">
      <c r="B430" s="136">
        <v>1109352</v>
      </c>
      <c r="C430" s="128" t="s">
        <v>30</v>
      </c>
      <c r="D430" s="127" t="s">
        <v>2189</v>
      </c>
      <c r="E430" s="147" t="s">
        <v>2201</v>
      </c>
      <c r="F430" s="129" t="s">
        <v>2091</v>
      </c>
      <c r="G430" s="147" t="s">
        <v>34</v>
      </c>
      <c r="H430" s="191">
        <f t="shared" si="6"/>
        <v>2.3133448244579511</v>
      </c>
      <c r="I430" s="136" t="s">
        <v>2266</v>
      </c>
      <c r="J430" s="146">
        <v>90</v>
      </c>
      <c r="K430" s="147">
        <v>11</v>
      </c>
      <c r="L430" s="147">
        <v>1</v>
      </c>
      <c r="M430" s="147">
        <v>12</v>
      </c>
      <c r="N430" s="289">
        <f>4*2.2046</f>
        <v>8.8184000000000005</v>
      </c>
      <c r="O430" s="195"/>
      <c r="P430" s="180">
        <v>45891</v>
      </c>
      <c r="Q430" s="174">
        <f>5.1/2.2046</f>
        <v>2.3133448244579511</v>
      </c>
      <c r="R430" s="205"/>
      <c r="S430" s="147"/>
      <c r="T430" s="129" t="s">
        <v>2091</v>
      </c>
      <c r="U430" s="147" t="s">
        <v>37</v>
      </c>
      <c r="V430" s="129"/>
      <c r="W430" s="147" t="s">
        <v>2215</v>
      </c>
      <c r="X430" s="215" t="s">
        <v>1009</v>
      </c>
      <c r="Y430" s="216"/>
      <c r="Z430" s="216"/>
      <c r="AA430" s="263"/>
      <c r="AB430" s="305"/>
    </row>
    <row r="431" spans="2:28" ht="36" x14ac:dyDescent="0.25">
      <c r="B431" s="136">
        <v>1109353</v>
      </c>
      <c r="C431" s="128" t="s">
        <v>30</v>
      </c>
      <c r="D431" s="127" t="s">
        <v>2345</v>
      </c>
      <c r="E431" s="147" t="s">
        <v>2557</v>
      </c>
      <c r="F431" s="129" t="s">
        <v>2091</v>
      </c>
      <c r="G431" s="147" t="s">
        <v>34</v>
      </c>
      <c r="H431" s="191">
        <f t="shared" si="6"/>
        <v>8.9222534700172371</v>
      </c>
      <c r="I431" s="136" t="s">
        <v>2267</v>
      </c>
      <c r="J431" s="146">
        <v>90</v>
      </c>
      <c r="K431" s="147">
        <v>11</v>
      </c>
      <c r="L431" s="147">
        <v>1</v>
      </c>
      <c r="M431" s="147">
        <v>12</v>
      </c>
      <c r="N431" s="289">
        <f>90*2.2046</f>
        <v>198.41400000000002</v>
      </c>
      <c r="O431" s="195"/>
      <c r="P431" s="180">
        <v>45943</v>
      </c>
      <c r="Q431" s="174">
        <f>19.67/2.2046</f>
        <v>8.9222534700172371</v>
      </c>
      <c r="R431" s="205"/>
      <c r="S431" s="147"/>
      <c r="T431" s="129" t="s">
        <v>2091</v>
      </c>
      <c r="U431" s="147" t="s">
        <v>37</v>
      </c>
      <c r="V431" s="129"/>
      <c r="W431" s="147" t="s">
        <v>2215</v>
      </c>
      <c r="X431" s="215" t="s">
        <v>1009</v>
      </c>
      <c r="Y431" s="216"/>
      <c r="Z431" s="216"/>
      <c r="AA431" s="263"/>
      <c r="AB431" s="305"/>
    </row>
    <row r="432" spans="2:28" ht="36" x14ac:dyDescent="0.25">
      <c r="B432" s="136">
        <v>1109354</v>
      </c>
      <c r="C432" s="128" t="s">
        <v>30</v>
      </c>
      <c r="D432" s="127" t="s">
        <v>2463</v>
      </c>
      <c r="E432" s="147" t="s">
        <v>2031</v>
      </c>
      <c r="F432" s="129" t="s">
        <v>2357</v>
      </c>
      <c r="G432" s="147" t="s">
        <v>34</v>
      </c>
      <c r="H432" s="191">
        <f t="shared" si="6"/>
        <v>6.5680849133629682</v>
      </c>
      <c r="I432" s="136" t="s">
        <v>2268</v>
      </c>
      <c r="J432" s="146">
        <v>30</v>
      </c>
      <c r="K432" s="147">
        <v>11</v>
      </c>
      <c r="L432" s="147">
        <v>1</v>
      </c>
      <c r="M432" s="147">
        <v>12</v>
      </c>
      <c r="N432" s="289">
        <f>590*2.2046</f>
        <v>1300.7140000000002</v>
      </c>
      <c r="O432" s="174">
        <f>11.58/2.2046</f>
        <v>5.2526535425927605</v>
      </c>
      <c r="P432" s="180">
        <v>45988</v>
      </c>
      <c r="Q432" s="272">
        <f>14.48/2.2046</f>
        <v>6.5680849133629682</v>
      </c>
      <c r="R432" s="205"/>
      <c r="S432" s="147"/>
      <c r="T432" s="129" t="s">
        <v>2091</v>
      </c>
      <c r="U432" s="147" t="s">
        <v>37</v>
      </c>
      <c r="V432" s="129"/>
      <c r="W432" s="147" t="s">
        <v>2213</v>
      </c>
      <c r="X432" s="215" t="s">
        <v>1009</v>
      </c>
      <c r="Y432" s="216"/>
      <c r="Z432" s="216"/>
      <c r="AA432" s="263"/>
      <c r="AB432" s="305"/>
    </row>
    <row r="433" spans="1:28 16383:16384" ht="24" x14ac:dyDescent="0.25">
      <c r="B433" s="136">
        <v>1109355</v>
      </c>
      <c r="C433" s="128" t="s">
        <v>30</v>
      </c>
      <c r="D433" s="127" t="s">
        <v>2472</v>
      </c>
      <c r="E433" s="147" t="s">
        <v>37</v>
      </c>
      <c r="F433" s="129" t="s">
        <v>1503</v>
      </c>
      <c r="G433" s="147" t="s">
        <v>34</v>
      </c>
      <c r="H433" s="191">
        <f t="shared" si="6"/>
        <v>6.04</v>
      </c>
      <c r="I433" s="136" t="s">
        <v>2473</v>
      </c>
      <c r="J433" s="146">
        <v>90</v>
      </c>
      <c r="K433" s="147">
        <v>9</v>
      </c>
      <c r="L433" s="147">
        <v>1</v>
      </c>
      <c r="M433" s="147">
        <v>10</v>
      </c>
      <c r="N433" s="289">
        <f>125*2.2046</f>
        <v>275.57499999999999</v>
      </c>
      <c r="O433" s="174">
        <f>16.57/2.2046</f>
        <v>7.5161026943663245</v>
      </c>
      <c r="P433" s="180">
        <v>46002</v>
      </c>
      <c r="Q433" s="174">
        <v>5.99</v>
      </c>
      <c r="R433" s="205">
        <v>0.05</v>
      </c>
      <c r="S433" s="147"/>
      <c r="T433" s="129" t="s">
        <v>2091</v>
      </c>
      <c r="U433" s="147" t="s">
        <v>37</v>
      </c>
      <c r="V433" s="129"/>
      <c r="W433" s="147" t="s">
        <v>2215</v>
      </c>
      <c r="X433" s="215" t="s">
        <v>1009</v>
      </c>
      <c r="Y433" s="216"/>
      <c r="Z433" s="216"/>
      <c r="AA433" s="263"/>
      <c r="AB433" s="305"/>
    </row>
    <row r="434" spans="1:28 16383:16384" ht="24" hidden="1" x14ac:dyDescent="0.25">
      <c r="B434" s="136">
        <v>1109356</v>
      </c>
      <c r="C434" s="128" t="s">
        <v>30</v>
      </c>
      <c r="D434" s="127" t="s">
        <v>2204</v>
      </c>
      <c r="E434" s="147" t="s">
        <v>259</v>
      </c>
      <c r="F434" s="129" t="s">
        <v>1685</v>
      </c>
      <c r="G434" s="147" t="s">
        <v>34</v>
      </c>
      <c r="H434" s="191">
        <f t="shared" si="6"/>
        <v>1.7464687471650184</v>
      </c>
      <c r="I434" s="222" t="s">
        <v>2226</v>
      </c>
      <c r="J434" s="146">
        <v>30</v>
      </c>
      <c r="K434" s="147">
        <v>4</v>
      </c>
      <c r="L434" s="147">
        <v>8</v>
      </c>
      <c r="M434" s="147">
        <v>12</v>
      </c>
      <c r="N434" s="289">
        <v>6614</v>
      </c>
      <c r="O434" s="195"/>
      <c r="P434" s="180">
        <v>45908</v>
      </c>
      <c r="Q434" s="174">
        <f>3.244/2.2046</f>
        <v>1.4714687471650185</v>
      </c>
      <c r="R434" s="205">
        <f>9000/40000+0.05</f>
        <v>0.27500000000000002</v>
      </c>
      <c r="S434" s="165" t="s">
        <v>35</v>
      </c>
      <c r="T434" s="129" t="s">
        <v>2211</v>
      </c>
      <c r="U434" s="147" t="s">
        <v>37</v>
      </c>
      <c r="V434" s="129"/>
      <c r="W434" s="147" t="s">
        <v>2214</v>
      </c>
      <c r="X434" s="215" t="s">
        <v>1856</v>
      </c>
      <c r="Y434" s="216"/>
      <c r="Z434" s="216"/>
      <c r="AA434" s="263"/>
      <c r="AB434" s="305"/>
    </row>
    <row r="435" spans="1:28 16383:16384" ht="24" hidden="1" x14ac:dyDescent="0.25">
      <c r="B435" s="136">
        <v>1109357</v>
      </c>
      <c r="C435" s="128" t="s">
        <v>30</v>
      </c>
      <c r="D435" s="127" t="s">
        <v>2205</v>
      </c>
      <c r="E435" s="147" t="s">
        <v>259</v>
      </c>
      <c r="F435" s="129" t="s">
        <v>1685</v>
      </c>
      <c r="G435" s="147" t="s">
        <v>34</v>
      </c>
      <c r="H435" s="191">
        <f t="shared" si="6"/>
        <v>1.9732672593667786</v>
      </c>
      <c r="I435" s="222" t="s">
        <v>2226</v>
      </c>
      <c r="J435" s="146">
        <v>30</v>
      </c>
      <c r="K435" s="147">
        <v>4</v>
      </c>
      <c r="L435" s="147">
        <v>8</v>
      </c>
      <c r="M435" s="147">
        <v>12</v>
      </c>
      <c r="N435" s="289">
        <v>6614</v>
      </c>
      <c r="O435" s="195"/>
      <c r="P435" s="180">
        <v>45908</v>
      </c>
      <c r="Q435" s="174">
        <f>3.744/2.2046</f>
        <v>1.6982672593667785</v>
      </c>
      <c r="R435" s="205">
        <f>9000/40000+0.05</f>
        <v>0.27500000000000002</v>
      </c>
      <c r="S435" s="165" t="s">
        <v>35</v>
      </c>
      <c r="T435" s="129" t="s">
        <v>2211</v>
      </c>
      <c r="U435" s="147" t="s">
        <v>37</v>
      </c>
      <c r="V435" s="129"/>
      <c r="W435" s="147" t="s">
        <v>2214</v>
      </c>
      <c r="X435" s="215" t="s">
        <v>1856</v>
      </c>
      <c r="Y435" s="216"/>
      <c r="Z435" s="216"/>
      <c r="AA435" s="263"/>
      <c r="AB435" s="305"/>
    </row>
    <row r="436" spans="1:28 16383:16384" hidden="1" x14ac:dyDescent="0.25">
      <c r="B436" s="136">
        <v>1109358</v>
      </c>
      <c r="C436" s="128" t="s">
        <v>30</v>
      </c>
      <c r="D436" s="127" t="s">
        <v>2206</v>
      </c>
      <c r="E436" s="147" t="s">
        <v>138</v>
      </c>
      <c r="F436" s="129" t="s">
        <v>1956</v>
      </c>
      <c r="G436" s="147" t="s">
        <v>34</v>
      </c>
      <c r="H436" s="191">
        <f t="shared" si="6"/>
        <v>3.9553660527986936</v>
      </c>
      <c r="I436" s="129" t="s">
        <v>2084</v>
      </c>
      <c r="J436" s="146">
        <v>0</v>
      </c>
      <c r="K436" s="147">
        <v>11</v>
      </c>
      <c r="L436" s="147">
        <v>1</v>
      </c>
      <c r="M436" s="147">
        <v>12</v>
      </c>
      <c r="N436" s="289">
        <f>1000*2.2046</f>
        <v>2204.6</v>
      </c>
      <c r="O436" s="195"/>
      <c r="P436" s="180">
        <v>45890</v>
      </c>
      <c r="Q436" s="174">
        <f>8.72/2.2046</f>
        <v>3.9553660527986936</v>
      </c>
      <c r="R436" s="205"/>
      <c r="S436" s="147"/>
      <c r="T436" s="129" t="s">
        <v>2211</v>
      </c>
      <c r="U436" s="147" t="s">
        <v>37</v>
      </c>
      <c r="V436" s="129"/>
      <c r="W436" s="147" t="s">
        <v>2214</v>
      </c>
      <c r="X436" s="215" t="s">
        <v>1856</v>
      </c>
      <c r="Y436" s="216"/>
      <c r="Z436" s="216"/>
      <c r="AA436" s="263"/>
      <c r="AB436" s="305"/>
    </row>
    <row r="437" spans="1:28 16383:16384" ht="24" hidden="1" x14ac:dyDescent="0.25">
      <c r="B437" s="136">
        <v>1109359</v>
      </c>
      <c r="C437" s="128" t="s">
        <v>30</v>
      </c>
      <c r="D437" s="127" t="s">
        <v>2207</v>
      </c>
      <c r="E437" s="147" t="s">
        <v>32</v>
      </c>
      <c r="F437" s="129" t="s">
        <v>1685</v>
      </c>
      <c r="G437" s="147" t="s">
        <v>34</v>
      </c>
      <c r="H437" s="191">
        <f t="shared" si="6"/>
        <v>1.7682414043363872</v>
      </c>
      <c r="I437" s="222" t="s">
        <v>2226</v>
      </c>
      <c r="J437" s="146">
        <v>30</v>
      </c>
      <c r="K437" s="147">
        <v>4</v>
      </c>
      <c r="L437" s="147">
        <v>8</v>
      </c>
      <c r="M437" s="147">
        <v>12</v>
      </c>
      <c r="N437" s="289">
        <v>6614</v>
      </c>
      <c r="O437" s="195"/>
      <c r="P437" s="180">
        <v>45908</v>
      </c>
      <c r="Q437" s="174">
        <f>3.292/2.2046</f>
        <v>1.4932414043363873</v>
      </c>
      <c r="R437" s="205">
        <f>9000/40000+0.05</f>
        <v>0.27500000000000002</v>
      </c>
      <c r="S437" s="165" t="s">
        <v>35</v>
      </c>
      <c r="T437" s="129" t="s">
        <v>2211</v>
      </c>
      <c r="U437" s="147" t="s">
        <v>37</v>
      </c>
      <c r="V437" s="129"/>
      <c r="W437" s="147" t="s">
        <v>2214</v>
      </c>
      <c r="X437" s="215" t="s">
        <v>1856</v>
      </c>
      <c r="Y437" s="216"/>
      <c r="Z437" s="216"/>
      <c r="AA437" s="263"/>
      <c r="AB437" s="305"/>
    </row>
    <row r="438" spans="1:28 16383:16384" ht="24" hidden="1" x14ac:dyDescent="0.25">
      <c r="A438" s="270"/>
      <c r="B438" s="136">
        <v>1109360</v>
      </c>
      <c r="C438" s="128" t="s">
        <v>30</v>
      </c>
      <c r="D438" s="129" t="s">
        <v>2208</v>
      </c>
      <c r="E438" s="147" t="s">
        <v>32</v>
      </c>
      <c r="F438" s="129" t="s">
        <v>1685</v>
      </c>
      <c r="G438" s="147" t="s">
        <v>34</v>
      </c>
      <c r="H438" s="191">
        <f t="shared" si="6"/>
        <v>1.6303479089177175</v>
      </c>
      <c r="I438" s="222" t="s">
        <v>2226</v>
      </c>
      <c r="J438" s="146">
        <v>30</v>
      </c>
      <c r="K438" s="147">
        <v>4</v>
      </c>
      <c r="L438" s="147">
        <v>8</v>
      </c>
      <c r="M438" s="147">
        <v>12</v>
      </c>
      <c r="N438" s="289">
        <v>6614</v>
      </c>
      <c r="O438" s="180"/>
      <c r="P438" s="180">
        <v>45908</v>
      </c>
      <c r="Q438" s="176">
        <f>2.988/2.2046</f>
        <v>1.3553479089177174</v>
      </c>
      <c r="R438" s="205">
        <f>9000/40000+0.05</f>
        <v>0.27500000000000002</v>
      </c>
      <c r="S438" s="165" t="s">
        <v>35</v>
      </c>
      <c r="T438" s="129" t="s">
        <v>2211</v>
      </c>
      <c r="U438" s="147" t="s">
        <v>37</v>
      </c>
      <c r="V438" s="147"/>
      <c r="W438" s="147" t="s">
        <v>2214</v>
      </c>
      <c r="X438" s="215" t="s">
        <v>1856</v>
      </c>
      <c r="Y438" s="216"/>
      <c r="Z438" s="263"/>
      <c r="AA438" s="263"/>
      <c r="AB438" s="305"/>
      <c r="XFD438" s="271"/>
    </row>
    <row r="439" spans="1:28 16383:16384" ht="36" x14ac:dyDescent="0.25">
      <c r="B439" s="136">
        <v>1109361</v>
      </c>
      <c r="C439" s="128" t="s">
        <v>30</v>
      </c>
      <c r="D439" s="127" t="s">
        <v>2318</v>
      </c>
      <c r="E439" s="147" t="s">
        <v>2448</v>
      </c>
      <c r="F439" s="129" t="s">
        <v>2091</v>
      </c>
      <c r="G439" s="147" t="s">
        <v>34</v>
      </c>
      <c r="H439" s="191">
        <f t="shared" si="6"/>
        <v>0</v>
      </c>
      <c r="I439" s="222" t="s">
        <v>2375</v>
      </c>
      <c r="J439" s="146">
        <v>90</v>
      </c>
      <c r="K439" s="147">
        <v>11</v>
      </c>
      <c r="L439" s="147">
        <v>1</v>
      </c>
      <c r="M439" s="147">
        <v>12</v>
      </c>
      <c r="N439" s="289"/>
      <c r="O439" s="195"/>
      <c r="P439" s="180"/>
      <c r="Q439" s="174"/>
      <c r="R439" s="205"/>
      <c r="S439" s="147"/>
      <c r="T439" s="129" t="s">
        <v>2091</v>
      </c>
      <c r="U439" s="147" t="s">
        <v>37</v>
      </c>
      <c r="V439" s="129"/>
      <c r="W439" s="147" t="s">
        <v>2215</v>
      </c>
      <c r="X439" s="215"/>
      <c r="Y439" s="216"/>
      <c r="Z439" s="216"/>
      <c r="AA439" s="263"/>
      <c r="AB439" s="305"/>
    </row>
    <row r="440" spans="1:28 16383:16384" ht="36" x14ac:dyDescent="0.25">
      <c r="A440" s="270"/>
      <c r="B440" s="136">
        <v>1109362</v>
      </c>
      <c r="C440" s="128" t="s">
        <v>30</v>
      </c>
      <c r="D440" s="129" t="s">
        <v>2558</v>
      </c>
      <c r="E440" s="147" t="s">
        <v>2559</v>
      </c>
      <c r="F440" s="129" t="s">
        <v>2091</v>
      </c>
      <c r="G440" s="147" t="s">
        <v>34</v>
      </c>
      <c r="H440" s="191">
        <f t="shared" si="6"/>
        <v>29.592669872085636</v>
      </c>
      <c r="I440" s="222" t="s">
        <v>2376</v>
      </c>
      <c r="J440" s="146">
        <v>90</v>
      </c>
      <c r="K440" s="147">
        <v>11</v>
      </c>
      <c r="L440" s="147">
        <v>1</v>
      </c>
      <c r="M440" s="147">
        <v>12</v>
      </c>
      <c r="N440" s="292">
        <f>390*2.2046</f>
        <v>859.7940000000001</v>
      </c>
      <c r="O440" s="180"/>
      <c r="P440" s="180">
        <v>45971</v>
      </c>
      <c r="Q440" s="284">
        <f>65.24/2.2046</f>
        <v>29.592669872085636</v>
      </c>
      <c r="R440" s="282">
        <v>0</v>
      </c>
      <c r="S440" s="129"/>
      <c r="T440" s="129" t="s">
        <v>2091</v>
      </c>
      <c r="U440" s="147" t="s">
        <v>37</v>
      </c>
      <c r="V440" s="147"/>
      <c r="W440" s="147" t="s">
        <v>2215</v>
      </c>
      <c r="X440" s="216"/>
      <c r="Y440" s="216"/>
      <c r="Z440" s="263"/>
      <c r="AA440" s="263"/>
      <c r="AB440" s="305"/>
      <c r="XFD440" s="271"/>
    </row>
    <row r="441" spans="1:28 16383:16384" ht="36" hidden="1" x14ac:dyDescent="0.25">
      <c r="A441" s="270"/>
      <c r="B441" s="136">
        <v>1109363</v>
      </c>
      <c r="C441" s="128" t="s">
        <v>30</v>
      </c>
      <c r="D441" s="129" t="s">
        <v>2411</v>
      </c>
      <c r="E441" s="147"/>
      <c r="F441" s="129" t="s">
        <v>2091</v>
      </c>
      <c r="G441" s="147" t="s">
        <v>34</v>
      </c>
      <c r="H441" s="191">
        <f t="shared" si="6"/>
        <v>0</v>
      </c>
      <c r="I441" s="222" t="s">
        <v>2377</v>
      </c>
      <c r="J441" s="146">
        <v>90</v>
      </c>
      <c r="K441" s="147">
        <v>11</v>
      </c>
      <c r="L441" s="147">
        <v>1</v>
      </c>
      <c r="M441" s="147">
        <v>12</v>
      </c>
      <c r="N441" s="281"/>
      <c r="O441" s="180"/>
      <c r="P441" s="180"/>
      <c r="Q441" s="205"/>
      <c r="R441" s="147"/>
      <c r="S441" s="129"/>
      <c r="T441" s="129" t="s">
        <v>2091</v>
      </c>
      <c r="U441" s="147" t="s">
        <v>37</v>
      </c>
      <c r="V441" s="147"/>
      <c r="W441" s="147" t="s">
        <v>2214</v>
      </c>
      <c r="X441" s="216"/>
      <c r="Y441" s="216"/>
      <c r="Z441" s="263"/>
      <c r="AA441" s="263"/>
      <c r="AB441" s="305"/>
      <c r="XFD441" s="271"/>
    </row>
    <row r="442" spans="1:28 16383:16384" ht="36" x14ac:dyDescent="0.25">
      <c r="A442" s="270"/>
      <c r="B442" s="136">
        <v>1109364</v>
      </c>
      <c r="C442" s="128" t="s">
        <v>30</v>
      </c>
      <c r="D442" s="129" t="s">
        <v>2319</v>
      </c>
      <c r="E442" s="147" t="s">
        <v>146</v>
      </c>
      <c r="F442" s="129" t="s">
        <v>2091</v>
      </c>
      <c r="G442" s="147" t="s">
        <v>34</v>
      </c>
      <c r="H442" s="191">
        <f t="shared" si="6"/>
        <v>8.8950376485530249</v>
      </c>
      <c r="I442" s="222" t="s">
        <v>2378</v>
      </c>
      <c r="J442" s="146">
        <v>90</v>
      </c>
      <c r="K442" s="147">
        <v>11</v>
      </c>
      <c r="L442" s="147">
        <v>1</v>
      </c>
      <c r="M442" s="147">
        <v>12</v>
      </c>
      <c r="N442" s="292">
        <f>300*2.2046</f>
        <v>661.38</v>
      </c>
      <c r="O442" s="180"/>
      <c r="P442" s="180">
        <v>45966</v>
      </c>
      <c r="Q442" s="176">
        <f>19.61/2.2046</f>
        <v>8.8950376485530249</v>
      </c>
      <c r="R442" s="282">
        <v>0</v>
      </c>
      <c r="S442" s="129"/>
      <c r="T442" s="129" t="s">
        <v>2091</v>
      </c>
      <c r="U442" s="147" t="s">
        <v>37</v>
      </c>
      <c r="V442" s="147"/>
      <c r="W442" s="147" t="s">
        <v>2215</v>
      </c>
      <c r="X442" s="216"/>
      <c r="Y442" s="216"/>
      <c r="Z442" s="263"/>
      <c r="AA442" s="263"/>
      <c r="AB442" s="305"/>
      <c r="XFD442" s="271"/>
    </row>
    <row r="443" spans="1:28 16383:16384" ht="36" hidden="1" x14ac:dyDescent="0.25">
      <c r="A443" s="270"/>
      <c r="B443" s="136">
        <v>1109365</v>
      </c>
      <c r="C443" s="128" t="s">
        <v>30</v>
      </c>
      <c r="D443" s="129" t="s">
        <v>2346</v>
      </c>
      <c r="E443" s="147"/>
      <c r="F443" s="129" t="s">
        <v>2091</v>
      </c>
      <c r="G443" s="147" t="s">
        <v>34</v>
      </c>
      <c r="H443" s="191">
        <f t="shared" si="6"/>
        <v>0</v>
      </c>
      <c r="I443" s="222" t="s">
        <v>2379</v>
      </c>
      <c r="J443" s="146">
        <v>90</v>
      </c>
      <c r="K443" s="147">
        <v>11</v>
      </c>
      <c r="L443" s="147">
        <v>1</v>
      </c>
      <c r="M443" s="147">
        <v>12</v>
      </c>
      <c r="N443" s="281"/>
      <c r="O443" s="180"/>
      <c r="P443" s="180"/>
      <c r="Q443" s="205"/>
      <c r="R443" s="147"/>
      <c r="S443" s="129"/>
      <c r="T443" s="129" t="s">
        <v>2091</v>
      </c>
      <c r="U443" s="147" t="s">
        <v>37</v>
      </c>
      <c r="V443" s="147"/>
      <c r="W443" s="147" t="s">
        <v>2214</v>
      </c>
      <c r="X443" s="216"/>
      <c r="Y443" s="216"/>
      <c r="Z443" s="263"/>
      <c r="AA443" s="263"/>
      <c r="AB443" s="305"/>
      <c r="XFD443" s="271"/>
    </row>
    <row r="444" spans="1:28 16383:16384" ht="36" x14ac:dyDescent="0.25">
      <c r="A444" s="270"/>
      <c r="B444" s="136">
        <v>1109366</v>
      </c>
      <c r="C444" s="128" t="s">
        <v>30</v>
      </c>
      <c r="D444" s="129" t="s">
        <v>2347</v>
      </c>
      <c r="E444" s="147" t="s">
        <v>66</v>
      </c>
      <c r="F444" s="129" t="s">
        <v>2091</v>
      </c>
      <c r="G444" s="147" t="s">
        <v>34</v>
      </c>
      <c r="H444" s="191">
        <f t="shared" si="6"/>
        <v>5.710786537240315</v>
      </c>
      <c r="I444" s="222" t="s">
        <v>2380</v>
      </c>
      <c r="J444" s="146">
        <v>90</v>
      </c>
      <c r="K444" s="147">
        <v>11</v>
      </c>
      <c r="L444" s="147">
        <v>1</v>
      </c>
      <c r="M444" s="147">
        <v>12</v>
      </c>
      <c r="N444" s="292">
        <f>700*2.2046</f>
        <v>1543.22</v>
      </c>
      <c r="O444" s="180"/>
      <c r="P444" s="180">
        <v>45966</v>
      </c>
      <c r="Q444" s="205">
        <f>12.59/2.2046</f>
        <v>5.710786537240315</v>
      </c>
      <c r="R444" s="147">
        <v>0</v>
      </c>
      <c r="S444" s="129"/>
      <c r="T444" s="129" t="s">
        <v>2091</v>
      </c>
      <c r="U444" s="147" t="s">
        <v>37</v>
      </c>
      <c r="V444" s="147"/>
      <c r="W444" s="147" t="s">
        <v>2215</v>
      </c>
      <c r="X444" s="216"/>
      <c r="Y444" s="216"/>
      <c r="Z444" s="263"/>
      <c r="AA444" s="263"/>
      <c r="AB444" s="305"/>
      <c r="XFD444" s="271"/>
    </row>
    <row r="445" spans="1:28 16383:16384" ht="36" x14ac:dyDescent="0.25">
      <c r="A445" s="270"/>
      <c r="B445" s="136">
        <v>1109367</v>
      </c>
      <c r="C445" s="128" t="s">
        <v>30</v>
      </c>
      <c r="D445" s="129" t="s">
        <v>2320</v>
      </c>
      <c r="E445" s="147" t="s">
        <v>32</v>
      </c>
      <c r="F445" s="129" t="s">
        <v>2091</v>
      </c>
      <c r="G445" s="147" t="s">
        <v>34</v>
      </c>
      <c r="H445" s="191">
        <f t="shared" si="6"/>
        <v>5.2435816021046904</v>
      </c>
      <c r="I445" s="136" t="s">
        <v>2381</v>
      </c>
      <c r="J445" s="146">
        <v>90</v>
      </c>
      <c r="K445" s="147">
        <v>11</v>
      </c>
      <c r="L445" s="147">
        <v>1</v>
      </c>
      <c r="M445" s="147">
        <v>12</v>
      </c>
      <c r="N445" s="292">
        <f>2679.38*2.2046</f>
        <v>5906.9611480000003</v>
      </c>
      <c r="O445" s="180"/>
      <c r="P445" s="180">
        <v>45966</v>
      </c>
      <c r="Q445" s="176">
        <f>11.56/2.2046</f>
        <v>5.2435816021046904</v>
      </c>
      <c r="R445" s="282">
        <v>0</v>
      </c>
      <c r="S445" s="129"/>
      <c r="T445" s="129" t="s">
        <v>2091</v>
      </c>
      <c r="U445" s="147" t="s">
        <v>37</v>
      </c>
      <c r="V445" s="147"/>
      <c r="W445" s="147" t="s">
        <v>2215</v>
      </c>
      <c r="X445" s="216"/>
      <c r="Y445" s="216"/>
      <c r="Z445" s="263"/>
      <c r="AA445" s="263"/>
      <c r="AB445" s="305"/>
      <c r="XFD445" s="271"/>
    </row>
    <row r="446" spans="1:28 16383:16384" ht="36" x14ac:dyDescent="0.25">
      <c r="A446" s="278"/>
      <c r="B446" s="136">
        <v>1109368</v>
      </c>
      <c r="C446" s="128" t="s">
        <v>30</v>
      </c>
      <c r="D446" s="129" t="s">
        <v>2446</v>
      </c>
      <c r="E446" s="147" t="s">
        <v>2449</v>
      </c>
      <c r="F446" s="129" t="s">
        <v>2357</v>
      </c>
      <c r="G446" s="147" t="s">
        <v>34</v>
      </c>
      <c r="H446" s="191">
        <f t="shared" si="6"/>
        <v>5.6835707157761037</v>
      </c>
      <c r="I446" s="136" t="s">
        <v>2382</v>
      </c>
      <c r="J446" s="146">
        <v>30</v>
      </c>
      <c r="K446" s="147">
        <v>11</v>
      </c>
      <c r="L446" s="147">
        <v>1</v>
      </c>
      <c r="M446" s="147">
        <v>12</v>
      </c>
      <c r="N446" s="280">
        <f>545*2.2046</f>
        <v>1201.5070000000001</v>
      </c>
      <c r="O446" s="282">
        <f>17.47/2.2046</f>
        <v>7.9243400163294924</v>
      </c>
      <c r="P446" s="180">
        <v>45971</v>
      </c>
      <c r="Q446" s="282">
        <f>12.53/2.2046</f>
        <v>5.6835707157761037</v>
      </c>
      <c r="R446" s="290">
        <v>0</v>
      </c>
      <c r="S446" s="147"/>
      <c r="T446" s="129" t="s">
        <v>2091</v>
      </c>
      <c r="U446" s="147" t="s">
        <v>37</v>
      </c>
      <c r="V446" s="215"/>
      <c r="W446" s="147" t="s">
        <v>2213</v>
      </c>
      <c r="X446" s="216"/>
      <c r="Y446" s="263"/>
      <c r="Z446" s="263"/>
      <c r="AA446" s="263"/>
      <c r="AB446" s="305"/>
      <c r="XFC446" s="271"/>
      <c r="XFD446" s="279"/>
    </row>
    <row r="447" spans="1:28 16383:16384" ht="36" x14ac:dyDescent="0.25">
      <c r="A447" s="278"/>
      <c r="B447" s="136">
        <v>1109369</v>
      </c>
      <c r="C447" s="128" t="s">
        <v>30</v>
      </c>
      <c r="D447" s="129" t="s">
        <v>2321</v>
      </c>
      <c r="E447" s="147" t="s">
        <v>535</v>
      </c>
      <c r="F447" s="129" t="s">
        <v>2091</v>
      </c>
      <c r="G447" s="147" t="s">
        <v>34</v>
      </c>
      <c r="H447" s="191">
        <f t="shared" si="6"/>
        <v>5.2844053343010069</v>
      </c>
      <c r="I447" s="136" t="s">
        <v>2383</v>
      </c>
      <c r="J447" s="146">
        <v>90</v>
      </c>
      <c r="K447" s="147">
        <v>11</v>
      </c>
      <c r="L447" s="147">
        <v>1</v>
      </c>
      <c r="M447" s="147">
        <v>12</v>
      </c>
      <c r="N447" s="147">
        <f>500*2.2046</f>
        <v>1102.3</v>
      </c>
      <c r="O447" s="174"/>
      <c r="P447" s="180">
        <v>45972</v>
      </c>
      <c r="Q447" s="282">
        <f>11.65/2.2046</f>
        <v>5.2844053343010069</v>
      </c>
      <c r="R447" s="282">
        <v>0</v>
      </c>
      <c r="S447" s="147"/>
      <c r="T447" s="129" t="s">
        <v>2091</v>
      </c>
      <c r="U447" s="147" t="s">
        <v>37</v>
      </c>
      <c r="V447" s="215"/>
      <c r="W447" s="147" t="s">
        <v>2215</v>
      </c>
      <c r="X447" s="216"/>
      <c r="Y447" s="263"/>
      <c r="Z447" s="263"/>
      <c r="AA447" s="263"/>
      <c r="AB447" s="305"/>
      <c r="XFC447" s="271"/>
      <c r="XFD447" s="279"/>
    </row>
    <row r="448" spans="1:28 16383:16384" ht="36" hidden="1" x14ac:dyDescent="0.25">
      <c r="A448" s="278"/>
      <c r="B448" s="136">
        <v>1109370</v>
      </c>
      <c r="C448" s="128" t="s">
        <v>30</v>
      </c>
      <c r="D448" s="129" t="s">
        <v>2322</v>
      </c>
      <c r="E448" s="147"/>
      <c r="F448" s="129" t="s">
        <v>2091</v>
      </c>
      <c r="G448" s="147" t="s">
        <v>34</v>
      </c>
      <c r="H448" s="191">
        <f t="shared" si="6"/>
        <v>0</v>
      </c>
      <c r="I448" s="136" t="s">
        <v>2384</v>
      </c>
      <c r="J448" s="146">
        <v>90</v>
      </c>
      <c r="K448" s="147">
        <v>11</v>
      </c>
      <c r="L448" s="147">
        <v>1</v>
      </c>
      <c r="M448" s="147">
        <v>12</v>
      </c>
      <c r="N448" s="280"/>
      <c r="O448" s="174"/>
      <c r="P448" s="180"/>
      <c r="Q448" s="147"/>
      <c r="R448" s="129"/>
      <c r="S448" s="147"/>
      <c r="T448" s="129" t="s">
        <v>2091</v>
      </c>
      <c r="U448" s="147" t="s">
        <v>37</v>
      </c>
      <c r="V448" s="215"/>
      <c r="W448" s="147" t="s">
        <v>2214</v>
      </c>
      <c r="X448" s="216"/>
      <c r="Y448" s="263"/>
      <c r="Z448" s="263"/>
      <c r="AA448" s="263"/>
      <c r="AB448" s="305"/>
      <c r="XFC448" s="271"/>
      <c r="XFD448" s="279"/>
    </row>
    <row r="449" spans="1:28 16383:16384" ht="24" x14ac:dyDescent="0.25">
      <c r="A449" s="278"/>
      <c r="B449" s="136">
        <v>1109371</v>
      </c>
      <c r="C449" s="128" t="s">
        <v>30</v>
      </c>
      <c r="D449" s="129" t="s">
        <v>2356</v>
      </c>
      <c r="E449" s="147" t="s">
        <v>2406</v>
      </c>
      <c r="F449" s="129" t="s">
        <v>1838</v>
      </c>
      <c r="G449" s="147" t="s">
        <v>34</v>
      </c>
      <c r="H449" s="191">
        <f t="shared" si="6"/>
        <v>15.260000000000002</v>
      </c>
      <c r="I449" s="136" t="s">
        <v>2410</v>
      </c>
      <c r="J449" s="146">
        <v>0</v>
      </c>
      <c r="K449" s="147">
        <v>6</v>
      </c>
      <c r="L449" s="147">
        <v>1</v>
      </c>
      <c r="M449" s="147">
        <v>7</v>
      </c>
      <c r="N449" s="280">
        <v>550</v>
      </c>
      <c r="O449" s="174">
        <v>4.82</v>
      </c>
      <c r="P449" s="180">
        <v>45943</v>
      </c>
      <c r="Q449" s="282">
        <v>15.21</v>
      </c>
      <c r="R449" s="174">
        <v>0.05</v>
      </c>
      <c r="S449" s="147"/>
      <c r="T449" s="129" t="s">
        <v>2091</v>
      </c>
      <c r="U449" s="147" t="s">
        <v>37</v>
      </c>
      <c r="V449" s="215"/>
      <c r="W449" s="147" t="s">
        <v>2213</v>
      </c>
      <c r="X449" s="216"/>
      <c r="Y449" s="263"/>
      <c r="Z449" s="263"/>
      <c r="AA449" s="263"/>
      <c r="AB449" s="305"/>
      <c r="XFC449" s="271"/>
      <c r="XFD449" s="279"/>
    </row>
    <row r="450" spans="1:28 16383:16384" ht="36" x14ac:dyDescent="0.25">
      <c r="A450" s="278"/>
      <c r="B450" s="136">
        <v>1109372</v>
      </c>
      <c r="C450" s="128" t="s">
        <v>30</v>
      </c>
      <c r="D450" s="129" t="s">
        <v>2420</v>
      </c>
      <c r="E450" s="147" t="s">
        <v>32</v>
      </c>
      <c r="F450" s="129" t="s">
        <v>2357</v>
      </c>
      <c r="G450" s="147" t="s">
        <v>34</v>
      </c>
      <c r="H450" s="191">
        <f t="shared" si="6"/>
        <v>5.5699999999999994</v>
      </c>
      <c r="I450" s="136" t="s">
        <v>2385</v>
      </c>
      <c r="J450" s="146">
        <v>30</v>
      </c>
      <c r="K450" s="147">
        <v>11</v>
      </c>
      <c r="L450" s="147">
        <v>1</v>
      </c>
      <c r="M450" s="147">
        <v>12</v>
      </c>
      <c r="N450" s="147">
        <f>2040*2.2046</f>
        <v>4497.384</v>
      </c>
      <c r="O450" s="174"/>
      <c r="P450" s="180">
        <v>45959</v>
      </c>
      <c r="Q450" s="282">
        <v>5.52</v>
      </c>
      <c r="R450" s="290">
        <v>0.05</v>
      </c>
      <c r="S450" s="147"/>
      <c r="T450" s="129" t="s">
        <v>2091</v>
      </c>
      <c r="U450" s="147" t="s">
        <v>37</v>
      </c>
      <c r="V450" s="215"/>
      <c r="W450" s="147" t="s">
        <v>2213</v>
      </c>
      <c r="X450" s="216"/>
      <c r="Y450" s="263"/>
      <c r="Z450" s="263"/>
      <c r="AA450" s="263"/>
      <c r="AB450" s="305"/>
      <c r="XFC450" s="271"/>
      <c r="XFD450" s="279"/>
    </row>
    <row r="451" spans="1:28 16383:16384" ht="36" hidden="1" x14ac:dyDescent="0.25">
      <c r="A451" s="278"/>
      <c r="B451" s="136">
        <v>1109373</v>
      </c>
      <c r="C451" s="128" t="s">
        <v>30</v>
      </c>
      <c r="D451" s="129" t="s">
        <v>2323</v>
      </c>
      <c r="E451" s="147"/>
      <c r="F451" s="129" t="s">
        <v>2091</v>
      </c>
      <c r="G451" s="147" t="s">
        <v>34</v>
      </c>
      <c r="H451" s="191">
        <f t="shared" ref="H451:H514" si="7">Q451+R451</f>
        <v>0</v>
      </c>
      <c r="I451" s="136" t="s">
        <v>2386</v>
      </c>
      <c r="J451" s="146">
        <v>90</v>
      </c>
      <c r="K451" s="147">
        <v>11</v>
      </c>
      <c r="L451" s="147">
        <v>1</v>
      </c>
      <c r="M451" s="147">
        <v>12</v>
      </c>
      <c r="N451" s="280"/>
      <c r="O451" s="174"/>
      <c r="P451" s="180"/>
      <c r="Q451" s="147"/>
      <c r="R451" s="129"/>
      <c r="S451" s="147"/>
      <c r="T451" s="129" t="s">
        <v>2091</v>
      </c>
      <c r="U451" s="147" t="s">
        <v>37</v>
      </c>
      <c r="V451" s="215"/>
      <c r="W451" s="147" t="s">
        <v>2214</v>
      </c>
      <c r="X451" s="216"/>
      <c r="Y451" s="263"/>
      <c r="Z451" s="263"/>
      <c r="AA451" s="263"/>
      <c r="AB451" s="305"/>
      <c r="XFC451" s="271"/>
      <c r="XFD451" s="279"/>
    </row>
    <row r="452" spans="1:28 16383:16384" ht="36" hidden="1" x14ac:dyDescent="0.25">
      <c r="A452" s="278"/>
      <c r="B452" s="136">
        <v>1109374</v>
      </c>
      <c r="C452" s="128" t="s">
        <v>30</v>
      </c>
      <c r="D452" s="129" t="s">
        <v>2324</v>
      </c>
      <c r="E452" s="147"/>
      <c r="F452" s="129" t="s">
        <v>2091</v>
      </c>
      <c r="G452" s="147" t="s">
        <v>34</v>
      </c>
      <c r="H452" s="191">
        <f t="shared" si="7"/>
        <v>0</v>
      </c>
      <c r="I452" s="136" t="s">
        <v>2387</v>
      </c>
      <c r="J452" s="146">
        <v>90</v>
      </c>
      <c r="K452" s="147">
        <v>11</v>
      </c>
      <c r="L452" s="147">
        <v>1</v>
      </c>
      <c r="M452" s="147">
        <v>12</v>
      </c>
      <c r="N452" s="280"/>
      <c r="O452" s="174"/>
      <c r="P452" s="180"/>
      <c r="Q452" s="147"/>
      <c r="R452" s="129"/>
      <c r="S452" s="147"/>
      <c r="T452" s="129" t="s">
        <v>2091</v>
      </c>
      <c r="U452" s="147" t="s">
        <v>37</v>
      </c>
      <c r="V452" s="215"/>
      <c r="W452" s="147" t="s">
        <v>2214</v>
      </c>
      <c r="X452" s="216"/>
      <c r="Y452" s="263"/>
      <c r="Z452" s="263"/>
      <c r="AA452" s="263"/>
      <c r="AB452" s="305"/>
      <c r="XFC452" s="271"/>
      <c r="XFD452" s="279"/>
    </row>
    <row r="453" spans="1:28 16383:16384" ht="36" x14ac:dyDescent="0.25">
      <c r="A453" s="278"/>
      <c r="B453" s="136">
        <v>1109375</v>
      </c>
      <c r="C453" s="128" t="s">
        <v>30</v>
      </c>
      <c r="D453" s="129" t="s">
        <v>2325</v>
      </c>
      <c r="E453" s="147" t="s">
        <v>1690</v>
      </c>
      <c r="F453" s="129" t="s">
        <v>2091</v>
      </c>
      <c r="G453" s="147" t="s">
        <v>34</v>
      </c>
      <c r="H453" s="191">
        <f t="shared" si="7"/>
        <v>15.603737639481084</v>
      </c>
      <c r="I453" s="136" t="s">
        <v>2388</v>
      </c>
      <c r="J453" s="146">
        <v>90</v>
      </c>
      <c r="K453" s="147">
        <v>11</v>
      </c>
      <c r="L453" s="147">
        <v>1</v>
      </c>
      <c r="M453" s="147">
        <v>12</v>
      </c>
      <c r="N453" s="147">
        <f>360*2.2046</f>
        <v>793.65600000000006</v>
      </c>
      <c r="O453" s="174"/>
      <c r="P453" s="180">
        <v>45972</v>
      </c>
      <c r="Q453" s="282">
        <f>34.4/2.2046</f>
        <v>15.603737639481084</v>
      </c>
      <c r="R453" s="282">
        <v>0</v>
      </c>
      <c r="S453" s="147"/>
      <c r="T453" s="129" t="s">
        <v>2091</v>
      </c>
      <c r="U453" s="147" t="s">
        <v>37</v>
      </c>
      <c r="V453" s="215"/>
      <c r="W453" s="147" t="s">
        <v>2215</v>
      </c>
      <c r="X453" s="216"/>
      <c r="Y453" s="263"/>
      <c r="Z453" s="263"/>
      <c r="AA453" s="263"/>
      <c r="AB453" s="305"/>
      <c r="XFC453" s="271"/>
      <c r="XFD453" s="279"/>
    </row>
    <row r="454" spans="1:28 16383:16384" ht="36" hidden="1" x14ac:dyDescent="0.25">
      <c r="A454" s="278"/>
      <c r="B454" s="136">
        <v>1109376</v>
      </c>
      <c r="C454" s="128" t="s">
        <v>30</v>
      </c>
      <c r="D454" s="129" t="s">
        <v>2326</v>
      </c>
      <c r="E454" s="147"/>
      <c r="F454" s="129" t="s">
        <v>2091</v>
      </c>
      <c r="G454" s="147" t="s">
        <v>34</v>
      </c>
      <c r="H454" s="191">
        <f t="shared" si="7"/>
        <v>0</v>
      </c>
      <c r="I454" s="136" t="s">
        <v>2389</v>
      </c>
      <c r="J454" s="146">
        <v>90</v>
      </c>
      <c r="K454" s="147">
        <v>11</v>
      </c>
      <c r="L454" s="147">
        <v>1</v>
      </c>
      <c r="M454" s="147">
        <v>12</v>
      </c>
      <c r="N454" s="280"/>
      <c r="O454" s="174"/>
      <c r="P454" s="180"/>
      <c r="Q454" s="147"/>
      <c r="R454" s="129"/>
      <c r="S454" s="147"/>
      <c r="T454" s="129" t="s">
        <v>2091</v>
      </c>
      <c r="U454" s="147" t="s">
        <v>37</v>
      </c>
      <c r="V454" s="215"/>
      <c r="W454" s="147" t="s">
        <v>2214</v>
      </c>
      <c r="X454" s="216"/>
      <c r="Y454" s="263"/>
      <c r="Z454" s="263"/>
      <c r="AA454" s="263"/>
      <c r="AB454" s="305"/>
      <c r="XFC454" s="271"/>
      <c r="XFD454" s="279"/>
    </row>
    <row r="455" spans="1:28 16383:16384" ht="36" hidden="1" x14ac:dyDescent="0.25">
      <c r="A455" s="278"/>
      <c r="B455" s="136">
        <v>1109377</v>
      </c>
      <c r="C455" s="128" t="s">
        <v>30</v>
      </c>
      <c r="D455" s="129" t="s">
        <v>2327</v>
      </c>
      <c r="E455" s="147"/>
      <c r="F455" s="129" t="s">
        <v>2091</v>
      </c>
      <c r="G455" s="147" t="s">
        <v>34</v>
      </c>
      <c r="H455" s="191">
        <f t="shared" si="7"/>
        <v>0</v>
      </c>
      <c r="I455" s="136" t="s">
        <v>2390</v>
      </c>
      <c r="J455" s="146">
        <v>90</v>
      </c>
      <c r="K455" s="147">
        <v>11</v>
      </c>
      <c r="L455" s="147">
        <v>1</v>
      </c>
      <c r="M455" s="147">
        <v>12</v>
      </c>
      <c r="N455" s="280"/>
      <c r="O455" s="174"/>
      <c r="P455" s="180"/>
      <c r="Q455" s="147"/>
      <c r="R455" s="129"/>
      <c r="S455" s="147"/>
      <c r="T455" s="129" t="s">
        <v>2091</v>
      </c>
      <c r="U455" s="147" t="s">
        <v>37</v>
      </c>
      <c r="V455" s="215"/>
      <c r="W455" s="147" t="s">
        <v>2214</v>
      </c>
      <c r="X455" s="216"/>
      <c r="Y455" s="263"/>
      <c r="Z455" s="263"/>
      <c r="AA455" s="263"/>
      <c r="AB455" s="305"/>
      <c r="XFC455" s="271"/>
      <c r="XFD455" s="279"/>
    </row>
    <row r="456" spans="1:28 16383:16384" ht="36" hidden="1" x14ac:dyDescent="0.25">
      <c r="A456" s="278"/>
      <c r="B456" s="136">
        <v>1109378</v>
      </c>
      <c r="C456" s="128" t="s">
        <v>30</v>
      </c>
      <c r="D456" s="129" t="s">
        <v>2328</v>
      </c>
      <c r="E456" s="147"/>
      <c r="F456" s="129" t="s">
        <v>2091</v>
      </c>
      <c r="G456" s="147" t="s">
        <v>34</v>
      </c>
      <c r="H456" s="191">
        <f t="shared" si="7"/>
        <v>0</v>
      </c>
      <c r="I456" s="136" t="s">
        <v>2391</v>
      </c>
      <c r="J456" s="146">
        <v>90</v>
      </c>
      <c r="K456" s="147">
        <v>11</v>
      </c>
      <c r="L456" s="147">
        <v>1</v>
      </c>
      <c r="M456" s="147">
        <v>12</v>
      </c>
      <c r="N456" s="280"/>
      <c r="O456" s="174"/>
      <c r="P456" s="180"/>
      <c r="Q456" s="147"/>
      <c r="R456" s="129"/>
      <c r="S456" s="147"/>
      <c r="T456" s="129" t="s">
        <v>2091</v>
      </c>
      <c r="U456" s="147" t="s">
        <v>37</v>
      </c>
      <c r="V456" s="215"/>
      <c r="W456" s="147" t="s">
        <v>2214</v>
      </c>
      <c r="X456" s="216"/>
      <c r="Y456" s="263"/>
      <c r="Z456" s="263"/>
      <c r="AA456" s="263"/>
      <c r="AB456" s="305"/>
      <c r="XFC456" s="271"/>
      <c r="XFD456" s="279"/>
    </row>
    <row r="457" spans="1:28 16383:16384" ht="24" hidden="1" x14ac:dyDescent="0.25">
      <c r="A457" s="278"/>
      <c r="B457" s="136">
        <v>1109379</v>
      </c>
      <c r="C457" s="128" t="s">
        <v>30</v>
      </c>
      <c r="D457" s="129" t="s">
        <v>2417</v>
      </c>
      <c r="E457" s="147" t="s">
        <v>545</v>
      </c>
      <c r="F457" s="129" t="s">
        <v>1838</v>
      </c>
      <c r="G457" s="147" t="s">
        <v>34</v>
      </c>
      <c r="H457" s="191">
        <f t="shared" si="7"/>
        <v>13.21</v>
      </c>
      <c r="I457" s="136" t="s">
        <v>2416</v>
      </c>
      <c r="J457" s="146">
        <v>0</v>
      </c>
      <c r="K457" s="147">
        <v>9</v>
      </c>
      <c r="L457" s="289">
        <v>1</v>
      </c>
      <c r="M457" s="289">
        <v>10</v>
      </c>
      <c r="N457" s="280">
        <v>550</v>
      </c>
      <c r="O457" s="282">
        <v>42.7</v>
      </c>
      <c r="P457" s="180">
        <v>45961</v>
      </c>
      <c r="Q457" s="282">
        <v>13.16</v>
      </c>
      <c r="R457" s="290">
        <v>0.05</v>
      </c>
      <c r="S457" s="147"/>
      <c r="T457" s="129" t="s">
        <v>2091</v>
      </c>
      <c r="U457" s="147" t="s">
        <v>37</v>
      </c>
      <c r="V457" s="215"/>
      <c r="W457" s="147" t="s">
        <v>2214</v>
      </c>
      <c r="X457" s="216"/>
      <c r="Y457" s="263"/>
      <c r="Z457" s="263"/>
      <c r="AA457" s="263"/>
      <c r="AB457" s="305"/>
      <c r="XFC457" s="271"/>
      <c r="XFD457" s="279"/>
    </row>
    <row r="458" spans="1:28 16383:16384" ht="36" hidden="1" x14ac:dyDescent="0.25">
      <c r="A458" s="278"/>
      <c r="B458" s="136">
        <v>1109380</v>
      </c>
      <c r="C458" s="128" t="s">
        <v>30</v>
      </c>
      <c r="D458" s="129" t="s">
        <v>2329</v>
      </c>
      <c r="E458" s="147"/>
      <c r="F458" s="129" t="s">
        <v>2091</v>
      </c>
      <c r="G458" s="147" t="s">
        <v>34</v>
      </c>
      <c r="H458" s="191">
        <f t="shared" si="7"/>
        <v>0</v>
      </c>
      <c r="I458" s="136" t="s">
        <v>2392</v>
      </c>
      <c r="J458" s="146">
        <v>90</v>
      </c>
      <c r="K458" s="147">
        <v>11</v>
      </c>
      <c r="L458" s="147">
        <v>1</v>
      </c>
      <c r="M458" s="147">
        <v>12</v>
      </c>
      <c r="N458" s="280"/>
      <c r="O458" s="174"/>
      <c r="P458" s="180"/>
      <c r="Q458" s="147"/>
      <c r="R458" s="129"/>
      <c r="S458" s="147"/>
      <c r="T458" s="129" t="s">
        <v>2091</v>
      </c>
      <c r="U458" s="147" t="s">
        <v>37</v>
      </c>
      <c r="V458" s="215"/>
      <c r="W458" s="147" t="s">
        <v>2214</v>
      </c>
      <c r="X458" s="216"/>
      <c r="Y458" s="263"/>
      <c r="Z458" s="263"/>
      <c r="AA458" s="263"/>
      <c r="AB458" s="305"/>
      <c r="XFC458" s="271"/>
      <c r="XFD458" s="279"/>
    </row>
    <row r="459" spans="1:28 16383:16384" ht="36" x14ac:dyDescent="0.25">
      <c r="A459" s="278"/>
      <c r="B459" s="136">
        <v>1109381</v>
      </c>
      <c r="C459" s="128" t="s">
        <v>30</v>
      </c>
      <c r="D459" s="129" t="s">
        <v>2541</v>
      </c>
      <c r="E459" s="147" t="s">
        <v>2406</v>
      </c>
      <c r="F459" s="129" t="s">
        <v>2357</v>
      </c>
      <c r="G459" s="147" t="s">
        <v>34</v>
      </c>
      <c r="H459" s="191">
        <f t="shared" si="7"/>
        <v>3.63</v>
      </c>
      <c r="I459" s="136" t="s">
        <v>2393</v>
      </c>
      <c r="J459" s="146">
        <v>30</v>
      </c>
      <c r="K459" s="147">
        <v>10</v>
      </c>
      <c r="L459" s="147">
        <v>1</v>
      </c>
      <c r="M459" s="147">
        <v>12</v>
      </c>
      <c r="N459" s="280">
        <v>4497</v>
      </c>
      <c r="O459" s="282">
        <f>6.68/2.2046</f>
        <v>3.0300281230155126</v>
      </c>
      <c r="P459" s="180">
        <v>46062</v>
      </c>
      <c r="Q459" s="282">
        <v>3.63</v>
      </c>
      <c r="R459" s="282">
        <v>0</v>
      </c>
      <c r="S459" s="147"/>
      <c r="T459" s="129" t="s">
        <v>2091</v>
      </c>
      <c r="U459" s="147" t="s">
        <v>37</v>
      </c>
      <c r="V459" s="215"/>
      <c r="W459" s="147" t="s">
        <v>2213</v>
      </c>
      <c r="X459" s="216"/>
      <c r="Y459" s="263"/>
      <c r="Z459" s="263"/>
      <c r="AA459" s="263"/>
      <c r="AB459" s="305"/>
      <c r="XFC459" s="271"/>
      <c r="XFD459" s="279"/>
    </row>
    <row r="460" spans="1:28 16383:16384" ht="36" x14ac:dyDescent="0.25">
      <c r="A460" s="278"/>
      <c r="B460" s="136">
        <v>1109382</v>
      </c>
      <c r="C460" s="128" t="s">
        <v>30</v>
      </c>
      <c r="D460" s="129" t="s">
        <v>2560</v>
      </c>
      <c r="E460" s="147" t="s">
        <v>2200</v>
      </c>
      <c r="F460" s="129" t="s">
        <v>2091</v>
      </c>
      <c r="G460" s="147" t="s">
        <v>34</v>
      </c>
      <c r="H460" s="191">
        <f t="shared" si="7"/>
        <v>20.439081919622609</v>
      </c>
      <c r="I460" s="136" t="s">
        <v>2394</v>
      </c>
      <c r="J460" s="146">
        <v>90</v>
      </c>
      <c r="K460" s="147">
        <v>11</v>
      </c>
      <c r="L460" s="147">
        <v>1</v>
      </c>
      <c r="M460" s="147">
        <v>12</v>
      </c>
      <c r="N460" s="329">
        <f>47.481*2.2046</f>
        <v>104.67661260000001</v>
      </c>
      <c r="O460" s="174"/>
      <c r="P460" s="180">
        <v>45971</v>
      </c>
      <c r="Q460" s="282">
        <f>45.06/2.2046</f>
        <v>20.439081919622609</v>
      </c>
      <c r="R460" s="290">
        <v>0</v>
      </c>
      <c r="S460" s="147"/>
      <c r="T460" s="129" t="s">
        <v>2091</v>
      </c>
      <c r="U460" s="147" t="s">
        <v>37</v>
      </c>
      <c r="V460" s="215"/>
      <c r="W460" s="147" t="s">
        <v>2215</v>
      </c>
      <c r="X460" s="216"/>
      <c r="Y460" s="263"/>
      <c r="Z460" s="263"/>
      <c r="AA460" s="263"/>
      <c r="AB460" s="305"/>
      <c r="XFC460" s="271"/>
      <c r="XFD460" s="279"/>
    </row>
    <row r="461" spans="1:28 16383:16384" ht="36" x14ac:dyDescent="0.25">
      <c r="A461" s="278"/>
      <c r="B461" s="136">
        <v>1109383</v>
      </c>
      <c r="C461" s="128" t="s">
        <v>30</v>
      </c>
      <c r="D461" s="129" t="s">
        <v>2330</v>
      </c>
      <c r="E461" s="147" t="s">
        <v>2200</v>
      </c>
      <c r="F461" s="129" t="s">
        <v>2091</v>
      </c>
      <c r="G461" s="147" t="s">
        <v>34</v>
      </c>
      <c r="H461" s="191">
        <f t="shared" si="7"/>
        <v>26.313163385648188</v>
      </c>
      <c r="I461" s="136" t="s">
        <v>2395</v>
      </c>
      <c r="J461" s="146">
        <v>90</v>
      </c>
      <c r="K461" s="147">
        <v>11</v>
      </c>
      <c r="L461" s="147">
        <v>1</v>
      </c>
      <c r="M461" s="147">
        <v>12</v>
      </c>
      <c r="N461" s="280">
        <f>20*2.2046</f>
        <v>44.091999999999999</v>
      </c>
      <c r="O461" s="174"/>
      <c r="P461" s="180">
        <v>45943</v>
      </c>
      <c r="Q461" s="282">
        <f>58.01/2.2046</f>
        <v>26.313163385648188</v>
      </c>
      <c r="R461" s="129"/>
      <c r="S461" s="147"/>
      <c r="T461" s="129" t="s">
        <v>2091</v>
      </c>
      <c r="U461" s="147" t="s">
        <v>37</v>
      </c>
      <c r="V461" s="215"/>
      <c r="W461" s="147" t="s">
        <v>2215</v>
      </c>
      <c r="X461" s="216"/>
      <c r="Y461" s="263"/>
      <c r="Z461" s="263"/>
      <c r="AA461" s="263"/>
      <c r="AB461" s="305"/>
      <c r="XFC461" s="271"/>
      <c r="XFD461" s="279"/>
    </row>
    <row r="462" spans="1:28 16383:16384" ht="24" x14ac:dyDescent="0.25">
      <c r="A462" s="278"/>
      <c r="B462" s="136">
        <v>1109384</v>
      </c>
      <c r="C462" s="128" t="s">
        <v>30</v>
      </c>
      <c r="D462" s="129" t="s">
        <v>2690</v>
      </c>
      <c r="E462" s="147" t="s">
        <v>32</v>
      </c>
      <c r="F462" s="129" t="s">
        <v>323</v>
      </c>
      <c r="G462" s="147" t="s">
        <v>34</v>
      </c>
      <c r="H462" s="191">
        <f t="shared" si="7"/>
        <v>7.35</v>
      </c>
      <c r="I462" s="136" t="s">
        <v>2556</v>
      </c>
      <c r="J462" s="146">
        <v>30</v>
      </c>
      <c r="K462" s="147">
        <v>11</v>
      </c>
      <c r="L462" s="147">
        <v>1</v>
      </c>
      <c r="M462" s="147">
        <v>12</v>
      </c>
      <c r="N462" s="147">
        <v>551</v>
      </c>
      <c r="O462" s="282">
        <f>16.84/2.2046</f>
        <v>7.6385738909552749</v>
      </c>
      <c r="P462" s="180">
        <v>46062</v>
      </c>
      <c r="Q462" s="282">
        <v>7.3</v>
      </c>
      <c r="R462" s="282">
        <v>0.05</v>
      </c>
      <c r="S462" s="147"/>
      <c r="T462" s="129" t="s">
        <v>2091</v>
      </c>
      <c r="U462" s="147" t="s">
        <v>37</v>
      </c>
      <c r="V462" s="215"/>
      <c r="W462" s="147" t="s">
        <v>2213</v>
      </c>
      <c r="X462" s="216"/>
      <c r="Y462" s="263"/>
      <c r="Z462" s="263"/>
      <c r="AA462" s="263"/>
      <c r="AB462" s="305"/>
      <c r="XFC462" s="271"/>
      <c r="XFD462" s="279"/>
    </row>
    <row r="463" spans="1:28 16383:16384" ht="24" x14ac:dyDescent="0.25">
      <c r="A463" s="278"/>
      <c r="B463" s="136">
        <v>1109385</v>
      </c>
      <c r="C463" s="128" t="s">
        <v>30</v>
      </c>
      <c r="D463" s="129" t="s">
        <v>2418</v>
      </c>
      <c r="E463" s="147" t="s">
        <v>843</v>
      </c>
      <c r="F463" s="129" t="s">
        <v>1748</v>
      </c>
      <c r="G463" s="147" t="s">
        <v>34</v>
      </c>
      <c r="H463" s="191">
        <f t="shared" si="7"/>
        <v>10.030000000000001</v>
      </c>
      <c r="I463" s="136" t="s">
        <v>2419</v>
      </c>
      <c r="J463" s="146">
        <v>0</v>
      </c>
      <c r="K463" s="147">
        <v>5</v>
      </c>
      <c r="L463" s="147">
        <v>1</v>
      </c>
      <c r="M463" s="147">
        <v>6</v>
      </c>
      <c r="N463" s="147">
        <v>220</v>
      </c>
      <c r="O463" s="174">
        <f>21.75/2.2046</f>
        <v>9.8657352807765584</v>
      </c>
      <c r="P463" s="180">
        <v>45959</v>
      </c>
      <c r="Q463" s="282">
        <v>9.98</v>
      </c>
      <c r="R463" s="282">
        <v>0.05</v>
      </c>
      <c r="S463" s="147"/>
      <c r="T463" s="129" t="s">
        <v>2091</v>
      </c>
      <c r="U463" s="147" t="s">
        <v>37</v>
      </c>
      <c r="V463" s="215"/>
      <c r="W463" s="147" t="s">
        <v>2215</v>
      </c>
      <c r="X463" s="216"/>
      <c r="Y463" s="263"/>
      <c r="Z463" s="263"/>
      <c r="AA463" s="263"/>
      <c r="AB463" s="305"/>
      <c r="XFC463" s="271"/>
      <c r="XFD463" s="279"/>
    </row>
    <row r="464" spans="1:28 16383:16384" ht="48" x14ac:dyDescent="0.25">
      <c r="A464" s="278"/>
      <c r="B464" s="136">
        <v>1109386</v>
      </c>
      <c r="C464" s="128" t="s">
        <v>30</v>
      </c>
      <c r="D464" s="129" t="s">
        <v>2331</v>
      </c>
      <c r="E464" s="297" t="s">
        <v>131</v>
      </c>
      <c r="F464" s="129" t="s">
        <v>2091</v>
      </c>
      <c r="G464" s="147" t="s">
        <v>34</v>
      </c>
      <c r="H464" s="191">
        <f t="shared" si="7"/>
        <v>5.6654268347999635</v>
      </c>
      <c r="I464" s="136" t="s">
        <v>2396</v>
      </c>
      <c r="J464" s="146">
        <v>90</v>
      </c>
      <c r="K464" s="147">
        <v>11</v>
      </c>
      <c r="L464" s="147">
        <v>1</v>
      </c>
      <c r="M464" s="147">
        <v>12</v>
      </c>
      <c r="N464" s="289">
        <f>20*2.2046</f>
        <v>44.091999999999999</v>
      </c>
      <c r="O464" s="174"/>
      <c r="P464" s="180">
        <v>45943</v>
      </c>
      <c r="Q464" s="282">
        <f>12.49/2.2046</f>
        <v>5.6654268347999635</v>
      </c>
      <c r="R464" s="129"/>
      <c r="S464" s="147"/>
      <c r="T464" s="129" t="s">
        <v>2091</v>
      </c>
      <c r="U464" s="147" t="s">
        <v>37</v>
      </c>
      <c r="V464" s="215"/>
      <c r="W464" s="147" t="s">
        <v>2213</v>
      </c>
      <c r="X464" s="216"/>
      <c r="Y464" s="263"/>
      <c r="Z464" s="263"/>
      <c r="AA464" s="263"/>
      <c r="AB464" s="305"/>
      <c r="XFC464" s="271"/>
      <c r="XFD464" s="279"/>
    </row>
    <row r="465" spans="1:29 16379:16384" hidden="1" x14ac:dyDescent="0.25">
      <c r="A465" s="278"/>
      <c r="B465" s="300">
        <v>1109387</v>
      </c>
      <c r="C465" s="128" t="s">
        <v>30</v>
      </c>
      <c r="D465" s="129" t="s">
        <v>2340</v>
      </c>
      <c r="E465" s="147" t="s">
        <v>1808</v>
      </c>
      <c r="F465" s="129" t="s">
        <v>2338</v>
      </c>
      <c r="G465" s="147" t="s">
        <v>34</v>
      </c>
      <c r="H465" s="191">
        <f t="shared" si="7"/>
        <v>2.3199999999999998</v>
      </c>
      <c r="I465" s="147"/>
      <c r="J465" s="146">
        <v>0</v>
      </c>
      <c r="K465" s="147">
        <v>9</v>
      </c>
      <c r="L465" s="147">
        <v>1</v>
      </c>
      <c r="M465" s="281">
        <v>10</v>
      </c>
      <c r="N465" s="147">
        <v>12000</v>
      </c>
      <c r="O465" s="174"/>
      <c r="P465" s="180">
        <v>45936</v>
      </c>
      <c r="Q465" s="176">
        <v>2.27</v>
      </c>
      <c r="R465" s="129">
        <v>0.05</v>
      </c>
      <c r="S465" s="147"/>
      <c r="T465" s="129" t="s">
        <v>2339</v>
      </c>
      <c r="U465" s="147" t="s">
        <v>37</v>
      </c>
      <c r="V465" s="215"/>
      <c r="W465" s="228" t="s">
        <v>54</v>
      </c>
      <c r="X465" s="216"/>
      <c r="Y465" s="263"/>
      <c r="Z465" s="263"/>
      <c r="AA465" s="263"/>
      <c r="AB465" s="305"/>
      <c r="XFC465" s="271"/>
      <c r="XFD465" s="279"/>
    </row>
    <row r="466" spans="1:29 16379:16384" hidden="1" x14ac:dyDescent="0.25">
      <c r="A466" s="278"/>
      <c r="B466" s="136">
        <v>1109388</v>
      </c>
      <c r="C466" s="128" t="s">
        <v>30</v>
      </c>
      <c r="D466" s="129" t="s">
        <v>2335</v>
      </c>
      <c r="E466" s="147" t="s">
        <v>43</v>
      </c>
      <c r="F466" s="129" t="s">
        <v>276</v>
      </c>
      <c r="G466" s="147" t="s">
        <v>34</v>
      </c>
      <c r="H466" s="191">
        <f t="shared" si="7"/>
        <v>2.0299999999999998</v>
      </c>
      <c r="I466" s="129" t="s">
        <v>2084</v>
      </c>
      <c r="J466" s="146">
        <v>0</v>
      </c>
      <c r="K466" s="147">
        <v>11</v>
      </c>
      <c r="L466" s="147">
        <v>1</v>
      </c>
      <c r="M466" s="281">
        <v>12</v>
      </c>
      <c r="N466" s="147">
        <v>6600</v>
      </c>
      <c r="O466" s="174"/>
      <c r="P466" s="180">
        <v>45936</v>
      </c>
      <c r="Q466" s="176">
        <v>1.98</v>
      </c>
      <c r="R466" s="284">
        <v>0.05</v>
      </c>
      <c r="S466" s="147"/>
      <c r="T466" s="129" t="s">
        <v>2339</v>
      </c>
      <c r="U466" s="147" t="s">
        <v>37</v>
      </c>
      <c r="V466" s="215"/>
      <c r="W466" s="147" t="s">
        <v>2214</v>
      </c>
      <c r="X466" s="294" t="s">
        <v>2447</v>
      </c>
      <c r="Y466" s="263"/>
      <c r="Z466" s="263"/>
      <c r="AA466" s="263"/>
      <c r="AB466" s="305"/>
      <c r="XFC466" s="271"/>
      <c r="XFD466" s="279"/>
    </row>
    <row r="467" spans="1:29 16379:16384" x14ac:dyDescent="0.25">
      <c r="A467" s="278"/>
      <c r="B467" s="136">
        <v>1109389</v>
      </c>
      <c r="C467" s="128" t="s">
        <v>30</v>
      </c>
      <c r="D467" s="129" t="s">
        <v>2336</v>
      </c>
      <c r="E467" s="295" t="s">
        <v>32</v>
      </c>
      <c r="F467" s="222" t="s">
        <v>2015</v>
      </c>
      <c r="G467" s="147" t="s">
        <v>34</v>
      </c>
      <c r="H467" s="191">
        <f t="shared" si="7"/>
        <v>3.6199999999999997</v>
      </c>
      <c r="I467" s="129" t="s">
        <v>2084</v>
      </c>
      <c r="J467" s="146">
        <v>0</v>
      </c>
      <c r="K467" s="147">
        <v>9</v>
      </c>
      <c r="L467" s="147">
        <v>1</v>
      </c>
      <c r="M467" s="280">
        <v>10</v>
      </c>
      <c r="N467" s="147">
        <v>6614</v>
      </c>
      <c r="O467" s="205"/>
      <c r="P467" s="180">
        <v>45936</v>
      </c>
      <c r="Q467" s="176">
        <v>3.57</v>
      </c>
      <c r="R467" s="129">
        <v>0.05</v>
      </c>
      <c r="S467" s="147"/>
      <c r="T467" s="129" t="s">
        <v>2339</v>
      </c>
      <c r="U467" s="147" t="s">
        <v>37</v>
      </c>
      <c r="V467" s="147"/>
      <c r="W467" s="147" t="s">
        <v>2215</v>
      </c>
      <c r="X467" s="263"/>
      <c r="Y467" s="263"/>
      <c r="Z467" s="263"/>
      <c r="AA467" s="263"/>
      <c r="AB467" s="306" t="s">
        <v>2576</v>
      </c>
      <c r="XFB467" s="271"/>
      <c r="XFC467" s="279"/>
      <c r="XFD467" s="279"/>
    </row>
    <row r="468" spans="1:29 16379:16384" ht="36" x14ac:dyDescent="0.25">
      <c r="A468" s="278"/>
      <c r="B468" s="129">
        <v>1109390</v>
      </c>
      <c r="C468" s="128" t="s">
        <v>30</v>
      </c>
      <c r="D468" s="129" t="s">
        <v>2361</v>
      </c>
      <c r="E468" s="295" t="s">
        <v>32</v>
      </c>
      <c r="F468" s="129" t="s">
        <v>2357</v>
      </c>
      <c r="G468" s="147" t="s">
        <v>34</v>
      </c>
      <c r="H468" s="191">
        <f t="shared" si="7"/>
        <v>4.785448607457135</v>
      </c>
      <c r="I468" s="136" t="s">
        <v>2397</v>
      </c>
      <c r="J468" s="146">
        <v>30</v>
      </c>
      <c r="K468" s="289">
        <v>11</v>
      </c>
      <c r="L468" s="292">
        <v>1</v>
      </c>
      <c r="M468" s="147">
        <v>12</v>
      </c>
      <c r="N468" s="348">
        <f>2040*2.2046</f>
        <v>4497.384</v>
      </c>
      <c r="O468" s="205"/>
      <c r="P468" s="180">
        <v>45971</v>
      </c>
      <c r="Q468" s="290">
        <f>10.55/2.2046</f>
        <v>4.785448607457135</v>
      </c>
      <c r="R468" s="282">
        <v>0</v>
      </c>
      <c r="S468" s="129"/>
      <c r="T468" s="129" t="s">
        <v>2091</v>
      </c>
      <c r="U468" s="147" t="s">
        <v>37</v>
      </c>
      <c r="V468" s="147"/>
      <c r="W468" s="147" t="s">
        <v>2213</v>
      </c>
      <c r="X468" s="263"/>
      <c r="Y468" s="263"/>
      <c r="Z468" s="263"/>
      <c r="AA468" s="263"/>
      <c r="AB468" s="305"/>
      <c r="XFB468" s="271"/>
      <c r="XFC468" s="279"/>
      <c r="XFD468" s="279"/>
    </row>
    <row r="469" spans="1:29 16379:16384" hidden="1" x14ac:dyDescent="0.25">
      <c r="A469" s="286"/>
      <c r="B469" s="129">
        <v>1109391</v>
      </c>
      <c r="C469" s="128" t="s">
        <v>30</v>
      </c>
      <c r="D469" s="129" t="s">
        <v>2374</v>
      </c>
      <c r="E469" s="147" t="s">
        <v>1808</v>
      </c>
      <c r="F469" s="129" t="s">
        <v>1791</v>
      </c>
      <c r="G469" s="147" t="s">
        <v>34</v>
      </c>
      <c r="H469" s="191">
        <f t="shared" si="7"/>
        <v>4.4669999999999996</v>
      </c>
      <c r="I469" s="129" t="s">
        <v>2084</v>
      </c>
      <c r="J469" s="146">
        <v>30</v>
      </c>
      <c r="K469" s="147">
        <v>8</v>
      </c>
      <c r="L469" s="147">
        <v>1</v>
      </c>
      <c r="M469" s="147">
        <v>9</v>
      </c>
      <c r="N469" s="349">
        <v>1653</v>
      </c>
      <c r="O469" s="180"/>
      <c r="P469" s="180">
        <v>45952</v>
      </c>
      <c r="Q469" s="174">
        <v>4.4169999999999998</v>
      </c>
      <c r="R469" s="205">
        <v>0.05</v>
      </c>
      <c r="S469" s="147"/>
      <c r="T469" s="129" t="s">
        <v>1848</v>
      </c>
      <c r="U469" s="147" t="s">
        <v>35</v>
      </c>
      <c r="V469" s="147"/>
      <c r="W469" s="147" t="s">
        <v>2214</v>
      </c>
      <c r="X469" s="215" t="s">
        <v>1009</v>
      </c>
      <c r="Y469" s="263"/>
      <c r="Z469" s="263"/>
      <c r="AA469" s="263"/>
      <c r="AB469" s="301"/>
      <c r="AC469" s="212"/>
      <c r="XFA469" s="271"/>
      <c r="XFB469" s="279"/>
      <c r="XFC469" s="279"/>
      <c r="XFD469" s="287"/>
    </row>
    <row r="470" spans="1:29 16379:16384" ht="24" hidden="1" x14ac:dyDescent="0.25">
      <c r="A470" s="286"/>
      <c r="B470" s="129">
        <v>1109392</v>
      </c>
      <c r="C470" s="128" t="s">
        <v>30</v>
      </c>
      <c r="D470" s="129" t="s">
        <v>2405</v>
      </c>
      <c r="E470" s="147" t="s">
        <v>2406</v>
      </c>
      <c r="F470" s="129" t="s">
        <v>1685</v>
      </c>
      <c r="G470" s="147" t="s">
        <v>34</v>
      </c>
      <c r="H470" s="191">
        <f t="shared" si="7"/>
        <v>2.8929999999999998</v>
      </c>
      <c r="I470" s="222" t="s">
        <v>2226</v>
      </c>
      <c r="J470" s="146">
        <v>30</v>
      </c>
      <c r="K470" s="147">
        <v>11</v>
      </c>
      <c r="L470" s="147">
        <v>1</v>
      </c>
      <c r="M470" s="147">
        <v>12</v>
      </c>
      <c r="N470" s="349">
        <v>1653</v>
      </c>
      <c r="O470" s="180"/>
      <c r="P470" s="180">
        <v>45954</v>
      </c>
      <c r="Q470" s="174">
        <v>2.8929999999999998</v>
      </c>
      <c r="R470" s="174"/>
      <c r="S470" s="165" t="s">
        <v>35</v>
      </c>
      <c r="T470" s="129" t="s">
        <v>2211</v>
      </c>
      <c r="U470" s="147" t="s">
        <v>37</v>
      </c>
      <c r="V470" s="147"/>
      <c r="W470" s="147" t="s">
        <v>2214</v>
      </c>
      <c r="X470" s="215" t="s">
        <v>1856</v>
      </c>
      <c r="Y470" s="263"/>
      <c r="Z470" s="263"/>
      <c r="AA470" s="263"/>
      <c r="AB470" s="242"/>
      <c r="AC470" s="212"/>
      <c r="XEZ470" s="271"/>
      <c r="XFA470" s="279"/>
      <c r="XFB470" s="279"/>
      <c r="XFC470" s="287"/>
      <c r="XFD470" s="279"/>
    </row>
    <row r="471" spans="1:29 16379:16384" ht="24" x14ac:dyDescent="0.25">
      <c r="A471" s="274"/>
      <c r="B471" s="136">
        <v>1109393</v>
      </c>
      <c r="C471" s="129" t="s">
        <v>30</v>
      </c>
      <c r="D471" s="129" t="s">
        <v>2466</v>
      </c>
      <c r="E471" s="147" t="s">
        <v>2467</v>
      </c>
      <c r="F471" s="129" t="s">
        <v>323</v>
      </c>
      <c r="G471" s="147" t="s">
        <v>34</v>
      </c>
      <c r="H471" s="191">
        <f t="shared" si="7"/>
        <v>5.28</v>
      </c>
      <c r="I471" s="136" t="s">
        <v>2468</v>
      </c>
      <c r="J471" s="146">
        <v>30</v>
      </c>
      <c r="K471" s="147">
        <v>18</v>
      </c>
      <c r="L471" s="147">
        <v>2</v>
      </c>
      <c r="M471" s="147">
        <v>20</v>
      </c>
      <c r="N471" s="289">
        <v>1300</v>
      </c>
      <c r="O471" s="174">
        <f>14.63/2.2046</f>
        <v>6.636124467023496</v>
      </c>
      <c r="P471" s="180">
        <v>46002</v>
      </c>
      <c r="Q471" s="174">
        <v>5.23</v>
      </c>
      <c r="R471" s="165">
        <v>0.05</v>
      </c>
      <c r="S471" s="129"/>
      <c r="T471" s="129" t="s">
        <v>2091</v>
      </c>
      <c r="U471" s="147" t="s">
        <v>37</v>
      </c>
      <c r="V471" s="147"/>
      <c r="W471" s="147" t="s">
        <v>2213</v>
      </c>
      <c r="X471" s="313" t="s">
        <v>1009</v>
      </c>
      <c r="Y471" s="263"/>
      <c r="Z471" s="263"/>
      <c r="AA471" s="263"/>
      <c r="AB471" s="305"/>
      <c r="AC471" s="212"/>
      <c r="XEY471" s="271"/>
      <c r="XEZ471" s="279"/>
      <c r="XFA471" s="279"/>
      <c r="XFB471" s="287"/>
      <c r="XFC471" s="279"/>
      <c r="XFD471" s="135"/>
    </row>
    <row r="472" spans="1:29 16379:16384" x14ac:dyDescent="0.25">
      <c r="B472" s="136">
        <v>1109394</v>
      </c>
      <c r="C472" s="128" t="s">
        <v>30</v>
      </c>
      <c r="D472" s="127" t="s">
        <v>2454</v>
      </c>
      <c r="E472" s="147" t="s">
        <v>1808</v>
      </c>
      <c r="F472" s="129" t="s">
        <v>276</v>
      </c>
      <c r="G472" s="147" t="s">
        <v>34</v>
      </c>
      <c r="H472" s="191">
        <f t="shared" si="7"/>
        <v>6.3597000000000001</v>
      </c>
      <c r="I472" s="129" t="s">
        <v>2084</v>
      </c>
      <c r="J472" s="146">
        <v>0</v>
      </c>
      <c r="K472" s="147">
        <v>16</v>
      </c>
      <c r="L472" s="147">
        <v>1</v>
      </c>
      <c r="M472" s="147">
        <v>17</v>
      </c>
      <c r="N472" s="289">
        <v>6614</v>
      </c>
      <c r="O472" s="195"/>
      <c r="P472" s="180">
        <v>45982</v>
      </c>
      <c r="Q472" s="174">
        <v>5.72</v>
      </c>
      <c r="R472" s="284">
        <f>0.5897+0.05</f>
        <v>0.63970000000000005</v>
      </c>
      <c r="S472" s="147"/>
      <c r="T472" s="129" t="s">
        <v>2339</v>
      </c>
      <c r="U472" s="147" t="s">
        <v>37</v>
      </c>
      <c r="V472" s="129"/>
      <c r="W472" s="147" t="s">
        <v>2213</v>
      </c>
      <c r="X472" s="215" t="s">
        <v>2455</v>
      </c>
      <c r="Y472" s="216"/>
      <c r="Z472" s="216"/>
      <c r="AA472" s="303">
        <v>46031</v>
      </c>
      <c r="AB472" s="306" t="s">
        <v>2538</v>
      </c>
      <c r="AC472" s="212"/>
    </row>
    <row r="473" spans="1:29 16379:16384" x14ac:dyDescent="0.25">
      <c r="B473" s="136">
        <v>1109395</v>
      </c>
      <c r="C473" s="128" t="s">
        <v>30</v>
      </c>
      <c r="D473" s="127" t="s">
        <v>2475</v>
      </c>
      <c r="E473" s="147" t="s">
        <v>2476</v>
      </c>
      <c r="F473" s="129" t="s">
        <v>276</v>
      </c>
      <c r="G473" s="147" t="s">
        <v>34</v>
      </c>
      <c r="H473" s="191">
        <f t="shared" si="7"/>
        <v>1.75</v>
      </c>
      <c r="I473" s="129" t="s">
        <v>2084</v>
      </c>
      <c r="J473" s="146">
        <v>0</v>
      </c>
      <c r="K473" s="147">
        <v>13</v>
      </c>
      <c r="L473" s="147">
        <v>1</v>
      </c>
      <c r="M473" s="147">
        <v>14</v>
      </c>
      <c r="N473" s="289">
        <v>8818</v>
      </c>
      <c r="O473" s="195"/>
      <c r="P473" s="180">
        <v>46048</v>
      </c>
      <c r="Q473" s="174">
        <v>1.75</v>
      </c>
      <c r="R473" s="205"/>
      <c r="S473" s="147"/>
      <c r="T473" s="129" t="s">
        <v>2339</v>
      </c>
      <c r="U473" s="147" t="s">
        <v>37</v>
      </c>
      <c r="V473" s="129"/>
      <c r="W473" s="147" t="s">
        <v>2213</v>
      </c>
      <c r="X473" s="215" t="s">
        <v>2447</v>
      </c>
      <c r="Y473" s="216"/>
      <c r="Z473" s="216"/>
      <c r="AA473" s="303">
        <v>46099</v>
      </c>
      <c r="AB473" s="306" t="s">
        <v>2603</v>
      </c>
      <c r="AC473" s="212"/>
    </row>
    <row r="474" spans="1:29 16379:16384" hidden="1" x14ac:dyDescent="0.25">
      <c r="A474" s="315"/>
      <c r="B474" s="136">
        <v>1109396</v>
      </c>
      <c r="C474" s="128" t="s">
        <v>30</v>
      </c>
      <c r="D474" s="129" t="s">
        <v>2568</v>
      </c>
      <c r="E474" s="147" t="s">
        <v>2406</v>
      </c>
      <c r="F474" s="129" t="s">
        <v>2571</v>
      </c>
      <c r="G474" s="147" t="s">
        <v>34</v>
      </c>
      <c r="H474" s="191">
        <f t="shared" si="7"/>
        <v>2.6799999999999997</v>
      </c>
      <c r="I474" s="129" t="s">
        <v>2572</v>
      </c>
      <c r="J474" s="147"/>
      <c r="K474" s="147">
        <v>3</v>
      </c>
      <c r="L474" s="147">
        <v>1</v>
      </c>
      <c r="M474" s="147">
        <v>4</v>
      </c>
      <c r="N474" s="281"/>
      <c r="O474" s="180"/>
      <c r="P474" s="174"/>
      <c r="Q474" s="284">
        <v>2.63</v>
      </c>
      <c r="R474" s="282">
        <v>0.05</v>
      </c>
      <c r="S474" s="129"/>
      <c r="T474" s="129" t="s">
        <v>2573</v>
      </c>
      <c r="U474" s="147" t="s">
        <v>37</v>
      </c>
      <c r="V474" s="147"/>
      <c r="W474" s="215" t="s">
        <v>2214</v>
      </c>
      <c r="X474" s="216"/>
      <c r="Y474" s="216"/>
      <c r="Z474" s="263"/>
      <c r="AA474" s="263"/>
      <c r="AB474" s="263"/>
      <c r="AC474" s="212"/>
      <c r="XFD474" s="317"/>
    </row>
    <row r="475" spans="1:29 16379:16384" hidden="1" x14ac:dyDescent="0.25">
      <c r="A475" s="315"/>
      <c r="B475" s="136">
        <v>1109397</v>
      </c>
      <c r="C475" s="128" t="s">
        <v>30</v>
      </c>
      <c r="D475" s="129" t="s">
        <v>2569</v>
      </c>
      <c r="E475" s="147" t="s">
        <v>66</v>
      </c>
      <c r="F475" s="129" t="s">
        <v>2571</v>
      </c>
      <c r="G475" s="147" t="s">
        <v>34</v>
      </c>
      <c r="H475" s="191">
        <f t="shared" si="7"/>
        <v>2.42</v>
      </c>
      <c r="I475" s="129" t="s">
        <v>2572</v>
      </c>
      <c r="J475" s="147"/>
      <c r="K475" s="147">
        <v>3</v>
      </c>
      <c r="L475" s="147">
        <v>1</v>
      </c>
      <c r="M475" s="147">
        <v>4</v>
      </c>
      <c r="N475" s="281"/>
      <c r="O475" s="180"/>
      <c r="P475" s="174"/>
      <c r="Q475" s="284">
        <v>2.37</v>
      </c>
      <c r="R475" s="282">
        <v>0.05</v>
      </c>
      <c r="S475" s="129"/>
      <c r="T475" s="129" t="s">
        <v>2573</v>
      </c>
      <c r="U475" s="147" t="s">
        <v>37</v>
      </c>
      <c r="V475" s="147"/>
      <c r="W475" s="215" t="s">
        <v>2214</v>
      </c>
      <c r="X475" s="216"/>
      <c r="Y475" s="216"/>
      <c r="Z475" s="263"/>
      <c r="AA475" s="263"/>
      <c r="AB475" s="263"/>
      <c r="AC475" s="212"/>
      <c r="XFD475" s="317"/>
    </row>
    <row r="476" spans="1:29 16379:16384" hidden="1" x14ac:dyDescent="0.25">
      <c r="A476" s="315"/>
      <c r="B476" s="136">
        <v>1109398</v>
      </c>
      <c r="C476" s="128" t="s">
        <v>30</v>
      </c>
      <c r="D476" s="129" t="s">
        <v>2570</v>
      </c>
      <c r="E476" s="147" t="s">
        <v>32</v>
      </c>
      <c r="F476" s="129" t="s">
        <v>2571</v>
      </c>
      <c r="G476" s="147" t="s">
        <v>34</v>
      </c>
      <c r="H476" s="191">
        <f t="shared" si="7"/>
        <v>1.75</v>
      </c>
      <c r="I476" s="129" t="s">
        <v>2572</v>
      </c>
      <c r="J476" s="147"/>
      <c r="K476" s="147">
        <v>3</v>
      </c>
      <c r="L476" s="147">
        <v>1</v>
      </c>
      <c r="M476" s="147">
        <v>4</v>
      </c>
      <c r="N476" s="281"/>
      <c r="O476" s="180"/>
      <c r="P476" s="174"/>
      <c r="Q476" s="284">
        <v>1.7</v>
      </c>
      <c r="R476" s="282">
        <v>0.05</v>
      </c>
      <c r="S476" s="129"/>
      <c r="T476" s="129" t="s">
        <v>2573</v>
      </c>
      <c r="U476" s="147" t="s">
        <v>37</v>
      </c>
      <c r="V476" s="147"/>
      <c r="W476" s="215" t="s">
        <v>2214</v>
      </c>
      <c r="X476" s="216"/>
      <c r="Y476" s="216"/>
      <c r="Z476" s="263"/>
      <c r="AA476" s="263"/>
      <c r="AB476" s="263"/>
      <c r="AC476" s="212"/>
      <c r="XFD476" s="317"/>
    </row>
    <row r="477" spans="1:29 16379:16384" ht="24" hidden="1" x14ac:dyDescent="0.25">
      <c r="A477" s="315"/>
      <c r="B477" s="136">
        <v>1109399</v>
      </c>
      <c r="C477" s="128" t="s">
        <v>30</v>
      </c>
      <c r="D477" s="129" t="s">
        <v>2586</v>
      </c>
      <c r="E477" s="129" t="s">
        <v>2587</v>
      </c>
      <c r="F477" s="129" t="s">
        <v>271</v>
      </c>
      <c r="G477" s="147" t="s">
        <v>34</v>
      </c>
      <c r="H477" s="191">
        <f t="shared" si="7"/>
        <v>2.04</v>
      </c>
      <c r="I477" s="136" t="s">
        <v>2588</v>
      </c>
      <c r="J477" s="147"/>
      <c r="K477" s="147">
        <v>12</v>
      </c>
      <c r="L477" s="147">
        <v>1</v>
      </c>
      <c r="M477" s="147">
        <v>13</v>
      </c>
      <c r="N477" s="289">
        <v>35000</v>
      </c>
      <c r="O477" s="174"/>
      <c r="P477" s="180">
        <v>46087</v>
      </c>
      <c r="Q477" s="174">
        <v>1.99</v>
      </c>
      <c r="R477" s="174">
        <v>0.05</v>
      </c>
      <c r="S477" s="129"/>
      <c r="T477" s="129" t="s">
        <v>2211</v>
      </c>
      <c r="U477" s="147" t="s">
        <v>37</v>
      </c>
      <c r="V477" s="215"/>
      <c r="W477" s="215" t="s">
        <v>2214</v>
      </c>
      <c r="X477" s="313" t="s">
        <v>1009</v>
      </c>
      <c r="Y477" s="263"/>
      <c r="Z477" s="263"/>
      <c r="AA477" s="263"/>
      <c r="AB477" s="263"/>
      <c r="AC477" s="212"/>
      <c r="XFC477" s="317"/>
      <c r="XFD477" s="317"/>
    </row>
    <row r="478" spans="1:29 16379:16384" hidden="1" x14ac:dyDescent="0.25">
      <c r="A478" s="315"/>
      <c r="B478" s="136">
        <v>1109400</v>
      </c>
      <c r="C478" s="128" t="s">
        <v>30</v>
      </c>
      <c r="D478" s="129" t="s">
        <v>2672</v>
      </c>
      <c r="E478" s="147" t="s">
        <v>2406</v>
      </c>
      <c r="F478" s="129" t="s">
        <v>2673</v>
      </c>
      <c r="G478" s="147" t="s">
        <v>34</v>
      </c>
      <c r="H478" s="191">
        <f t="shared" si="7"/>
        <v>0</v>
      </c>
      <c r="I478" s="147"/>
      <c r="J478" s="147"/>
      <c r="K478" s="147"/>
      <c r="L478" s="147"/>
      <c r="M478" s="289"/>
      <c r="N478" s="174"/>
      <c r="O478" s="180"/>
      <c r="P478" s="174"/>
      <c r="Q478" s="174"/>
      <c r="R478" s="129"/>
      <c r="S478" s="129"/>
      <c r="T478" s="129" t="s">
        <v>2673</v>
      </c>
      <c r="U478" s="147"/>
      <c r="V478" s="215"/>
      <c r="W478" s="215" t="s">
        <v>2214</v>
      </c>
      <c r="X478" s="263"/>
      <c r="Y478" s="263"/>
      <c r="Z478" s="263"/>
      <c r="AA478" s="263"/>
      <c r="AB478" s="242"/>
      <c r="AC478" s="212"/>
      <c r="XFB478" s="317"/>
      <c r="XFC478" s="317"/>
      <c r="XFD478" s="317"/>
    </row>
    <row r="479" spans="1:29 16379:16384" hidden="1" x14ac:dyDescent="0.25">
      <c r="A479" s="315"/>
      <c r="B479" s="136">
        <v>1109401</v>
      </c>
      <c r="C479" s="128" t="s">
        <v>30</v>
      </c>
      <c r="D479" s="129" t="s">
        <v>2675</v>
      </c>
      <c r="E479" s="147" t="s">
        <v>2406</v>
      </c>
      <c r="F479" s="129" t="s">
        <v>2676</v>
      </c>
      <c r="G479" s="147" t="s">
        <v>34</v>
      </c>
      <c r="H479" s="191">
        <f t="shared" si="7"/>
        <v>1.2656400254014335</v>
      </c>
      <c r="I479" s="136"/>
      <c r="J479" s="147"/>
      <c r="K479" s="147"/>
      <c r="L479" s="147"/>
      <c r="M479" s="147"/>
      <c r="N479" s="289"/>
      <c r="O479" s="174"/>
      <c r="P479" s="180">
        <v>46161</v>
      </c>
      <c r="Q479" s="174">
        <f>2.68/2.2046</f>
        <v>1.2156400254014335</v>
      </c>
      <c r="R479" s="174">
        <v>0.05</v>
      </c>
      <c r="S479" s="129"/>
      <c r="T479" s="129" t="s">
        <v>2091</v>
      </c>
      <c r="U479" s="147" t="s">
        <v>37</v>
      </c>
      <c r="V479" s="215"/>
      <c r="W479" s="215" t="s">
        <v>2214</v>
      </c>
      <c r="X479" s="313" t="s">
        <v>2447</v>
      </c>
      <c r="Y479" s="263"/>
      <c r="Z479" s="263"/>
      <c r="AA479" s="263"/>
      <c r="AB479" s="263"/>
      <c r="AC479" s="212"/>
      <c r="XFC479" s="317"/>
      <c r="XFD479" s="317"/>
    </row>
    <row r="480" spans="1:29 16379:16384" x14ac:dyDescent="0.25">
      <c r="A480" s="315"/>
      <c r="B480" s="158">
        <v>1109402</v>
      </c>
      <c r="C480" s="128" t="s">
        <v>30</v>
      </c>
      <c r="D480" s="129" t="s">
        <v>2680</v>
      </c>
      <c r="E480" s="147" t="s">
        <v>2406</v>
      </c>
      <c r="F480" s="129" t="s">
        <v>1788</v>
      </c>
      <c r="G480" s="147" t="s">
        <v>34</v>
      </c>
      <c r="H480" s="191">
        <f t="shared" si="7"/>
        <v>3.1999999999999997</v>
      </c>
      <c r="I480" s="235" t="s">
        <v>2084</v>
      </c>
      <c r="J480" s="147">
        <v>0</v>
      </c>
      <c r="K480" s="147">
        <v>10</v>
      </c>
      <c r="L480" s="147">
        <v>2</v>
      </c>
      <c r="M480" s="147">
        <v>12</v>
      </c>
      <c r="N480" s="174"/>
      <c r="O480" s="180"/>
      <c r="P480" s="174">
        <v>0.2</v>
      </c>
      <c r="Q480" s="174">
        <v>3.15</v>
      </c>
      <c r="R480" s="205">
        <v>0.05</v>
      </c>
      <c r="S480" s="129"/>
      <c r="T480" s="129" t="s">
        <v>2679</v>
      </c>
      <c r="U480" s="215" t="s">
        <v>35</v>
      </c>
      <c r="V480" s="215"/>
      <c r="W480" s="147" t="s">
        <v>2215</v>
      </c>
      <c r="X480" s="263"/>
      <c r="Y480" s="263"/>
      <c r="Z480" s="263"/>
      <c r="AA480" s="265" t="s">
        <v>2536</v>
      </c>
      <c r="AB480" s="265" t="s">
        <v>2536</v>
      </c>
      <c r="AC480" s="212"/>
      <c r="XFB480" s="317"/>
      <c r="XFC480" s="317"/>
      <c r="XFD480" s="317"/>
    </row>
    <row r="481" spans="1:29" s="182" customFormat="1" hidden="1" x14ac:dyDescent="0.25">
      <c r="A481" s="131">
        <v>1</v>
      </c>
      <c r="B481" s="136">
        <v>1201001</v>
      </c>
      <c r="C481" s="127" t="s">
        <v>567</v>
      </c>
      <c r="D481" s="127" t="s">
        <v>568</v>
      </c>
      <c r="E481" s="147" t="s">
        <v>38</v>
      </c>
      <c r="F481" s="129" t="s">
        <v>569</v>
      </c>
      <c r="G481" s="147" t="s">
        <v>34</v>
      </c>
      <c r="H481" s="191">
        <f t="shared" si="7"/>
        <v>0</v>
      </c>
      <c r="I481" s="225"/>
      <c r="J481" s="149"/>
      <c r="K481" s="147"/>
      <c r="L481" s="147"/>
      <c r="M481" s="147">
        <v>3</v>
      </c>
      <c r="N481" s="289"/>
      <c r="O481" s="196"/>
      <c r="P481" s="180"/>
      <c r="Q481" s="174"/>
      <c r="R481" s="206">
        <v>0</v>
      </c>
      <c r="S481" s="168"/>
      <c r="T481" s="129" t="s">
        <v>55</v>
      </c>
      <c r="U481" s="147" t="s">
        <v>37</v>
      </c>
      <c r="V481" s="129"/>
      <c r="W481" s="163" t="s">
        <v>54</v>
      </c>
      <c r="X481" s="215"/>
      <c r="Y481" s="216">
        <v>0</v>
      </c>
      <c r="Z481" s="216">
        <v>0</v>
      </c>
      <c r="AA481" s="263"/>
      <c r="AB481" s="155"/>
      <c r="AC481" s="212"/>
    </row>
    <row r="482" spans="1:29" s="182" customFormat="1" hidden="1" x14ac:dyDescent="0.25">
      <c r="A482" s="131">
        <v>1</v>
      </c>
      <c r="B482" s="136">
        <v>1201002</v>
      </c>
      <c r="C482" s="127" t="s">
        <v>567</v>
      </c>
      <c r="D482" s="127" t="s">
        <v>570</v>
      </c>
      <c r="E482" s="147" t="s">
        <v>38</v>
      </c>
      <c r="F482" s="129" t="s">
        <v>569</v>
      </c>
      <c r="G482" s="147" t="s">
        <v>34</v>
      </c>
      <c r="H482" s="191">
        <f t="shared" si="7"/>
        <v>0</v>
      </c>
      <c r="I482" s="225"/>
      <c r="J482" s="149"/>
      <c r="K482" s="147">
        <v>11</v>
      </c>
      <c r="L482" s="147">
        <v>1</v>
      </c>
      <c r="M482" s="147">
        <v>12</v>
      </c>
      <c r="N482" s="289"/>
      <c r="O482" s="196"/>
      <c r="P482" s="180"/>
      <c r="Q482" s="174"/>
      <c r="R482" s="206">
        <v>0</v>
      </c>
      <c r="S482" s="168"/>
      <c r="T482" s="129"/>
      <c r="U482" s="147" t="s">
        <v>37</v>
      </c>
      <c r="V482" s="129"/>
      <c r="W482" s="163" t="s">
        <v>54</v>
      </c>
      <c r="X482" s="215"/>
      <c r="Y482" s="216">
        <v>0</v>
      </c>
      <c r="Z482" s="216">
        <v>0</v>
      </c>
      <c r="AA482" s="263"/>
      <c r="AB482" s="155"/>
      <c r="AC482" s="212"/>
    </row>
    <row r="483" spans="1:29" s="182" customFormat="1" hidden="1" x14ac:dyDescent="0.25">
      <c r="A483" s="131">
        <v>1</v>
      </c>
      <c r="B483" s="136">
        <v>1201003</v>
      </c>
      <c r="C483" s="127" t="s">
        <v>567</v>
      </c>
      <c r="D483" s="127" t="s">
        <v>571</v>
      </c>
      <c r="E483" s="147" t="s">
        <v>38</v>
      </c>
      <c r="F483" s="129" t="s">
        <v>569</v>
      </c>
      <c r="G483" s="147" t="s">
        <v>34</v>
      </c>
      <c r="H483" s="191">
        <f t="shared" si="7"/>
        <v>0</v>
      </c>
      <c r="I483" s="225"/>
      <c r="J483" s="149"/>
      <c r="K483" s="147">
        <v>11</v>
      </c>
      <c r="L483" s="147">
        <v>1</v>
      </c>
      <c r="M483" s="147">
        <v>12</v>
      </c>
      <c r="N483" s="289"/>
      <c r="O483" s="196"/>
      <c r="P483" s="180"/>
      <c r="Q483" s="174"/>
      <c r="R483" s="206">
        <v>0</v>
      </c>
      <c r="S483" s="168"/>
      <c r="T483" s="129"/>
      <c r="U483" s="147" t="s">
        <v>37</v>
      </c>
      <c r="V483" s="129"/>
      <c r="W483" s="163" t="s">
        <v>54</v>
      </c>
      <c r="X483" s="215"/>
      <c r="Y483" s="216">
        <v>0</v>
      </c>
      <c r="Z483" s="216">
        <v>0</v>
      </c>
      <c r="AA483" s="263"/>
      <c r="AB483" s="155"/>
      <c r="AC483" s="212"/>
    </row>
    <row r="484" spans="1:29" s="182" customFormat="1" hidden="1" x14ac:dyDescent="0.25">
      <c r="A484" s="131">
        <v>1</v>
      </c>
      <c r="B484" s="136">
        <v>1201004</v>
      </c>
      <c r="C484" s="127" t="s">
        <v>567</v>
      </c>
      <c r="D484" s="127" t="s">
        <v>572</v>
      </c>
      <c r="E484" s="147" t="s">
        <v>38</v>
      </c>
      <c r="F484" s="129" t="s">
        <v>569</v>
      </c>
      <c r="G484" s="147" t="s">
        <v>34</v>
      </c>
      <c r="H484" s="191">
        <f t="shared" si="7"/>
        <v>0</v>
      </c>
      <c r="I484" s="225"/>
      <c r="J484" s="149"/>
      <c r="K484" s="147">
        <v>11</v>
      </c>
      <c r="L484" s="147">
        <v>1</v>
      </c>
      <c r="M484" s="147">
        <v>12</v>
      </c>
      <c r="N484" s="289"/>
      <c r="O484" s="196"/>
      <c r="P484" s="180"/>
      <c r="Q484" s="174"/>
      <c r="R484" s="206">
        <v>0</v>
      </c>
      <c r="S484" s="168"/>
      <c r="T484" s="129" t="s">
        <v>55</v>
      </c>
      <c r="U484" s="147" t="s">
        <v>37</v>
      </c>
      <c r="V484" s="129"/>
      <c r="W484" s="163" t="s">
        <v>54</v>
      </c>
      <c r="X484" s="215"/>
      <c r="Y484" s="216">
        <v>0</v>
      </c>
      <c r="Z484" s="216">
        <v>0</v>
      </c>
      <c r="AA484" s="263"/>
      <c r="AB484" s="155"/>
      <c r="AC484" s="212"/>
    </row>
    <row r="485" spans="1:29" s="182" customFormat="1" hidden="1" x14ac:dyDescent="0.25">
      <c r="A485" s="131">
        <v>1</v>
      </c>
      <c r="B485" s="136">
        <v>1201005</v>
      </c>
      <c r="C485" s="127" t="s">
        <v>567</v>
      </c>
      <c r="D485" s="127" t="s">
        <v>573</v>
      </c>
      <c r="E485" s="147" t="s">
        <v>38</v>
      </c>
      <c r="F485" s="129" t="s">
        <v>569</v>
      </c>
      <c r="G485" s="147" t="s">
        <v>34</v>
      </c>
      <c r="H485" s="191">
        <f t="shared" si="7"/>
        <v>0</v>
      </c>
      <c r="I485" s="225"/>
      <c r="J485" s="149"/>
      <c r="K485" s="147">
        <v>11</v>
      </c>
      <c r="L485" s="147">
        <v>1</v>
      </c>
      <c r="M485" s="147">
        <v>12</v>
      </c>
      <c r="N485" s="289"/>
      <c r="O485" s="196"/>
      <c r="P485" s="180"/>
      <c r="Q485" s="174"/>
      <c r="R485" s="206">
        <v>0</v>
      </c>
      <c r="S485" s="168"/>
      <c r="T485" s="129"/>
      <c r="U485" s="147" t="s">
        <v>37</v>
      </c>
      <c r="V485" s="129"/>
      <c r="W485" s="163" t="s">
        <v>54</v>
      </c>
      <c r="X485" s="215"/>
      <c r="Y485" s="216">
        <v>0</v>
      </c>
      <c r="Z485" s="216">
        <v>0</v>
      </c>
      <c r="AA485" s="263"/>
      <c r="AB485" s="155"/>
      <c r="AC485" s="212"/>
    </row>
    <row r="486" spans="1:29" s="182" customFormat="1" hidden="1" x14ac:dyDescent="0.25">
      <c r="A486" s="131">
        <v>1</v>
      </c>
      <c r="B486" s="136">
        <v>1201006</v>
      </c>
      <c r="C486" s="127" t="s">
        <v>567</v>
      </c>
      <c r="D486" s="127" t="s">
        <v>574</v>
      </c>
      <c r="E486" s="147" t="s">
        <v>38</v>
      </c>
      <c r="F486" s="129" t="s">
        <v>569</v>
      </c>
      <c r="G486" s="147" t="s">
        <v>34</v>
      </c>
      <c r="H486" s="191">
        <f t="shared" si="7"/>
        <v>0</v>
      </c>
      <c r="I486" s="225"/>
      <c r="J486" s="149"/>
      <c r="K486" s="147">
        <v>11</v>
      </c>
      <c r="L486" s="147">
        <v>1</v>
      </c>
      <c r="M486" s="147">
        <v>12</v>
      </c>
      <c r="N486" s="289"/>
      <c r="O486" s="196"/>
      <c r="P486" s="180"/>
      <c r="Q486" s="174"/>
      <c r="R486" s="206">
        <v>0</v>
      </c>
      <c r="S486" s="168"/>
      <c r="T486" s="129" t="s">
        <v>55</v>
      </c>
      <c r="U486" s="147" t="s">
        <v>37</v>
      </c>
      <c r="V486" s="129"/>
      <c r="W486" s="163" t="s">
        <v>54</v>
      </c>
      <c r="X486" s="215"/>
      <c r="Y486" s="216">
        <v>0</v>
      </c>
      <c r="Z486" s="216">
        <v>0</v>
      </c>
      <c r="AA486" s="263"/>
      <c r="AB486" s="155"/>
      <c r="AC486" s="212"/>
    </row>
    <row r="487" spans="1:29" s="182" customFormat="1" hidden="1" x14ac:dyDescent="0.25">
      <c r="A487" s="131">
        <v>1</v>
      </c>
      <c r="B487" s="136">
        <v>1201007</v>
      </c>
      <c r="C487" s="127" t="s">
        <v>567</v>
      </c>
      <c r="D487" s="127" t="s">
        <v>575</v>
      </c>
      <c r="E487" s="147" t="s">
        <v>38</v>
      </c>
      <c r="F487" s="129" t="s">
        <v>569</v>
      </c>
      <c r="G487" s="147" t="s">
        <v>34</v>
      </c>
      <c r="H487" s="191">
        <f t="shared" si="7"/>
        <v>0</v>
      </c>
      <c r="I487" s="225"/>
      <c r="J487" s="149"/>
      <c r="K487" s="147">
        <v>11</v>
      </c>
      <c r="L487" s="147">
        <v>1</v>
      </c>
      <c r="M487" s="147">
        <v>12</v>
      </c>
      <c r="N487" s="289"/>
      <c r="O487" s="196"/>
      <c r="P487" s="180"/>
      <c r="Q487" s="174"/>
      <c r="R487" s="206">
        <v>0</v>
      </c>
      <c r="S487" s="168"/>
      <c r="T487" s="129"/>
      <c r="U487" s="147" t="s">
        <v>37</v>
      </c>
      <c r="V487" s="129"/>
      <c r="W487" s="163" t="s">
        <v>54</v>
      </c>
      <c r="X487" s="215"/>
      <c r="Y487" s="216">
        <v>0</v>
      </c>
      <c r="Z487" s="216">
        <v>0</v>
      </c>
      <c r="AA487" s="263"/>
      <c r="AB487" s="155"/>
      <c r="AC487" s="212"/>
    </row>
    <row r="488" spans="1:29" s="182" customFormat="1" hidden="1" x14ac:dyDescent="0.25">
      <c r="A488" s="131">
        <v>1</v>
      </c>
      <c r="B488" s="136">
        <v>1201008</v>
      </c>
      <c r="C488" s="127" t="s">
        <v>567</v>
      </c>
      <c r="D488" s="127" t="s">
        <v>576</v>
      </c>
      <c r="E488" s="147" t="s">
        <v>38</v>
      </c>
      <c r="F488" s="129" t="s">
        <v>577</v>
      </c>
      <c r="G488" s="147" t="s">
        <v>34</v>
      </c>
      <c r="H488" s="191">
        <f t="shared" si="7"/>
        <v>0</v>
      </c>
      <c r="I488" s="225"/>
      <c r="J488" s="149"/>
      <c r="K488" s="147">
        <v>12</v>
      </c>
      <c r="L488" s="147">
        <v>1</v>
      </c>
      <c r="M488" s="147">
        <v>13</v>
      </c>
      <c r="N488" s="289" t="s">
        <v>578</v>
      </c>
      <c r="O488" s="196"/>
      <c r="P488" s="180"/>
      <c r="Q488" s="174"/>
      <c r="R488" s="206">
        <v>0</v>
      </c>
      <c r="S488" s="168"/>
      <c r="T488" s="129" t="s">
        <v>64</v>
      </c>
      <c r="U488" s="147" t="s">
        <v>37</v>
      </c>
      <c r="V488" s="129"/>
      <c r="W488" s="163" t="s">
        <v>54</v>
      </c>
      <c r="X488" s="215"/>
      <c r="Y488" s="216">
        <v>0</v>
      </c>
      <c r="Z488" s="216">
        <v>0</v>
      </c>
      <c r="AA488" s="263"/>
      <c r="AB488" s="155"/>
      <c r="AC488" s="212"/>
    </row>
    <row r="489" spans="1:29" s="182" customFormat="1" hidden="1" x14ac:dyDescent="0.25">
      <c r="A489" s="131">
        <v>1</v>
      </c>
      <c r="B489" s="136">
        <v>1201009</v>
      </c>
      <c r="C489" s="127" t="s">
        <v>567</v>
      </c>
      <c r="D489" s="127" t="s">
        <v>582</v>
      </c>
      <c r="E489" s="147" t="s">
        <v>38</v>
      </c>
      <c r="F489" s="129" t="s">
        <v>584</v>
      </c>
      <c r="G489" s="147" t="s">
        <v>34</v>
      </c>
      <c r="H489" s="191">
        <f t="shared" si="7"/>
        <v>0</v>
      </c>
      <c r="I489" s="225"/>
      <c r="J489" s="149"/>
      <c r="K489" s="147"/>
      <c r="L489" s="147"/>
      <c r="M489" s="147">
        <v>4</v>
      </c>
      <c r="N489" s="289">
        <v>39</v>
      </c>
      <c r="O489" s="196"/>
      <c r="P489" s="180"/>
      <c r="Q489" s="174"/>
      <c r="R489" s="206">
        <v>0</v>
      </c>
      <c r="S489" s="168"/>
      <c r="T489" s="129" t="s">
        <v>64</v>
      </c>
      <c r="U489" s="147" t="s">
        <v>37</v>
      </c>
      <c r="V489" s="129"/>
      <c r="W489" s="163" t="s">
        <v>54</v>
      </c>
      <c r="X489" s="215"/>
      <c r="Y489" s="216">
        <v>0</v>
      </c>
      <c r="Z489" s="216">
        <v>0</v>
      </c>
      <c r="AA489" s="263"/>
      <c r="AB489" s="155"/>
      <c r="AC489" s="212"/>
    </row>
    <row r="490" spans="1:29" s="182" customFormat="1" hidden="1" x14ac:dyDescent="0.25">
      <c r="A490" s="131">
        <v>1</v>
      </c>
      <c r="B490" s="136">
        <v>1201010</v>
      </c>
      <c r="C490" s="127" t="s">
        <v>589</v>
      </c>
      <c r="D490" s="127" t="s">
        <v>590</v>
      </c>
      <c r="E490" s="147" t="s">
        <v>38</v>
      </c>
      <c r="F490" s="129" t="s">
        <v>584</v>
      </c>
      <c r="G490" s="147" t="s">
        <v>34</v>
      </c>
      <c r="H490" s="191">
        <f t="shared" si="7"/>
        <v>0</v>
      </c>
      <c r="I490" s="225"/>
      <c r="J490" s="149"/>
      <c r="K490" s="147"/>
      <c r="L490" s="147"/>
      <c r="M490" s="147">
        <v>4</v>
      </c>
      <c r="N490" s="289">
        <v>39</v>
      </c>
      <c r="O490" s="196"/>
      <c r="P490" s="180"/>
      <c r="Q490" s="174"/>
      <c r="R490" s="206">
        <v>0</v>
      </c>
      <c r="S490" s="168"/>
      <c r="T490" s="129" t="s">
        <v>64</v>
      </c>
      <c r="U490" s="147" t="s">
        <v>37</v>
      </c>
      <c r="V490" s="129"/>
      <c r="W490" s="163" t="s">
        <v>54</v>
      </c>
      <c r="X490" s="215"/>
      <c r="Y490" s="216">
        <v>0</v>
      </c>
      <c r="Z490" s="216">
        <v>0</v>
      </c>
      <c r="AA490" s="263"/>
      <c r="AB490" s="155"/>
      <c r="AC490" s="212"/>
    </row>
    <row r="491" spans="1:29" s="182" customFormat="1" hidden="1" x14ac:dyDescent="0.25">
      <c r="A491" s="131">
        <v>1</v>
      </c>
      <c r="B491" s="136">
        <v>1201011</v>
      </c>
      <c r="C491" s="127" t="s">
        <v>567</v>
      </c>
      <c r="D491" s="127" t="s">
        <v>591</v>
      </c>
      <c r="E491" s="147" t="s">
        <v>38</v>
      </c>
      <c r="F491" s="129" t="s">
        <v>584</v>
      </c>
      <c r="G491" s="147" t="s">
        <v>34</v>
      </c>
      <c r="H491" s="191">
        <f t="shared" si="7"/>
        <v>0</v>
      </c>
      <c r="I491" s="225"/>
      <c r="J491" s="149"/>
      <c r="K491" s="147"/>
      <c r="L491" s="147"/>
      <c r="M491" s="147">
        <v>4</v>
      </c>
      <c r="N491" s="289">
        <v>39</v>
      </c>
      <c r="O491" s="196"/>
      <c r="P491" s="180"/>
      <c r="Q491" s="174"/>
      <c r="R491" s="206">
        <v>0</v>
      </c>
      <c r="S491" s="168"/>
      <c r="T491" s="129" t="s">
        <v>64</v>
      </c>
      <c r="U491" s="147" t="s">
        <v>37</v>
      </c>
      <c r="V491" s="129"/>
      <c r="W491" s="163" t="s">
        <v>54</v>
      </c>
      <c r="X491" s="215"/>
      <c r="Y491" s="216">
        <v>0</v>
      </c>
      <c r="Z491" s="216">
        <v>0</v>
      </c>
      <c r="AA491" s="263"/>
      <c r="AB491" s="155"/>
      <c r="AC491" s="212"/>
    </row>
    <row r="492" spans="1:29" s="182" customFormat="1" hidden="1" x14ac:dyDescent="0.25">
      <c r="A492" s="131">
        <v>1</v>
      </c>
      <c r="B492" s="136">
        <v>1201012</v>
      </c>
      <c r="C492" s="127" t="s">
        <v>589</v>
      </c>
      <c r="D492" s="127" t="s">
        <v>592</v>
      </c>
      <c r="E492" s="147" t="s">
        <v>38</v>
      </c>
      <c r="F492" s="129" t="s">
        <v>584</v>
      </c>
      <c r="G492" s="147" t="s">
        <v>34</v>
      </c>
      <c r="H492" s="191">
        <f t="shared" si="7"/>
        <v>0</v>
      </c>
      <c r="I492" s="225"/>
      <c r="J492" s="149"/>
      <c r="K492" s="147"/>
      <c r="L492" s="147"/>
      <c r="M492" s="147">
        <v>4</v>
      </c>
      <c r="N492" s="289">
        <v>39</v>
      </c>
      <c r="O492" s="196"/>
      <c r="P492" s="180"/>
      <c r="Q492" s="174"/>
      <c r="R492" s="206">
        <v>0</v>
      </c>
      <c r="S492" s="168"/>
      <c r="T492" s="129" t="s">
        <v>64</v>
      </c>
      <c r="U492" s="147" t="s">
        <v>37</v>
      </c>
      <c r="V492" s="129"/>
      <c r="W492" s="163" t="s">
        <v>54</v>
      </c>
      <c r="X492" s="215"/>
      <c r="Y492" s="216">
        <v>0</v>
      </c>
      <c r="Z492" s="216">
        <v>0</v>
      </c>
      <c r="AA492" s="263"/>
      <c r="AB492" s="155"/>
      <c r="AC492" s="212"/>
    </row>
    <row r="493" spans="1:29" s="182" customFormat="1" hidden="1" x14ac:dyDescent="0.25">
      <c r="A493" s="131">
        <v>1</v>
      </c>
      <c r="B493" s="136">
        <v>1201013</v>
      </c>
      <c r="C493" s="128" t="s">
        <v>593</v>
      </c>
      <c r="D493" s="127" t="s">
        <v>594</v>
      </c>
      <c r="E493" s="147" t="s">
        <v>38</v>
      </c>
      <c r="F493" s="129" t="s">
        <v>584</v>
      </c>
      <c r="G493" s="147" t="s">
        <v>34</v>
      </c>
      <c r="H493" s="191">
        <f t="shared" si="7"/>
        <v>0</v>
      </c>
      <c r="I493" s="225"/>
      <c r="J493" s="149"/>
      <c r="K493" s="147"/>
      <c r="L493" s="147"/>
      <c r="M493" s="147">
        <v>4</v>
      </c>
      <c r="N493" s="289">
        <v>39</v>
      </c>
      <c r="O493" s="196"/>
      <c r="P493" s="180"/>
      <c r="Q493" s="174"/>
      <c r="R493" s="206">
        <v>0</v>
      </c>
      <c r="S493" s="168"/>
      <c r="T493" s="129" t="s">
        <v>64</v>
      </c>
      <c r="U493" s="147" t="s">
        <v>37</v>
      </c>
      <c r="V493" s="129"/>
      <c r="W493" s="163" t="s">
        <v>54</v>
      </c>
      <c r="X493" s="215"/>
      <c r="Y493" s="216">
        <v>0</v>
      </c>
      <c r="Z493" s="216">
        <v>0</v>
      </c>
      <c r="AA493" s="263"/>
      <c r="AB493" s="155"/>
      <c r="AC493" s="212"/>
    </row>
    <row r="494" spans="1:29" s="182" customFormat="1" hidden="1" x14ac:dyDescent="0.25">
      <c r="A494" s="131">
        <v>1</v>
      </c>
      <c r="B494" s="136">
        <v>1201014</v>
      </c>
      <c r="C494" s="128" t="s">
        <v>589</v>
      </c>
      <c r="D494" s="127" t="s">
        <v>595</v>
      </c>
      <c r="E494" s="147" t="s">
        <v>38</v>
      </c>
      <c r="F494" s="129" t="s">
        <v>584</v>
      </c>
      <c r="G494" s="147" t="s">
        <v>34</v>
      </c>
      <c r="H494" s="191">
        <f t="shared" si="7"/>
        <v>0</v>
      </c>
      <c r="I494" s="225"/>
      <c r="J494" s="149"/>
      <c r="K494" s="147"/>
      <c r="L494" s="147"/>
      <c r="M494" s="147">
        <v>4</v>
      </c>
      <c r="N494" s="289">
        <v>39</v>
      </c>
      <c r="O494" s="196"/>
      <c r="P494" s="180"/>
      <c r="Q494" s="174"/>
      <c r="R494" s="206">
        <v>0</v>
      </c>
      <c r="S494" s="168"/>
      <c r="T494" s="129" t="s">
        <v>64</v>
      </c>
      <c r="U494" s="147" t="s">
        <v>37</v>
      </c>
      <c r="V494" s="129"/>
      <c r="W494" s="163" t="s">
        <v>54</v>
      </c>
      <c r="X494" s="215"/>
      <c r="Y494" s="216">
        <v>0</v>
      </c>
      <c r="Z494" s="216">
        <v>0</v>
      </c>
      <c r="AA494" s="263"/>
      <c r="AB494" s="155"/>
      <c r="AC494" s="212"/>
    </row>
    <row r="495" spans="1:29" s="182" customFormat="1" hidden="1" x14ac:dyDescent="0.25">
      <c r="A495" s="131">
        <v>1</v>
      </c>
      <c r="B495" s="136">
        <v>1201015</v>
      </c>
      <c r="C495" s="128" t="s">
        <v>567</v>
      </c>
      <c r="D495" s="127" t="s">
        <v>596</v>
      </c>
      <c r="E495" s="147" t="s">
        <v>38</v>
      </c>
      <c r="F495" s="129" t="s">
        <v>597</v>
      </c>
      <c r="G495" s="147" t="s">
        <v>34</v>
      </c>
      <c r="H495" s="191">
        <f t="shared" si="7"/>
        <v>0</v>
      </c>
      <c r="I495" s="225"/>
      <c r="J495" s="149"/>
      <c r="K495" s="147">
        <v>5</v>
      </c>
      <c r="L495" s="147">
        <v>1</v>
      </c>
      <c r="M495" s="147">
        <v>6</v>
      </c>
      <c r="N495" s="289"/>
      <c r="O495" s="196"/>
      <c r="P495" s="180"/>
      <c r="Q495" s="174"/>
      <c r="R495" s="206">
        <v>0</v>
      </c>
      <c r="S495" s="168"/>
      <c r="T495" s="129" t="s">
        <v>64</v>
      </c>
      <c r="U495" s="147" t="s">
        <v>37</v>
      </c>
      <c r="V495" s="129"/>
      <c r="W495" s="163" t="s">
        <v>54</v>
      </c>
      <c r="X495" s="215"/>
      <c r="Y495" s="216">
        <v>0</v>
      </c>
      <c r="Z495" s="216">
        <v>0</v>
      </c>
      <c r="AA495" s="263"/>
      <c r="AB495" s="155"/>
      <c r="AC495" s="212"/>
    </row>
    <row r="496" spans="1:29" s="182" customFormat="1" hidden="1" x14ac:dyDescent="0.25">
      <c r="A496" s="131">
        <v>1</v>
      </c>
      <c r="B496" s="136">
        <v>1201016</v>
      </c>
      <c r="C496" s="128" t="s">
        <v>567</v>
      </c>
      <c r="D496" s="127" t="s">
        <v>598</v>
      </c>
      <c r="E496" s="147" t="s">
        <v>38</v>
      </c>
      <c r="F496" s="129" t="s">
        <v>597</v>
      </c>
      <c r="G496" s="147" t="s">
        <v>34</v>
      </c>
      <c r="H496" s="191">
        <f t="shared" si="7"/>
        <v>0</v>
      </c>
      <c r="I496" s="225"/>
      <c r="J496" s="149"/>
      <c r="K496" s="147">
        <v>5</v>
      </c>
      <c r="L496" s="147">
        <v>1</v>
      </c>
      <c r="M496" s="147">
        <v>6</v>
      </c>
      <c r="N496" s="289"/>
      <c r="O496" s="196"/>
      <c r="P496" s="180"/>
      <c r="Q496" s="174"/>
      <c r="R496" s="206">
        <v>0</v>
      </c>
      <c r="S496" s="168"/>
      <c r="T496" s="129" t="s">
        <v>64</v>
      </c>
      <c r="U496" s="147" t="s">
        <v>37</v>
      </c>
      <c r="V496" s="129"/>
      <c r="W496" s="163" t="s">
        <v>54</v>
      </c>
      <c r="X496" s="215"/>
      <c r="Y496" s="216">
        <v>0</v>
      </c>
      <c r="Z496" s="216">
        <v>0</v>
      </c>
      <c r="AA496" s="263"/>
      <c r="AB496" s="155"/>
      <c r="AC496" s="212"/>
    </row>
    <row r="497" spans="1:29" s="182" customFormat="1" hidden="1" x14ac:dyDescent="0.25">
      <c r="A497" s="131">
        <v>1</v>
      </c>
      <c r="B497" s="136">
        <v>1201017</v>
      </c>
      <c r="C497" s="128"/>
      <c r="D497" s="127" t="s">
        <v>599</v>
      </c>
      <c r="E497" s="147" t="s">
        <v>38</v>
      </c>
      <c r="F497" s="129" t="s">
        <v>597</v>
      </c>
      <c r="G497" s="147" t="s">
        <v>34</v>
      </c>
      <c r="H497" s="191">
        <f t="shared" si="7"/>
        <v>0</v>
      </c>
      <c r="I497" s="225"/>
      <c r="J497" s="149"/>
      <c r="K497" s="147">
        <v>5</v>
      </c>
      <c r="L497" s="147">
        <v>1</v>
      </c>
      <c r="M497" s="147">
        <v>6</v>
      </c>
      <c r="N497" s="289"/>
      <c r="O497" s="196"/>
      <c r="P497" s="180"/>
      <c r="Q497" s="174"/>
      <c r="R497" s="206">
        <v>0</v>
      </c>
      <c r="S497" s="168"/>
      <c r="T497" s="129" t="s">
        <v>64</v>
      </c>
      <c r="U497" s="147" t="s">
        <v>37</v>
      </c>
      <c r="V497" s="129"/>
      <c r="W497" s="163" t="s">
        <v>54</v>
      </c>
      <c r="X497" s="215"/>
      <c r="Y497" s="216">
        <v>0</v>
      </c>
      <c r="Z497" s="216">
        <v>0</v>
      </c>
      <c r="AA497" s="263"/>
      <c r="AB497" s="155"/>
      <c r="AC497" s="212"/>
    </row>
    <row r="498" spans="1:29" s="182" customFormat="1" hidden="1" x14ac:dyDescent="0.25">
      <c r="A498" s="131">
        <v>1</v>
      </c>
      <c r="B498" s="136">
        <v>1201018</v>
      </c>
      <c r="C498" s="128" t="s">
        <v>600</v>
      </c>
      <c r="D498" s="127" t="s">
        <v>601</v>
      </c>
      <c r="E498" s="147" t="s">
        <v>38</v>
      </c>
      <c r="F498" s="129" t="s">
        <v>597</v>
      </c>
      <c r="G498" s="147" t="s">
        <v>34</v>
      </c>
      <c r="H498" s="191">
        <f t="shared" si="7"/>
        <v>0</v>
      </c>
      <c r="I498" s="225"/>
      <c r="J498" s="149"/>
      <c r="K498" s="147">
        <v>5</v>
      </c>
      <c r="L498" s="147">
        <v>1</v>
      </c>
      <c r="M498" s="147">
        <v>6</v>
      </c>
      <c r="N498" s="289"/>
      <c r="O498" s="196"/>
      <c r="P498" s="180"/>
      <c r="Q498" s="174"/>
      <c r="R498" s="206">
        <v>0</v>
      </c>
      <c r="S498" s="168"/>
      <c r="T498" s="129" t="s">
        <v>64</v>
      </c>
      <c r="U498" s="147" t="s">
        <v>37</v>
      </c>
      <c r="V498" s="129"/>
      <c r="W498" s="163" t="s">
        <v>54</v>
      </c>
      <c r="X498" s="215"/>
      <c r="Y498" s="216">
        <v>0</v>
      </c>
      <c r="Z498" s="216">
        <v>0</v>
      </c>
      <c r="AA498" s="263"/>
      <c r="AB498" s="155"/>
      <c r="AC498" s="212"/>
    </row>
    <row r="499" spans="1:29" s="182" customFormat="1" hidden="1" x14ac:dyDescent="0.25">
      <c r="A499" s="131">
        <v>1</v>
      </c>
      <c r="B499" s="136">
        <v>1201019</v>
      </c>
      <c r="C499" s="128" t="s">
        <v>567</v>
      </c>
      <c r="D499" s="127" t="s">
        <v>602</v>
      </c>
      <c r="E499" s="147" t="s">
        <v>38</v>
      </c>
      <c r="F499" s="129" t="s">
        <v>584</v>
      </c>
      <c r="G499" s="147" t="s">
        <v>34</v>
      </c>
      <c r="H499" s="191">
        <f t="shared" si="7"/>
        <v>0</v>
      </c>
      <c r="I499" s="225"/>
      <c r="J499" s="149"/>
      <c r="K499" s="147">
        <v>11</v>
      </c>
      <c r="L499" s="147">
        <v>1</v>
      </c>
      <c r="M499" s="147">
        <v>12</v>
      </c>
      <c r="N499" s="289" t="s">
        <v>603</v>
      </c>
      <c r="O499" s="196"/>
      <c r="P499" s="180"/>
      <c r="Q499" s="174"/>
      <c r="R499" s="206">
        <v>0</v>
      </c>
      <c r="S499" s="168"/>
      <c r="T499" s="129" t="s">
        <v>496</v>
      </c>
      <c r="U499" s="147" t="s">
        <v>37</v>
      </c>
      <c r="V499" s="129"/>
      <c r="W499" s="163" t="s">
        <v>54</v>
      </c>
      <c r="X499" s="215"/>
      <c r="Y499" s="216">
        <v>0</v>
      </c>
      <c r="Z499" s="216">
        <v>0</v>
      </c>
      <c r="AA499" s="263"/>
      <c r="AB499" s="155"/>
      <c r="AC499" s="212"/>
    </row>
    <row r="500" spans="1:29" s="182" customFormat="1" hidden="1" x14ac:dyDescent="0.25">
      <c r="A500" s="131">
        <v>1</v>
      </c>
      <c r="B500" s="136">
        <v>1201020</v>
      </c>
      <c r="C500" s="128" t="s">
        <v>567</v>
      </c>
      <c r="D500" s="127" t="s">
        <v>604</v>
      </c>
      <c r="E500" s="147" t="s">
        <v>38</v>
      </c>
      <c r="F500" s="129" t="s">
        <v>584</v>
      </c>
      <c r="G500" s="147" t="s">
        <v>34</v>
      </c>
      <c r="H500" s="191">
        <f t="shared" si="7"/>
        <v>0</v>
      </c>
      <c r="I500" s="225"/>
      <c r="J500" s="149"/>
      <c r="K500" s="147">
        <v>11</v>
      </c>
      <c r="L500" s="147">
        <v>1</v>
      </c>
      <c r="M500" s="147">
        <v>12</v>
      </c>
      <c r="N500" s="289" t="s">
        <v>603</v>
      </c>
      <c r="O500" s="196"/>
      <c r="P500" s="180"/>
      <c r="Q500" s="174"/>
      <c r="R500" s="206">
        <v>0</v>
      </c>
      <c r="S500" s="168"/>
      <c r="T500" s="129" t="s">
        <v>496</v>
      </c>
      <c r="U500" s="147" t="s">
        <v>37</v>
      </c>
      <c r="V500" s="129"/>
      <c r="W500" s="163" t="s">
        <v>54</v>
      </c>
      <c r="X500" s="215"/>
      <c r="Y500" s="216">
        <v>0</v>
      </c>
      <c r="Z500" s="216">
        <v>0</v>
      </c>
      <c r="AA500" s="263"/>
      <c r="AB500" s="155"/>
      <c r="AC500" s="212"/>
    </row>
    <row r="501" spans="1:29" s="182" customFormat="1" hidden="1" x14ac:dyDescent="0.25">
      <c r="A501" s="131">
        <v>1</v>
      </c>
      <c r="B501" s="136">
        <v>1201021</v>
      </c>
      <c r="C501" s="128" t="s">
        <v>567</v>
      </c>
      <c r="D501" s="127" t="s">
        <v>605</v>
      </c>
      <c r="E501" s="147" t="s">
        <v>38</v>
      </c>
      <c r="F501" s="129" t="s">
        <v>584</v>
      </c>
      <c r="G501" s="147" t="s">
        <v>607</v>
      </c>
      <c r="H501" s="191">
        <f t="shared" si="7"/>
        <v>52.2</v>
      </c>
      <c r="I501" s="134"/>
      <c r="J501" s="150"/>
      <c r="K501" s="147"/>
      <c r="L501" s="147"/>
      <c r="M501" s="147">
        <v>4</v>
      </c>
      <c r="N501" s="289" t="s">
        <v>608</v>
      </c>
      <c r="O501" s="196"/>
      <c r="P501" s="180"/>
      <c r="Q501" s="174">
        <v>29.53</v>
      </c>
      <c r="R501" s="205">
        <v>22.67</v>
      </c>
      <c r="S501" s="165"/>
      <c r="T501" s="129" t="s">
        <v>58</v>
      </c>
      <c r="U501" s="147" t="s">
        <v>35</v>
      </c>
      <c r="V501" s="129"/>
      <c r="W501" s="147" t="s">
        <v>2214</v>
      </c>
      <c r="X501" s="215"/>
      <c r="Y501" s="216">
        <v>0</v>
      </c>
      <c r="Z501" s="216">
        <v>0</v>
      </c>
      <c r="AA501" s="263"/>
      <c r="AB501" s="155"/>
      <c r="AC501" s="212"/>
    </row>
    <row r="502" spans="1:29" s="182" customFormat="1" hidden="1" x14ac:dyDescent="0.25">
      <c r="A502" s="131">
        <v>1</v>
      </c>
      <c r="B502" s="136">
        <v>1201022</v>
      </c>
      <c r="C502" s="128" t="s">
        <v>567</v>
      </c>
      <c r="D502" s="127" t="s">
        <v>612</v>
      </c>
      <c r="E502" s="147" t="s">
        <v>38</v>
      </c>
      <c r="F502" s="129" t="s">
        <v>584</v>
      </c>
      <c r="G502" s="147" t="s">
        <v>607</v>
      </c>
      <c r="H502" s="191">
        <f t="shared" si="7"/>
        <v>71.98</v>
      </c>
      <c r="I502" s="134"/>
      <c r="J502" s="150"/>
      <c r="K502" s="147"/>
      <c r="L502" s="147"/>
      <c r="M502" s="147">
        <v>4</v>
      </c>
      <c r="N502" s="289" t="s">
        <v>608</v>
      </c>
      <c r="O502" s="196"/>
      <c r="P502" s="180"/>
      <c r="Q502" s="174">
        <v>49.31</v>
      </c>
      <c r="R502" s="205">
        <v>22.67</v>
      </c>
      <c r="S502" s="165"/>
      <c r="T502" s="129" t="s">
        <v>58</v>
      </c>
      <c r="U502" s="147" t="s">
        <v>35</v>
      </c>
      <c r="V502" s="129"/>
      <c r="W502" s="147" t="s">
        <v>2214</v>
      </c>
      <c r="X502" s="215"/>
      <c r="Y502" s="216">
        <v>0</v>
      </c>
      <c r="Z502" s="216">
        <v>0</v>
      </c>
      <c r="AA502" s="263"/>
      <c r="AB502" s="155"/>
      <c r="AC502" s="212"/>
    </row>
    <row r="503" spans="1:29" s="182" customFormat="1" hidden="1" x14ac:dyDescent="0.25">
      <c r="A503" s="131">
        <v>1</v>
      </c>
      <c r="B503" s="136">
        <v>1201023</v>
      </c>
      <c r="C503" s="128" t="s">
        <v>567</v>
      </c>
      <c r="D503" s="127" t="s">
        <v>613</v>
      </c>
      <c r="E503" s="147" t="s">
        <v>38</v>
      </c>
      <c r="F503" s="129" t="s">
        <v>614</v>
      </c>
      <c r="G503" s="147" t="s">
        <v>607</v>
      </c>
      <c r="H503" s="191">
        <f t="shared" si="7"/>
        <v>0</v>
      </c>
      <c r="I503" s="134"/>
      <c r="J503" s="150"/>
      <c r="K503" s="147"/>
      <c r="L503" s="147"/>
      <c r="M503" s="147">
        <v>4</v>
      </c>
      <c r="N503" s="289">
        <v>16.2</v>
      </c>
      <c r="O503" s="196"/>
      <c r="P503" s="180"/>
      <c r="Q503" s="174"/>
      <c r="R503" s="205">
        <v>0</v>
      </c>
      <c r="S503" s="168" t="s">
        <v>35</v>
      </c>
      <c r="T503" s="129" t="s">
        <v>272</v>
      </c>
      <c r="U503" s="147" t="s">
        <v>35</v>
      </c>
      <c r="V503" s="129"/>
      <c r="W503" s="147" t="s">
        <v>2214</v>
      </c>
      <c r="X503" s="215"/>
      <c r="Y503" s="216">
        <v>0</v>
      </c>
      <c r="Z503" s="216">
        <v>0</v>
      </c>
      <c r="AA503" s="263"/>
      <c r="AB503" s="155"/>
      <c r="AC503" s="212"/>
    </row>
    <row r="504" spans="1:29" s="182" customFormat="1" hidden="1" x14ac:dyDescent="0.25">
      <c r="A504" s="131">
        <v>1</v>
      </c>
      <c r="B504" s="136">
        <v>1201024</v>
      </c>
      <c r="C504" s="128" t="s">
        <v>567</v>
      </c>
      <c r="D504" s="127" t="s">
        <v>616</v>
      </c>
      <c r="E504" s="147" t="s">
        <v>38</v>
      </c>
      <c r="F504" s="129" t="s">
        <v>617</v>
      </c>
      <c r="G504" s="147" t="s">
        <v>618</v>
      </c>
      <c r="H504" s="191">
        <f t="shared" si="7"/>
        <v>47.367864693446087</v>
      </c>
      <c r="I504" s="134"/>
      <c r="J504" s="150"/>
      <c r="K504" s="147"/>
      <c r="L504" s="147"/>
      <c r="M504" s="147">
        <v>2</v>
      </c>
      <c r="N504" s="289">
        <v>0.94599999999999995</v>
      </c>
      <c r="O504" s="196"/>
      <c r="P504" s="180"/>
      <c r="Q504" s="174">
        <v>47.367864693446087</v>
      </c>
      <c r="R504" s="205">
        <v>0</v>
      </c>
      <c r="S504" s="168"/>
      <c r="T504" s="129" t="s">
        <v>468</v>
      </c>
      <c r="U504" s="147" t="s">
        <v>37</v>
      </c>
      <c r="V504" s="129"/>
      <c r="W504" s="147" t="s">
        <v>2214</v>
      </c>
      <c r="X504" s="215"/>
      <c r="Y504" s="216">
        <v>0</v>
      </c>
      <c r="Z504" s="216">
        <v>0</v>
      </c>
      <c r="AA504" s="263"/>
      <c r="AB504" s="155"/>
      <c r="AC504" s="212"/>
    </row>
    <row r="505" spans="1:29" s="182" customFormat="1" hidden="1" x14ac:dyDescent="0.25">
      <c r="A505" s="131">
        <v>1</v>
      </c>
      <c r="B505" s="136">
        <v>1201025</v>
      </c>
      <c r="C505" s="128" t="s">
        <v>567</v>
      </c>
      <c r="D505" s="127" t="s">
        <v>624</v>
      </c>
      <c r="E505" s="147" t="s">
        <v>38</v>
      </c>
      <c r="F505" s="129" t="s">
        <v>289</v>
      </c>
      <c r="G505" s="147"/>
      <c r="H505" s="191">
        <f t="shared" si="7"/>
        <v>0</v>
      </c>
      <c r="I505" s="134"/>
      <c r="J505" s="150"/>
      <c r="K505" s="147">
        <v>11</v>
      </c>
      <c r="L505" s="147">
        <v>1</v>
      </c>
      <c r="M505" s="147">
        <v>12</v>
      </c>
      <c r="N505" s="289"/>
      <c r="O505" s="196"/>
      <c r="P505" s="180"/>
      <c r="Q505" s="174"/>
      <c r="R505" s="205"/>
      <c r="S505" s="168"/>
      <c r="T505" s="129" t="s">
        <v>289</v>
      </c>
      <c r="U505" s="147" t="s">
        <v>37</v>
      </c>
      <c r="V505" s="129"/>
      <c r="W505" s="163" t="s">
        <v>2531</v>
      </c>
      <c r="X505" s="215"/>
      <c r="Y505" s="216">
        <v>0</v>
      </c>
      <c r="Z505" s="216">
        <v>0</v>
      </c>
      <c r="AA505" s="263"/>
      <c r="AB505" s="155"/>
      <c r="AC505" s="212"/>
    </row>
    <row r="506" spans="1:29" s="182" customFormat="1" hidden="1" x14ac:dyDescent="0.25">
      <c r="A506" s="131">
        <v>1</v>
      </c>
      <c r="B506" s="136">
        <v>1201026</v>
      </c>
      <c r="C506" s="128" t="s">
        <v>567</v>
      </c>
      <c r="D506" s="127" t="s">
        <v>625</v>
      </c>
      <c r="E506" s="147" t="s">
        <v>38</v>
      </c>
      <c r="F506" s="129" t="s">
        <v>289</v>
      </c>
      <c r="G506" s="147"/>
      <c r="H506" s="191">
        <f t="shared" si="7"/>
        <v>0</v>
      </c>
      <c r="I506" s="134"/>
      <c r="J506" s="150"/>
      <c r="K506" s="147">
        <v>11</v>
      </c>
      <c r="L506" s="147">
        <v>1</v>
      </c>
      <c r="M506" s="147">
        <v>12</v>
      </c>
      <c r="N506" s="289"/>
      <c r="O506" s="196"/>
      <c r="P506" s="180"/>
      <c r="Q506" s="174"/>
      <c r="R506" s="205"/>
      <c r="S506" s="168"/>
      <c r="T506" s="129" t="s">
        <v>289</v>
      </c>
      <c r="U506" s="147" t="s">
        <v>37</v>
      </c>
      <c r="V506" s="129"/>
      <c r="W506" s="163" t="s">
        <v>2531</v>
      </c>
      <c r="X506" s="215"/>
      <c r="Y506" s="216">
        <v>0</v>
      </c>
      <c r="Z506" s="216">
        <v>0</v>
      </c>
      <c r="AA506" s="263"/>
      <c r="AB506" s="155"/>
      <c r="AC506" s="212"/>
    </row>
    <row r="507" spans="1:29" s="182" customFormat="1" ht="24" x14ac:dyDescent="0.25">
      <c r="A507" s="131"/>
      <c r="B507" s="157">
        <v>1201027</v>
      </c>
      <c r="C507" s="129" t="s">
        <v>567</v>
      </c>
      <c r="D507" s="129" t="s">
        <v>1825</v>
      </c>
      <c r="E507" s="147" t="s">
        <v>38</v>
      </c>
      <c r="F507" s="129" t="s">
        <v>1826</v>
      </c>
      <c r="G507" s="147" t="s">
        <v>607</v>
      </c>
      <c r="H507" s="191">
        <f t="shared" si="7"/>
        <v>3266.8419999999996</v>
      </c>
      <c r="I507" s="238" t="s">
        <v>2235</v>
      </c>
      <c r="J507" s="146">
        <v>30</v>
      </c>
      <c r="K507" s="147">
        <v>2</v>
      </c>
      <c r="L507" s="147">
        <v>1</v>
      </c>
      <c r="M507" s="147">
        <v>3</v>
      </c>
      <c r="N507" s="289">
        <v>4</v>
      </c>
      <c r="O507" s="198">
        <f>2995.1+479.216+112.5</f>
        <v>3586.8159999999998</v>
      </c>
      <c r="P507" s="180">
        <v>46167</v>
      </c>
      <c r="Q507" s="176">
        <f>3008.7+184.392</f>
        <v>3193.0919999999996</v>
      </c>
      <c r="R507" s="198">
        <v>73.75</v>
      </c>
      <c r="S507" s="165"/>
      <c r="T507" s="129" t="s">
        <v>2211</v>
      </c>
      <c r="U507" s="147" t="s">
        <v>37</v>
      </c>
      <c r="V507" s="147">
        <v>3500296</v>
      </c>
      <c r="W507" s="147" t="s">
        <v>2213</v>
      </c>
      <c r="X507" s="215" t="s">
        <v>1906</v>
      </c>
      <c r="Y507" s="216">
        <v>3011.2125000000001</v>
      </c>
      <c r="Z507" s="216">
        <v>4516.8187500000004</v>
      </c>
      <c r="AA507" s="263"/>
      <c r="AB507" s="305"/>
      <c r="AC507" s="214"/>
    </row>
    <row r="508" spans="1:29" s="182" customFormat="1" hidden="1" x14ac:dyDescent="0.25">
      <c r="A508" s="131">
        <v>1</v>
      </c>
      <c r="B508" s="136">
        <v>1201100</v>
      </c>
      <c r="C508" s="128" t="s">
        <v>567</v>
      </c>
      <c r="D508" s="127" t="s">
        <v>621</v>
      </c>
      <c r="E508" s="147" t="s">
        <v>38</v>
      </c>
      <c r="F508" s="129" t="s">
        <v>622</v>
      </c>
      <c r="G508" s="147" t="s">
        <v>623</v>
      </c>
      <c r="H508" s="191">
        <f t="shared" si="7"/>
        <v>7.84</v>
      </c>
      <c r="I508" s="134"/>
      <c r="J508" s="150"/>
      <c r="K508" s="147"/>
      <c r="L508" s="147"/>
      <c r="M508" s="147">
        <v>6</v>
      </c>
      <c r="N508" s="289"/>
      <c r="O508" s="196"/>
      <c r="P508" s="180"/>
      <c r="Q508" s="174">
        <v>7.84</v>
      </c>
      <c r="R508" s="205"/>
      <c r="S508" s="168"/>
      <c r="T508" s="129"/>
      <c r="U508" s="147" t="s">
        <v>37</v>
      </c>
      <c r="V508" s="129"/>
      <c r="W508" s="147" t="s">
        <v>2214</v>
      </c>
      <c r="X508" s="215"/>
      <c r="Y508" s="216">
        <v>0</v>
      </c>
      <c r="Z508" s="216">
        <v>0</v>
      </c>
      <c r="AA508" s="263"/>
      <c r="AB508" s="155"/>
      <c r="AC508" s="212"/>
    </row>
    <row r="509" spans="1:29" s="182" customFormat="1" hidden="1" x14ac:dyDescent="0.25">
      <c r="A509" s="131">
        <v>1</v>
      </c>
      <c r="B509" s="136">
        <v>1202001</v>
      </c>
      <c r="C509" s="137" t="s">
        <v>567</v>
      </c>
      <c r="D509" s="137" t="s">
        <v>626</v>
      </c>
      <c r="E509" s="147" t="s">
        <v>38</v>
      </c>
      <c r="F509" s="129" t="s">
        <v>628</v>
      </c>
      <c r="G509" s="147" t="s">
        <v>607</v>
      </c>
      <c r="H509" s="191">
        <f t="shared" si="7"/>
        <v>536.5</v>
      </c>
      <c r="I509" s="134"/>
      <c r="J509" s="150"/>
      <c r="K509" s="147"/>
      <c r="L509" s="147"/>
      <c r="M509" s="147">
        <v>4</v>
      </c>
      <c r="N509" s="289" t="s">
        <v>630</v>
      </c>
      <c r="O509" s="196"/>
      <c r="P509" s="180"/>
      <c r="Q509" s="174">
        <v>16.5</v>
      </c>
      <c r="R509" s="205">
        <v>520</v>
      </c>
      <c r="S509" s="165"/>
      <c r="T509" s="129" t="s">
        <v>277</v>
      </c>
      <c r="U509" s="147" t="s">
        <v>35</v>
      </c>
      <c r="V509" s="129"/>
      <c r="W509" s="147" t="s">
        <v>2214</v>
      </c>
      <c r="X509" s="215"/>
      <c r="Y509" s="216">
        <v>0</v>
      </c>
      <c r="Z509" s="216">
        <v>0</v>
      </c>
      <c r="AA509" s="263"/>
      <c r="AB509" s="155"/>
      <c r="AC509" s="212"/>
    </row>
    <row r="510" spans="1:29" s="182" customFormat="1" hidden="1" x14ac:dyDescent="0.25">
      <c r="A510" s="131">
        <v>1</v>
      </c>
      <c r="B510" s="136">
        <v>1202002</v>
      </c>
      <c r="C510" s="137" t="s">
        <v>567</v>
      </c>
      <c r="D510" s="137" t="s">
        <v>635</v>
      </c>
      <c r="E510" s="147" t="s">
        <v>38</v>
      </c>
      <c r="F510" s="129" t="s">
        <v>628</v>
      </c>
      <c r="G510" s="147" t="s">
        <v>607</v>
      </c>
      <c r="H510" s="191">
        <f t="shared" si="7"/>
        <v>545</v>
      </c>
      <c r="I510" s="134"/>
      <c r="J510" s="150"/>
      <c r="K510" s="147"/>
      <c r="L510" s="147"/>
      <c r="M510" s="147">
        <v>4</v>
      </c>
      <c r="N510" s="289" t="s">
        <v>630</v>
      </c>
      <c r="O510" s="196"/>
      <c r="P510" s="180"/>
      <c r="Q510" s="174">
        <v>25</v>
      </c>
      <c r="R510" s="205">
        <v>520</v>
      </c>
      <c r="S510" s="165"/>
      <c r="T510" s="129" t="s">
        <v>277</v>
      </c>
      <c r="U510" s="147" t="s">
        <v>35</v>
      </c>
      <c r="V510" s="129"/>
      <c r="W510" s="147" t="s">
        <v>2214</v>
      </c>
      <c r="X510" s="215"/>
      <c r="Y510" s="216">
        <v>0</v>
      </c>
      <c r="Z510" s="216">
        <v>0</v>
      </c>
      <c r="AA510" s="263"/>
      <c r="AB510" s="155"/>
      <c r="AC510" s="212"/>
    </row>
    <row r="511" spans="1:29" s="182" customFormat="1" hidden="1" x14ac:dyDescent="0.25">
      <c r="A511" s="131">
        <v>1</v>
      </c>
      <c r="B511" s="136">
        <v>1202003</v>
      </c>
      <c r="C511" s="137" t="s">
        <v>567</v>
      </c>
      <c r="D511" s="137" t="s">
        <v>636</v>
      </c>
      <c r="E511" s="147" t="s">
        <v>38</v>
      </c>
      <c r="F511" s="129" t="s">
        <v>628</v>
      </c>
      <c r="G511" s="147" t="s">
        <v>607</v>
      </c>
      <c r="H511" s="191">
        <f t="shared" si="7"/>
        <v>545.29999999999995</v>
      </c>
      <c r="I511" s="134"/>
      <c r="J511" s="150"/>
      <c r="K511" s="147"/>
      <c r="L511" s="147"/>
      <c r="M511" s="147">
        <v>4</v>
      </c>
      <c r="N511" s="289" t="s">
        <v>630</v>
      </c>
      <c r="O511" s="196"/>
      <c r="P511" s="180"/>
      <c r="Q511" s="174">
        <v>25.3</v>
      </c>
      <c r="R511" s="205">
        <v>520</v>
      </c>
      <c r="S511" s="165"/>
      <c r="T511" s="129" t="s">
        <v>277</v>
      </c>
      <c r="U511" s="147" t="s">
        <v>35</v>
      </c>
      <c r="V511" s="129"/>
      <c r="W511" s="147" t="s">
        <v>2214</v>
      </c>
      <c r="X511" s="215"/>
      <c r="Y511" s="216">
        <v>0</v>
      </c>
      <c r="Z511" s="216">
        <v>0</v>
      </c>
      <c r="AA511" s="263"/>
      <c r="AB511" s="155"/>
      <c r="AC511" s="212"/>
    </row>
    <row r="512" spans="1:29" s="182" customFormat="1" hidden="1" x14ac:dyDescent="0.25">
      <c r="A512" s="131">
        <v>1</v>
      </c>
      <c r="B512" s="136">
        <v>1202004</v>
      </c>
      <c r="C512" s="137" t="s">
        <v>567</v>
      </c>
      <c r="D512" s="137" t="s">
        <v>637</v>
      </c>
      <c r="E512" s="147" t="s">
        <v>38</v>
      </c>
      <c r="F512" s="129" t="s">
        <v>628</v>
      </c>
      <c r="G512" s="147" t="s">
        <v>607</v>
      </c>
      <c r="H512" s="191">
        <f t="shared" si="7"/>
        <v>541</v>
      </c>
      <c r="I512" s="134"/>
      <c r="J512" s="150"/>
      <c r="K512" s="147"/>
      <c r="L512" s="147"/>
      <c r="M512" s="147">
        <v>4</v>
      </c>
      <c r="N512" s="289" t="s">
        <v>630</v>
      </c>
      <c r="O512" s="196"/>
      <c r="P512" s="180"/>
      <c r="Q512" s="174">
        <v>21</v>
      </c>
      <c r="R512" s="205">
        <v>520</v>
      </c>
      <c r="S512" s="165"/>
      <c r="T512" s="129" t="s">
        <v>277</v>
      </c>
      <c r="U512" s="147" t="s">
        <v>35</v>
      </c>
      <c r="V512" s="129"/>
      <c r="W512" s="147" t="s">
        <v>2214</v>
      </c>
      <c r="X512" s="215"/>
      <c r="Y512" s="216">
        <v>0</v>
      </c>
      <c r="Z512" s="216">
        <v>0</v>
      </c>
      <c r="AA512" s="263"/>
      <c r="AB512" s="155"/>
      <c r="AC512" s="212"/>
    </row>
    <row r="513" spans="1:29" s="182" customFormat="1" hidden="1" x14ac:dyDescent="0.25">
      <c r="A513" s="131">
        <v>1</v>
      </c>
      <c r="B513" s="136">
        <v>1202005</v>
      </c>
      <c r="C513" s="137" t="s">
        <v>567</v>
      </c>
      <c r="D513" s="137" t="s">
        <v>638</v>
      </c>
      <c r="E513" s="147" t="s">
        <v>38</v>
      </c>
      <c r="F513" s="129" t="s">
        <v>628</v>
      </c>
      <c r="G513" s="147" t="s">
        <v>607</v>
      </c>
      <c r="H513" s="191">
        <f t="shared" si="7"/>
        <v>534.70000000000005</v>
      </c>
      <c r="I513" s="134"/>
      <c r="J513" s="150"/>
      <c r="K513" s="147"/>
      <c r="L513" s="147"/>
      <c r="M513" s="147">
        <v>4</v>
      </c>
      <c r="N513" s="289" t="s">
        <v>630</v>
      </c>
      <c r="O513" s="196"/>
      <c r="P513" s="180"/>
      <c r="Q513" s="174">
        <v>14.7</v>
      </c>
      <c r="R513" s="205">
        <v>520</v>
      </c>
      <c r="S513" s="165"/>
      <c r="T513" s="129" t="s">
        <v>277</v>
      </c>
      <c r="U513" s="147" t="s">
        <v>35</v>
      </c>
      <c r="V513" s="129"/>
      <c r="W513" s="147" t="s">
        <v>2214</v>
      </c>
      <c r="X513" s="215"/>
      <c r="Y513" s="216">
        <v>0</v>
      </c>
      <c r="Z513" s="216">
        <v>0</v>
      </c>
      <c r="AA513" s="263"/>
      <c r="AB513" s="155"/>
      <c r="AC513" s="212"/>
    </row>
    <row r="514" spans="1:29" s="182" customFormat="1" hidden="1" x14ac:dyDescent="0.25">
      <c r="A514" s="131">
        <v>1</v>
      </c>
      <c r="B514" s="136">
        <v>1202006</v>
      </c>
      <c r="C514" s="137" t="s">
        <v>567</v>
      </c>
      <c r="D514" s="137" t="s">
        <v>639</v>
      </c>
      <c r="E514" s="147" t="s">
        <v>38</v>
      </c>
      <c r="F514" s="129" t="s">
        <v>628</v>
      </c>
      <c r="G514" s="147" t="s">
        <v>607</v>
      </c>
      <c r="H514" s="191">
        <f t="shared" si="7"/>
        <v>541.5</v>
      </c>
      <c r="I514" s="134"/>
      <c r="J514" s="150"/>
      <c r="K514" s="147"/>
      <c r="L514" s="147"/>
      <c r="M514" s="147">
        <v>4</v>
      </c>
      <c r="N514" s="289" t="s">
        <v>630</v>
      </c>
      <c r="O514" s="196"/>
      <c r="P514" s="180"/>
      <c r="Q514" s="174">
        <v>21.5</v>
      </c>
      <c r="R514" s="205">
        <v>520</v>
      </c>
      <c r="S514" s="165"/>
      <c r="T514" s="129" t="s">
        <v>277</v>
      </c>
      <c r="U514" s="147" t="s">
        <v>35</v>
      </c>
      <c r="V514" s="129"/>
      <c r="W514" s="147" t="s">
        <v>2214</v>
      </c>
      <c r="X514" s="215"/>
      <c r="Y514" s="216">
        <v>0</v>
      </c>
      <c r="Z514" s="216">
        <v>0</v>
      </c>
      <c r="AA514" s="263"/>
      <c r="AB514" s="155"/>
      <c r="AC514" s="212"/>
    </row>
    <row r="515" spans="1:29" s="182" customFormat="1" hidden="1" x14ac:dyDescent="0.25">
      <c r="A515" s="131">
        <v>1</v>
      </c>
      <c r="B515" s="136">
        <v>1202007</v>
      </c>
      <c r="C515" s="137" t="s">
        <v>567</v>
      </c>
      <c r="D515" s="137" t="s">
        <v>640</v>
      </c>
      <c r="E515" s="147" t="s">
        <v>38</v>
      </c>
      <c r="F515" s="129" t="s">
        <v>628</v>
      </c>
      <c r="G515" s="147" t="s">
        <v>607</v>
      </c>
      <c r="H515" s="191">
        <f t="shared" ref="H515:H578" si="8">Q515+R515</f>
        <v>543.5</v>
      </c>
      <c r="I515" s="134"/>
      <c r="J515" s="150"/>
      <c r="K515" s="147"/>
      <c r="L515" s="147"/>
      <c r="M515" s="147">
        <v>4</v>
      </c>
      <c r="N515" s="289" t="s">
        <v>630</v>
      </c>
      <c r="O515" s="196"/>
      <c r="P515" s="180"/>
      <c r="Q515" s="174">
        <v>23.5</v>
      </c>
      <c r="R515" s="205">
        <v>520</v>
      </c>
      <c r="S515" s="165"/>
      <c r="T515" s="129" t="s">
        <v>277</v>
      </c>
      <c r="U515" s="147" t="s">
        <v>35</v>
      </c>
      <c r="V515" s="129"/>
      <c r="W515" s="147" t="s">
        <v>2214</v>
      </c>
      <c r="X515" s="215"/>
      <c r="Y515" s="216">
        <v>0</v>
      </c>
      <c r="Z515" s="216">
        <v>0</v>
      </c>
      <c r="AA515" s="263"/>
      <c r="AB515" s="155"/>
      <c r="AC515" s="212"/>
    </row>
    <row r="516" spans="1:29" s="182" customFormat="1" hidden="1" x14ac:dyDescent="0.25">
      <c r="A516" s="131">
        <v>1</v>
      </c>
      <c r="B516" s="136">
        <v>1202008</v>
      </c>
      <c r="C516" s="137" t="s">
        <v>589</v>
      </c>
      <c r="D516" s="137" t="s">
        <v>641</v>
      </c>
      <c r="E516" s="147" t="s">
        <v>38</v>
      </c>
      <c r="F516" s="129" t="s">
        <v>628</v>
      </c>
      <c r="G516" s="147" t="s">
        <v>607</v>
      </c>
      <c r="H516" s="191">
        <f t="shared" si="8"/>
        <v>537</v>
      </c>
      <c r="I516" s="134"/>
      <c r="J516" s="150"/>
      <c r="K516" s="147"/>
      <c r="L516" s="147"/>
      <c r="M516" s="147">
        <v>4</v>
      </c>
      <c r="N516" s="289" t="s">
        <v>630</v>
      </c>
      <c r="O516" s="196"/>
      <c r="P516" s="180"/>
      <c r="Q516" s="174">
        <v>17</v>
      </c>
      <c r="R516" s="205">
        <v>520</v>
      </c>
      <c r="S516" s="165"/>
      <c r="T516" s="129" t="s">
        <v>277</v>
      </c>
      <c r="U516" s="147" t="s">
        <v>35</v>
      </c>
      <c r="V516" s="129"/>
      <c r="W516" s="147" t="s">
        <v>2214</v>
      </c>
      <c r="X516" s="215"/>
      <c r="Y516" s="216">
        <v>0</v>
      </c>
      <c r="Z516" s="216">
        <v>0</v>
      </c>
      <c r="AA516" s="263"/>
      <c r="AB516" s="155"/>
      <c r="AC516" s="212"/>
    </row>
    <row r="517" spans="1:29" s="182" customFormat="1" hidden="1" x14ac:dyDescent="0.25">
      <c r="A517" s="131">
        <v>1</v>
      </c>
      <c r="B517" s="136">
        <v>1202009</v>
      </c>
      <c r="C517" s="137" t="s">
        <v>567</v>
      </c>
      <c r="D517" s="137" t="s">
        <v>642</v>
      </c>
      <c r="E517" s="147" t="s">
        <v>38</v>
      </c>
      <c r="F517" s="129" t="s">
        <v>628</v>
      </c>
      <c r="G517" s="147" t="s">
        <v>607</v>
      </c>
      <c r="H517" s="191">
        <f t="shared" si="8"/>
        <v>547</v>
      </c>
      <c r="I517" s="134"/>
      <c r="J517" s="150"/>
      <c r="K517" s="147"/>
      <c r="L517" s="147"/>
      <c r="M517" s="147">
        <v>4</v>
      </c>
      <c r="N517" s="289" t="s">
        <v>630</v>
      </c>
      <c r="O517" s="196"/>
      <c r="P517" s="180"/>
      <c r="Q517" s="174">
        <v>27</v>
      </c>
      <c r="R517" s="205">
        <v>520</v>
      </c>
      <c r="S517" s="165"/>
      <c r="T517" s="129" t="s">
        <v>277</v>
      </c>
      <c r="U517" s="147" t="s">
        <v>35</v>
      </c>
      <c r="V517" s="129"/>
      <c r="W517" s="147" t="s">
        <v>2214</v>
      </c>
      <c r="X517" s="215"/>
      <c r="Y517" s="216">
        <v>0</v>
      </c>
      <c r="Z517" s="216">
        <v>0</v>
      </c>
      <c r="AA517" s="263"/>
      <c r="AB517" s="155"/>
      <c r="AC517" s="212"/>
    </row>
    <row r="518" spans="1:29" s="182" customFormat="1" hidden="1" x14ac:dyDescent="0.25">
      <c r="A518" s="131">
        <v>1</v>
      </c>
      <c r="B518" s="136">
        <v>1202010</v>
      </c>
      <c r="C518" s="137" t="s">
        <v>567</v>
      </c>
      <c r="D518" s="137" t="s">
        <v>643</v>
      </c>
      <c r="E518" s="147" t="s">
        <v>38</v>
      </c>
      <c r="F518" s="129" t="s">
        <v>189</v>
      </c>
      <c r="G518" s="147" t="s">
        <v>623</v>
      </c>
      <c r="H518" s="191">
        <f t="shared" si="8"/>
        <v>0</v>
      </c>
      <c r="I518" s="225"/>
      <c r="J518" s="149"/>
      <c r="K518" s="147">
        <v>12</v>
      </c>
      <c r="L518" s="147">
        <v>1</v>
      </c>
      <c r="M518" s="147">
        <v>13</v>
      </c>
      <c r="N518" s="289"/>
      <c r="O518" s="196"/>
      <c r="P518" s="180"/>
      <c r="Q518" s="174"/>
      <c r="R518" s="206">
        <v>0</v>
      </c>
      <c r="S518" s="165"/>
      <c r="T518" s="129" t="s">
        <v>189</v>
      </c>
      <c r="U518" s="147" t="s">
        <v>35</v>
      </c>
      <c r="V518" s="129"/>
      <c r="W518" s="177" t="s">
        <v>2531</v>
      </c>
      <c r="X518" s="215"/>
      <c r="Y518" s="216">
        <v>0</v>
      </c>
      <c r="Z518" s="216">
        <v>0</v>
      </c>
      <c r="AA518" s="263"/>
      <c r="AB518" s="155"/>
      <c r="AC518" s="212"/>
    </row>
    <row r="519" spans="1:29" s="182" customFormat="1" hidden="1" x14ac:dyDescent="0.25">
      <c r="A519" s="131">
        <v>1</v>
      </c>
      <c r="B519" s="136">
        <v>1202011</v>
      </c>
      <c r="C519" s="137" t="s">
        <v>567</v>
      </c>
      <c r="D519" s="137" t="s">
        <v>644</v>
      </c>
      <c r="E519" s="147" t="s">
        <v>38</v>
      </c>
      <c r="F519" s="129" t="s">
        <v>189</v>
      </c>
      <c r="G519" s="147" t="s">
        <v>623</v>
      </c>
      <c r="H519" s="191">
        <f t="shared" si="8"/>
        <v>0</v>
      </c>
      <c r="I519" s="225"/>
      <c r="J519" s="149"/>
      <c r="K519" s="147">
        <v>12</v>
      </c>
      <c r="L519" s="147">
        <v>1</v>
      </c>
      <c r="M519" s="147">
        <v>13</v>
      </c>
      <c r="N519" s="289"/>
      <c r="O519" s="196"/>
      <c r="P519" s="180"/>
      <c r="Q519" s="174"/>
      <c r="R519" s="206">
        <v>0</v>
      </c>
      <c r="S519" s="165"/>
      <c r="T519" s="129" t="s">
        <v>189</v>
      </c>
      <c r="U519" s="147" t="s">
        <v>35</v>
      </c>
      <c r="V519" s="129"/>
      <c r="W519" s="177" t="s">
        <v>2531</v>
      </c>
      <c r="X519" s="215"/>
      <c r="Y519" s="216">
        <v>0</v>
      </c>
      <c r="Z519" s="216">
        <v>0</v>
      </c>
      <c r="AA519" s="263"/>
      <c r="AB519" s="155"/>
      <c r="AC519" s="212"/>
    </row>
    <row r="520" spans="1:29" s="182" customFormat="1" hidden="1" x14ac:dyDescent="0.25">
      <c r="A520" s="131">
        <v>1</v>
      </c>
      <c r="B520" s="136">
        <v>1203001</v>
      </c>
      <c r="C520" s="127" t="s">
        <v>567</v>
      </c>
      <c r="D520" s="127" t="s">
        <v>645</v>
      </c>
      <c r="E520" s="147" t="s">
        <v>38</v>
      </c>
      <c r="F520" s="129" t="s">
        <v>569</v>
      </c>
      <c r="G520" s="147" t="s">
        <v>34</v>
      </c>
      <c r="H520" s="191">
        <f t="shared" si="8"/>
        <v>6</v>
      </c>
      <c r="I520" s="222"/>
      <c r="J520" s="150"/>
      <c r="K520" s="147"/>
      <c r="L520" s="147"/>
      <c r="M520" s="147">
        <v>4</v>
      </c>
      <c r="N520" s="289"/>
      <c r="O520" s="196"/>
      <c r="P520" s="180"/>
      <c r="Q520" s="174">
        <v>6</v>
      </c>
      <c r="R520" s="205"/>
      <c r="S520" s="168"/>
      <c r="T520" s="129" t="s">
        <v>55</v>
      </c>
      <c r="U520" s="147" t="s">
        <v>37</v>
      </c>
      <c r="V520" s="129"/>
      <c r="W520" s="147" t="s">
        <v>2214</v>
      </c>
      <c r="X520" s="215"/>
      <c r="Y520" s="216">
        <v>0</v>
      </c>
      <c r="Z520" s="216">
        <v>0</v>
      </c>
      <c r="AA520" s="263"/>
      <c r="AB520" s="155"/>
      <c r="AC520" s="212"/>
    </row>
    <row r="521" spans="1:29" s="182" customFormat="1" hidden="1" x14ac:dyDescent="0.25">
      <c r="A521" s="131">
        <v>1</v>
      </c>
      <c r="B521" s="136">
        <v>1203002</v>
      </c>
      <c r="C521" s="127" t="s">
        <v>567</v>
      </c>
      <c r="D521" s="127" t="s">
        <v>646</v>
      </c>
      <c r="E521" s="147" t="s">
        <v>38</v>
      </c>
      <c r="F521" s="129" t="s">
        <v>569</v>
      </c>
      <c r="G521" s="147" t="s">
        <v>34</v>
      </c>
      <c r="H521" s="191">
        <f t="shared" si="8"/>
        <v>6</v>
      </c>
      <c r="I521" s="134"/>
      <c r="J521" s="150"/>
      <c r="K521" s="147"/>
      <c r="L521" s="147"/>
      <c r="M521" s="147">
        <v>4</v>
      </c>
      <c r="N521" s="289"/>
      <c r="O521" s="196"/>
      <c r="P521" s="180"/>
      <c r="Q521" s="174">
        <v>6</v>
      </c>
      <c r="R521" s="205"/>
      <c r="S521" s="168"/>
      <c r="T521" s="129" t="s">
        <v>55</v>
      </c>
      <c r="U521" s="147" t="s">
        <v>37</v>
      </c>
      <c r="V521" s="129"/>
      <c r="W521" s="163" t="s">
        <v>54</v>
      </c>
      <c r="X521" s="215"/>
      <c r="Y521" s="216">
        <v>0</v>
      </c>
      <c r="Z521" s="216">
        <v>0</v>
      </c>
      <c r="AA521" s="263"/>
      <c r="AB521" s="155"/>
      <c r="AC521" s="212"/>
    </row>
    <row r="522" spans="1:29" s="182" customFormat="1" hidden="1" x14ac:dyDescent="0.25">
      <c r="A522" s="131">
        <v>1</v>
      </c>
      <c r="B522" s="136">
        <v>1203003</v>
      </c>
      <c r="C522" s="127" t="s">
        <v>567</v>
      </c>
      <c r="D522" s="127" t="s">
        <v>647</v>
      </c>
      <c r="E522" s="147" t="s">
        <v>38</v>
      </c>
      <c r="F522" s="129" t="s">
        <v>648</v>
      </c>
      <c r="G522" s="147" t="s">
        <v>34</v>
      </c>
      <c r="H522" s="191">
        <f t="shared" si="8"/>
        <v>35</v>
      </c>
      <c r="I522" s="134"/>
      <c r="J522" s="150"/>
      <c r="K522" s="147"/>
      <c r="L522" s="147"/>
      <c r="M522" s="147">
        <v>2</v>
      </c>
      <c r="N522" s="289"/>
      <c r="O522" s="196"/>
      <c r="P522" s="180"/>
      <c r="Q522" s="174">
        <v>35</v>
      </c>
      <c r="R522" s="205"/>
      <c r="S522" s="168"/>
      <c r="T522" s="129"/>
      <c r="U522" s="147" t="s">
        <v>37</v>
      </c>
      <c r="V522" s="129"/>
      <c r="W522" s="147" t="s">
        <v>2214</v>
      </c>
      <c r="X522" s="215"/>
      <c r="Y522" s="216">
        <v>0</v>
      </c>
      <c r="Z522" s="216">
        <v>0</v>
      </c>
      <c r="AA522" s="263"/>
      <c r="AB522" s="155"/>
      <c r="AC522" s="212"/>
    </row>
    <row r="523" spans="1:29" s="182" customFormat="1" hidden="1" x14ac:dyDescent="0.25">
      <c r="A523" s="131">
        <v>1</v>
      </c>
      <c r="B523" s="136">
        <v>1203004</v>
      </c>
      <c r="C523" s="127" t="s">
        <v>567</v>
      </c>
      <c r="D523" s="127" t="s">
        <v>649</v>
      </c>
      <c r="E523" s="147" t="s">
        <v>38</v>
      </c>
      <c r="F523" s="129" t="s">
        <v>648</v>
      </c>
      <c r="G523" s="147" t="s">
        <v>34</v>
      </c>
      <c r="H523" s="191">
        <f t="shared" si="8"/>
        <v>35</v>
      </c>
      <c r="I523" s="134"/>
      <c r="J523" s="150"/>
      <c r="K523" s="147"/>
      <c r="L523" s="147"/>
      <c r="M523" s="147">
        <v>2</v>
      </c>
      <c r="N523" s="289"/>
      <c r="O523" s="196"/>
      <c r="P523" s="180"/>
      <c r="Q523" s="174">
        <v>35</v>
      </c>
      <c r="R523" s="205"/>
      <c r="S523" s="168"/>
      <c r="T523" s="129"/>
      <c r="U523" s="147" t="s">
        <v>37</v>
      </c>
      <c r="V523" s="129"/>
      <c r="W523" s="147" t="s">
        <v>2214</v>
      </c>
      <c r="X523" s="215"/>
      <c r="Y523" s="216">
        <v>0</v>
      </c>
      <c r="Z523" s="216">
        <v>0</v>
      </c>
      <c r="AA523" s="263"/>
      <c r="AB523" s="155"/>
      <c r="AC523" s="212"/>
    </row>
    <row r="524" spans="1:29" hidden="1" x14ac:dyDescent="0.25">
      <c r="A524" s="131">
        <v>1</v>
      </c>
      <c r="B524" s="136">
        <v>1203005</v>
      </c>
      <c r="C524" s="127" t="s">
        <v>589</v>
      </c>
      <c r="D524" s="127" t="s">
        <v>650</v>
      </c>
      <c r="E524" s="147" t="s">
        <v>38</v>
      </c>
      <c r="F524" s="138" t="s">
        <v>57</v>
      </c>
      <c r="G524" s="147" t="s">
        <v>34</v>
      </c>
      <c r="H524" s="191">
        <f t="shared" si="8"/>
        <v>0</v>
      </c>
      <c r="I524" s="225"/>
      <c r="J524" s="149"/>
      <c r="K524" s="147">
        <v>12</v>
      </c>
      <c r="L524" s="147">
        <v>1</v>
      </c>
      <c r="M524" s="147">
        <v>13</v>
      </c>
      <c r="N524" s="289"/>
      <c r="O524" s="196"/>
      <c r="P524" s="180"/>
      <c r="Q524" s="174"/>
      <c r="R524" s="206">
        <v>0</v>
      </c>
      <c r="S524" s="168"/>
      <c r="T524" s="129" t="s">
        <v>55</v>
      </c>
      <c r="U524" s="147" t="s">
        <v>37</v>
      </c>
      <c r="V524" s="129"/>
      <c r="W524" s="163" t="s">
        <v>54</v>
      </c>
      <c r="X524" s="215"/>
      <c r="Y524" s="216">
        <v>0</v>
      </c>
      <c r="Z524" s="216">
        <v>0</v>
      </c>
      <c r="AA524" s="263"/>
      <c r="AB524" s="155"/>
      <c r="AC524" s="212"/>
    </row>
    <row r="525" spans="1:29" hidden="1" x14ac:dyDescent="0.25">
      <c r="A525" s="131">
        <v>1</v>
      </c>
      <c r="B525" s="136">
        <v>1203006</v>
      </c>
      <c r="C525" s="127" t="s">
        <v>657</v>
      </c>
      <c r="D525" s="127" t="s">
        <v>651</v>
      </c>
      <c r="E525" s="147" t="s">
        <v>38</v>
      </c>
      <c r="F525" s="138" t="s">
        <v>57</v>
      </c>
      <c r="G525" s="147" t="s">
        <v>1731</v>
      </c>
      <c r="H525" s="191">
        <f t="shared" si="8"/>
        <v>16.05</v>
      </c>
      <c r="I525" s="225"/>
      <c r="J525" s="149"/>
      <c r="K525" s="147">
        <v>12</v>
      </c>
      <c r="L525" s="147">
        <v>1</v>
      </c>
      <c r="M525" s="147">
        <v>13</v>
      </c>
      <c r="N525" s="289"/>
      <c r="O525" s="196"/>
      <c r="P525" s="180"/>
      <c r="Q525" s="174">
        <v>16</v>
      </c>
      <c r="R525" s="284">
        <v>0.05</v>
      </c>
      <c r="S525" s="168"/>
      <c r="T525" s="129" t="s">
        <v>55</v>
      </c>
      <c r="U525" s="147" t="s">
        <v>37</v>
      </c>
      <c r="V525" s="129"/>
      <c r="W525" s="163" t="s">
        <v>54</v>
      </c>
      <c r="X525" s="215"/>
      <c r="Y525" s="216">
        <v>0</v>
      </c>
      <c r="Z525" s="216">
        <v>0</v>
      </c>
      <c r="AA525" s="263"/>
      <c r="AB525" s="155"/>
      <c r="AC525" s="212"/>
    </row>
    <row r="526" spans="1:29" s="182" customFormat="1" hidden="1" x14ac:dyDescent="0.25">
      <c r="A526" s="131">
        <v>1</v>
      </c>
      <c r="B526" s="136">
        <v>1203007</v>
      </c>
      <c r="C526" s="127" t="s">
        <v>657</v>
      </c>
      <c r="D526" s="127" t="s">
        <v>652</v>
      </c>
      <c r="E526" s="147" t="s">
        <v>38</v>
      </c>
      <c r="F526" s="138" t="s">
        <v>57</v>
      </c>
      <c r="G526" s="147" t="s">
        <v>1731</v>
      </c>
      <c r="H526" s="191">
        <f t="shared" si="8"/>
        <v>16.05</v>
      </c>
      <c r="I526" s="225"/>
      <c r="J526" s="149"/>
      <c r="K526" s="147">
        <v>12</v>
      </c>
      <c r="L526" s="147">
        <v>1</v>
      </c>
      <c r="M526" s="147">
        <v>13</v>
      </c>
      <c r="N526" s="289"/>
      <c r="O526" s="196"/>
      <c r="P526" s="180"/>
      <c r="Q526" s="174">
        <v>16</v>
      </c>
      <c r="R526" s="284">
        <v>0.05</v>
      </c>
      <c r="S526" s="168"/>
      <c r="T526" s="129" t="s">
        <v>55</v>
      </c>
      <c r="U526" s="147" t="s">
        <v>37</v>
      </c>
      <c r="V526" s="129"/>
      <c r="W526" s="163" t="s">
        <v>54</v>
      </c>
      <c r="X526" s="215"/>
      <c r="Y526" s="216">
        <v>0</v>
      </c>
      <c r="Z526" s="216">
        <v>0</v>
      </c>
      <c r="AA526" s="263"/>
      <c r="AB526" s="155"/>
      <c r="AC526" s="212"/>
    </row>
    <row r="527" spans="1:29" s="182" customFormat="1" hidden="1" x14ac:dyDescent="0.25">
      <c r="A527" s="131">
        <v>1</v>
      </c>
      <c r="B527" s="136">
        <v>1203008</v>
      </c>
      <c r="C527" s="127" t="s">
        <v>657</v>
      </c>
      <c r="D527" s="127" t="s">
        <v>653</v>
      </c>
      <c r="E527" s="147" t="s">
        <v>38</v>
      </c>
      <c r="F527" s="138" t="s">
        <v>57</v>
      </c>
      <c r="G527" s="147" t="s">
        <v>1731</v>
      </c>
      <c r="H527" s="191">
        <f t="shared" si="8"/>
        <v>16.05</v>
      </c>
      <c r="I527" s="225"/>
      <c r="J527" s="149"/>
      <c r="K527" s="147">
        <v>12</v>
      </c>
      <c r="L527" s="147">
        <v>1</v>
      </c>
      <c r="M527" s="147">
        <v>13</v>
      </c>
      <c r="N527" s="289"/>
      <c r="O527" s="196"/>
      <c r="P527" s="180"/>
      <c r="Q527" s="174">
        <v>16</v>
      </c>
      <c r="R527" s="284">
        <v>0.05</v>
      </c>
      <c r="S527" s="168"/>
      <c r="T527" s="129" t="s">
        <v>55</v>
      </c>
      <c r="U527" s="147" t="s">
        <v>37</v>
      </c>
      <c r="V527" s="129"/>
      <c r="W527" s="163" t="s">
        <v>54</v>
      </c>
      <c r="X527" s="215"/>
      <c r="Y527" s="216">
        <v>0</v>
      </c>
      <c r="Z527" s="216">
        <v>0</v>
      </c>
      <c r="AA527" s="263"/>
      <c r="AB527" s="155"/>
      <c r="AC527" s="212"/>
    </row>
    <row r="528" spans="1:29" s="182" customFormat="1" hidden="1" x14ac:dyDescent="0.25">
      <c r="A528" s="131">
        <v>1</v>
      </c>
      <c r="B528" s="136">
        <v>1203009</v>
      </c>
      <c r="C528" s="127" t="s">
        <v>657</v>
      </c>
      <c r="D528" s="127" t="s">
        <v>654</v>
      </c>
      <c r="E528" s="147" t="s">
        <v>38</v>
      </c>
      <c r="F528" s="138" t="s">
        <v>57</v>
      </c>
      <c r="G528" s="147" t="s">
        <v>34</v>
      </c>
      <c r="H528" s="191">
        <f t="shared" si="8"/>
        <v>16.05</v>
      </c>
      <c r="I528" s="225"/>
      <c r="J528" s="149"/>
      <c r="K528" s="147">
        <v>12</v>
      </c>
      <c r="L528" s="147">
        <v>1</v>
      </c>
      <c r="M528" s="147">
        <v>13</v>
      </c>
      <c r="N528" s="289"/>
      <c r="O528" s="196"/>
      <c r="P528" s="180"/>
      <c r="Q528" s="174">
        <v>16</v>
      </c>
      <c r="R528" s="284">
        <v>0.05</v>
      </c>
      <c r="S528" s="168"/>
      <c r="T528" s="129" t="s">
        <v>55</v>
      </c>
      <c r="U528" s="147" t="s">
        <v>37</v>
      </c>
      <c r="V528" s="129"/>
      <c r="W528" s="163" t="s">
        <v>54</v>
      </c>
      <c r="X528" s="215"/>
      <c r="Y528" s="216">
        <v>0</v>
      </c>
      <c r="Z528" s="216">
        <v>0</v>
      </c>
      <c r="AA528" s="263"/>
      <c r="AB528" s="155"/>
      <c r="AC528" s="212"/>
    </row>
    <row r="529" spans="1:29" s="182" customFormat="1" hidden="1" x14ac:dyDescent="0.25">
      <c r="A529" s="131">
        <v>1</v>
      </c>
      <c r="B529" s="136">
        <v>1203010</v>
      </c>
      <c r="C529" s="127" t="s">
        <v>657</v>
      </c>
      <c r="D529" s="127" t="s">
        <v>655</v>
      </c>
      <c r="E529" s="147" t="s">
        <v>38</v>
      </c>
      <c r="F529" s="138" t="s">
        <v>57</v>
      </c>
      <c r="G529" s="147" t="s">
        <v>34</v>
      </c>
      <c r="H529" s="191">
        <f t="shared" si="8"/>
        <v>16.05</v>
      </c>
      <c r="I529" s="225"/>
      <c r="J529" s="149"/>
      <c r="K529" s="147">
        <v>12</v>
      </c>
      <c r="L529" s="147">
        <v>1</v>
      </c>
      <c r="M529" s="147">
        <v>13</v>
      </c>
      <c r="N529" s="289"/>
      <c r="O529" s="196"/>
      <c r="P529" s="180"/>
      <c r="Q529" s="174">
        <v>16</v>
      </c>
      <c r="R529" s="284">
        <v>0.05</v>
      </c>
      <c r="S529" s="168"/>
      <c r="T529" s="129" t="s">
        <v>55</v>
      </c>
      <c r="U529" s="147" t="s">
        <v>37</v>
      </c>
      <c r="V529" s="129"/>
      <c r="W529" s="163" t="s">
        <v>54</v>
      </c>
      <c r="X529" s="215"/>
      <c r="Y529" s="216">
        <v>0</v>
      </c>
      <c r="Z529" s="216">
        <v>0</v>
      </c>
      <c r="AA529" s="263"/>
      <c r="AB529" s="155"/>
      <c r="AC529" s="212"/>
    </row>
    <row r="530" spans="1:29" hidden="1" x14ac:dyDescent="0.25">
      <c r="A530" s="131">
        <v>1</v>
      </c>
      <c r="B530" s="136">
        <v>1203011</v>
      </c>
      <c r="C530" s="127" t="s">
        <v>657</v>
      </c>
      <c r="D530" s="127" t="s">
        <v>656</v>
      </c>
      <c r="E530" s="147" t="s">
        <v>38</v>
      </c>
      <c r="F530" s="138" t="s">
        <v>57</v>
      </c>
      <c r="G530" s="147" t="s">
        <v>34</v>
      </c>
      <c r="H530" s="191">
        <f t="shared" si="8"/>
        <v>16.05</v>
      </c>
      <c r="I530" s="225"/>
      <c r="J530" s="149"/>
      <c r="K530" s="147">
        <v>12</v>
      </c>
      <c r="L530" s="147">
        <v>1</v>
      </c>
      <c r="M530" s="147">
        <v>13</v>
      </c>
      <c r="N530" s="289"/>
      <c r="O530" s="196"/>
      <c r="P530" s="180"/>
      <c r="Q530" s="174">
        <v>16</v>
      </c>
      <c r="R530" s="284">
        <v>0.05</v>
      </c>
      <c r="S530" s="168"/>
      <c r="T530" s="138" t="s">
        <v>57</v>
      </c>
      <c r="U530" s="147" t="s">
        <v>37</v>
      </c>
      <c r="V530" s="129"/>
      <c r="W530" s="163" t="s">
        <v>54</v>
      </c>
      <c r="X530" s="215"/>
      <c r="Y530" s="216">
        <v>0</v>
      </c>
      <c r="Z530" s="216">
        <v>0</v>
      </c>
      <c r="AA530" s="263"/>
      <c r="AB530" s="155"/>
      <c r="AC530" s="212"/>
    </row>
    <row r="531" spans="1:29" s="182" customFormat="1" hidden="1" x14ac:dyDescent="0.25">
      <c r="A531" s="131">
        <v>1</v>
      </c>
      <c r="B531" s="136">
        <v>1203012</v>
      </c>
      <c r="C531" s="127" t="s">
        <v>657</v>
      </c>
      <c r="D531" s="127" t="s">
        <v>658</v>
      </c>
      <c r="E531" s="147" t="s">
        <v>38</v>
      </c>
      <c r="F531" s="129" t="s">
        <v>55</v>
      </c>
      <c r="G531" s="147" t="s">
        <v>34</v>
      </c>
      <c r="H531" s="191">
        <f t="shared" si="8"/>
        <v>16.05</v>
      </c>
      <c r="I531" s="225"/>
      <c r="J531" s="148">
        <v>30</v>
      </c>
      <c r="K531" s="147"/>
      <c r="L531" s="147"/>
      <c r="M531" s="147">
        <v>1</v>
      </c>
      <c r="N531" s="289"/>
      <c r="O531" s="196"/>
      <c r="P531" s="180"/>
      <c r="Q531" s="174">
        <v>16</v>
      </c>
      <c r="R531" s="284">
        <v>0.05</v>
      </c>
      <c r="S531" s="168"/>
      <c r="T531" s="129" t="s">
        <v>55</v>
      </c>
      <c r="U531" s="147" t="s">
        <v>37</v>
      </c>
      <c r="V531" s="129"/>
      <c r="W531" s="177" t="s">
        <v>2531</v>
      </c>
      <c r="X531" s="215"/>
      <c r="Y531" s="216">
        <v>0</v>
      </c>
      <c r="Z531" s="216">
        <v>0</v>
      </c>
      <c r="AA531" s="263"/>
      <c r="AB531" s="155"/>
      <c r="AC531" s="212"/>
    </row>
    <row r="532" spans="1:29" s="182" customFormat="1" hidden="1" x14ac:dyDescent="0.25">
      <c r="A532" s="131">
        <v>1</v>
      </c>
      <c r="B532" s="136">
        <v>1203013</v>
      </c>
      <c r="C532" s="127" t="s">
        <v>657</v>
      </c>
      <c r="D532" s="127" t="s">
        <v>659</v>
      </c>
      <c r="E532" s="147" t="s">
        <v>38</v>
      </c>
      <c r="F532" s="138" t="s">
        <v>57</v>
      </c>
      <c r="G532" s="147" t="s">
        <v>34</v>
      </c>
      <c r="H532" s="191">
        <f t="shared" si="8"/>
        <v>16.05</v>
      </c>
      <c r="I532" s="225"/>
      <c r="J532" s="149"/>
      <c r="K532" s="147">
        <v>12</v>
      </c>
      <c r="L532" s="147">
        <v>1</v>
      </c>
      <c r="M532" s="147">
        <v>13</v>
      </c>
      <c r="N532" s="289"/>
      <c r="O532" s="196"/>
      <c r="P532" s="180"/>
      <c r="Q532" s="174">
        <v>16</v>
      </c>
      <c r="R532" s="284">
        <v>0.05</v>
      </c>
      <c r="S532" s="168"/>
      <c r="T532" s="129" t="s">
        <v>55</v>
      </c>
      <c r="U532" s="147" t="s">
        <v>37</v>
      </c>
      <c r="V532" s="129"/>
      <c r="W532" s="163" t="s">
        <v>54</v>
      </c>
      <c r="X532" s="215"/>
      <c r="Y532" s="216">
        <v>0</v>
      </c>
      <c r="Z532" s="216">
        <v>0</v>
      </c>
      <c r="AA532" s="263"/>
      <c r="AB532" s="155"/>
      <c r="AC532" s="212"/>
    </row>
    <row r="533" spans="1:29" s="182" customFormat="1" hidden="1" x14ac:dyDescent="0.25">
      <c r="A533" s="131">
        <v>1</v>
      </c>
      <c r="B533" s="136">
        <v>1203014</v>
      </c>
      <c r="C533" s="127" t="s">
        <v>657</v>
      </c>
      <c r="D533" s="127" t="s">
        <v>660</v>
      </c>
      <c r="E533" s="147" t="s">
        <v>38</v>
      </c>
      <c r="F533" s="138" t="s">
        <v>57</v>
      </c>
      <c r="G533" s="147" t="s">
        <v>34</v>
      </c>
      <c r="H533" s="191">
        <f t="shared" si="8"/>
        <v>16.05</v>
      </c>
      <c r="I533" s="225"/>
      <c r="J533" s="149"/>
      <c r="K533" s="147">
        <v>12</v>
      </c>
      <c r="L533" s="147">
        <v>1</v>
      </c>
      <c r="M533" s="147">
        <v>13</v>
      </c>
      <c r="N533" s="289"/>
      <c r="O533" s="196"/>
      <c r="P533" s="180"/>
      <c r="Q533" s="174">
        <v>16</v>
      </c>
      <c r="R533" s="284">
        <v>0.05</v>
      </c>
      <c r="S533" s="168"/>
      <c r="T533" s="129" t="s">
        <v>55</v>
      </c>
      <c r="U533" s="147" t="s">
        <v>37</v>
      </c>
      <c r="V533" s="129"/>
      <c r="W533" s="163" t="s">
        <v>54</v>
      </c>
      <c r="X533" s="215"/>
      <c r="Y533" s="216">
        <v>0</v>
      </c>
      <c r="Z533" s="216">
        <v>0</v>
      </c>
      <c r="AA533" s="263"/>
      <c r="AB533" s="155"/>
      <c r="AC533" s="212"/>
    </row>
    <row r="534" spans="1:29" s="182" customFormat="1" hidden="1" x14ac:dyDescent="0.25">
      <c r="A534" s="131">
        <v>1</v>
      </c>
      <c r="B534" s="136">
        <v>1203015</v>
      </c>
      <c r="C534" s="127" t="s">
        <v>657</v>
      </c>
      <c r="D534" s="127" t="s">
        <v>661</v>
      </c>
      <c r="E534" s="147" t="s">
        <v>38</v>
      </c>
      <c r="F534" s="138" t="s">
        <v>57</v>
      </c>
      <c r="G534" s="147" t="s">
        <v>34</v>
      </c>
      <c r="H534" s="191">
        <f t="shared" si="8"/>
        <v>16.05</v>
      </c>
      <c r="I534" s="225"/>
      <c r="J534" s="149"/>
      <c r="K534" s="147">
        <v>12</v>
      </c>
      <c r="L534" s="147">
        <v>1</v>
      </c>
      <c r="M534" s="147">
        <v>13</v>
      </c>
      <c r="N534" s="289"/>
      <c r="O534" s="196"/>
      <c r="P534" s="180"/>
      <c r="Q534" s="174">
        <v>16</v>
      </c>
      <c r="R534" s="284">
        <v>0.05</v>
      </c>
      <c r="S534" s="168"/>
      <c r="T534" s="129" t="s">
        <v>55</v>
      </c>
      <c r="U534" s="147" t="s">
        <v>37</v>
      </c>
      <c r="V534" s="129"/>
      <c r="W534" s="163" t="s">
        <v>54</v>
      </c>
      <c r="X534" s="215"/>
      <c r="Y534" s="216">
        <v>0</v>
      </c>
      <c r="Z534" s="216">
        <v>0</v>
      </c>
      <c r="AA534" s="263"/>
      <c r="AB534" s="155"/>
      <c r="AC534" s="212"/>
    </row>
    <row r="535" spans="1:29" s="182" customFormat="1" hidden="1" x14ac:dyDescent="0.25">
      <c r="A535" s="131">
        <v>1</v>
      </c>
      <c r="B535" s="136">
        <v>1203016</v>
      </c>
      <c r="C535" s="127" t="s">
        <v>657</v>
      </c>
      <c r="D535" s="127" t="s">
        <v>662</v>
      </c>
      <c r="E535" s="147" t="s">
        <v>38</v>
      </c>
      <c r="F535" s="138" t="s">
        <v>57</v>
      </c>
      <c r="G535" s="147" t="s">
        <v>34</v>
      </c>
      <c r="H535" s="191">
        <f t="shared" si="8"/>
        <v>16.05</v>
      </c>
      <c r="I535" s="225"/>
      <c r="J535" s="149"/>
      <c r="K535" s="147">
        <v>12</v>
      </c>
      <c r="L535" s="147">
        <v>1</v>
      </c>
      <c r="M535" s="147">
        <v>13</v>
      </c>
      <c r="N535" s="289"/>
      <c r="O535" s="196"/>
      <c r="P535" s="180"/>
      <c r="Q535" s="174">
        <v>16</v>
      </c>
      <c r="R535" s="284">
        <v>0.05</v>
      </c>
      <c r="S535" s="168"/>
      <c r="T535" s="138" t="s">
        <v>57</v>
      </c>
      <c r="U535" s="147" t="s">
        <v>37</v>
      </c>
      <c r="V535" s="129"/>
      <c r="W535" s="163" t="s">
        <v>54</v>
      </c>
      <c r="X535" s="215"/>
      <c r="Y535" s="216">
        <v>0</v>
      </c>
      <c r="Z535" s="216">
        <v>0</v>
      </c>
      <c r="AA535" s="263"/>
      <c r="AB535" s="155"/>
      <c r="AC535" s="212"/>
    </row>
    <row r="536" spans="1:29" s="182" customFormat="1" hidden="1" x14ac:dyDescent="0.25">
      <c r="A536" s="131">
        <v>1</v>
      </c>
      <c r="B536" s="136">
        <v>1203017</v>
      </c>
      <c r="C536" s="127" t="s">
        <v>657</v>
      </c>
      <c r="D536" s="127" t="s">
        <v>663</v>
      </c>
      <c r="E536" s="147" t="s">
        <v>38</v>
      </c>
      <c r="F536" s="138" t="s">
        <v>57</v>
      </c>
      <c r="G536" s="147" t="s">
        <v>1731</v>
      </c>
      <c r="H536" s="191">
        <f t="shared" si="8"/>
        <v>16.05</v>
      </c>
      <c r="I536" s="225"/>
      <c r="J536" s="149"/>
      <c r="K536" s="147">
        <v>12</v>
      </c>
      <c r="L536" s="147">
        <v>1</v>
      </c>
      <c r="M536" s="147">
        <v>13</v>
      </c>
      <c r="N536" s="289"/>
      <c r="O536" s="196"/>
      <c r="P536" s="180"/>
      <c r="Q536" s="174">
        <v>16</v>
      </c>
      <c r="R536" s="284">
        <v>0.05</v>
      </c>
      <c r="S536" s="168"/>
      <c r="T536" s="129" t="s">
        <v>55</v>
      </c>
      <c r="U536" s="147" t="s">
        <v>37</v>
      </c>
      <c r="V536" s="129"/>
      <c r="W536" s="163" t="s">
        <v>54</v>
      </c>
      <c r="X536" s="215"/>
      <c r="Y536" s="216">
        <v>0</v>
      </c>
      <c r="Z536" s="216">
        <v>0</v>
      </c>
      <c r="AA536" s="263"/>
      <c r="AB536" s="155"/>
      <c r="AC536" s="212"/>
    </row>
    <row r="537" spans="1:29" hidden="1" x14ac:dyDescent="0.25">
      <c r="A537" s="131">
        <v>1</v>
      </c>
      <c r="B537" s="136">
        <v>1203018</v>
      </c>
      <c r="C537" s="127" t="s">
        <v>657</v>
      </c>
      <c r="D537" s="127" t="s">
        <v>664</v>
      </c>
      <c r="E537" s="147" t="s">
        <v>38</v>
      </c>
      <c r="F537" s="138" t="s">
        <v>57</v>
      </c>
      <c r="G537" s="147" t="s">
        <v>34</v>
      </c>
      <c r="H537" s="191">
        <f t="shared" si="8"/>
        <v>16.05</v>
      </c>
      <c r="I537" s="225"/>
      <c r="J537" s="149"/>
      <c r="K537" s="147">
        <v>12</v>
      </c>
      <c r="L537" s="147">
        <v>1</v>
      </c>
      <c r="M537" s="147">
        <v>13</v>
      </c>
      <c r="N537" s="289"/>
      <c r="O537" s="196"/>
      <c r="P537" s="180"/>
      <c r="Q537" s="174">
        <v>16</v>
      </c>
      <c r="R537" s="284">
        <v>0.05</v>
      </c>
      <c r="S537" s="168"/>
      <c r="T537" s="129" t="s">
        <v>55</v>
      </c>
      <c r="U537" s="147" t="s">
        <v>37</v>
      </c>
      <c r="V537" s="129"/>
      <c r="W537" s="163" t="s">
        <v>54</v>
      </c>
      <c r="X537" s="215"/>
      <c r="Y537" s="216">
        <v>0</v>
      </c>
      <c r="Z537" s="216">
        <v>0</v>
      </c>
      <c r="AA537" s="263"/>
      <c r="AB537" s="155"/>
      <c r="AC537" s="212"/>
    </row>
    <row r="538" spans="1:29" s="182" customFormat="1" hidden="1" x14ac:dyDescent="0.25">
      <c r="A538" s="131">
        <v>1</v>
      </c>
      <c r="B538" s="136">
        <v>1203020</v>
      </c>
      <c r="C538" s="127" t="s">
        <v>657</v>
      </c>
      <c r="D538" s="127" t="s">
        <v>665</v>
      </c>
      <c r="E538" s="147" t="s">
        <v>38</v>
      </c>
      <c r="F538" s="138" t="s">
        <v>57</v>
      </c>
      <c r="G538" s="147" t="s">
        <v>34</v>
      </c>
      <c r="H538" s="191">
        <f t="shared" si="8"/>
        <v>16.05</v>
      </c>
      <c r="I538" s="225"/>
      <c r="J538" s="149"/>
      <c r="K538" s="147">
        <v>12</v>
      </c>
      <c r="L538" s="147">
        <v>1</v>
      </c>
      <c r="M538" s="147">
        <v>13</v>
      </c>
      <c r="N538" s="289"/>
      <c r="O538" s="196"/>
      <c r="P538" s="180"/>
      <c r="Q538" s="174">
        <v>16</v>
      </c>
      <c r="R538" s="284">
        <v>0.05</v>
      </c>
      <c r="S538" s="168"/>
      <c r="T538" s="129" t="s">
        <v>55</v>
      </c>
      <c r="U538" s="147" t="s">
        <v>37</v>
      </c>
      <c r="V538" s="129"/>
      <c r="W538" s="163" t="s">
        <v>54</v>
      </c>
      <c r="X538" s="215"/>
      <c r="Y538" s="216">
        <v>0</v>
      </c>
      <c r="Z538" s="216">
        <v>0</v>
      </c>
      <c r="AA538" s="263"/>
      <c r="AB538" s="155"/>
      <c r="AC538" s="212"/>
    </row>
    <row r="539" spans="1:29" s="182" customFormat="1" hidden="1" x14ac:dyDescent="0.25">
      <c r="A539" s="131">
        <v>1</v>
      </c>
      <c r="B539" s="136">
        <v>1203021</v>
      </c>
      <c r="C539" s="127" t="s">
        <v>657</v>
      </c>
      <c r="D539" s="127" t="s">
        <v>666</v>
      </c>
      <c r="E539" s="147" t="s">
        <v>38</v>
      </c>
      <c r="F539" s="138" t="s">
        <v>57</v>
      </c>
      <c r="G539" s="147" t="s">
        <v>34</v>
      </c>
      <c r="H539" s="191">
        <f t="shared" si="8"/>
        <v>16.05</v>
      </c>
      <c r="I539" s="225"/>
      <c r="J539" s="149"/>
      <c r="K539" s="147">
        <v>12</v>
      </c>
      <c r="L539" s="147">
        <v>1</v>
      </c>
      <c r="M539" s="147">
        <v>13</v>
      </c>
      <c r="N539" s="289"/>
      <c r="O539" s="196"/>
      <c r="P539" s="180"/>
      <c r="Q539" s="174">
        <v>16</v>
      </c>
      <c r="R539" s="284">
        <v>0.05</v>
      </c>
      <c r="S539" s="168"/>
      <c r="T539" s="138" t="s">
        <v>57</v>
      </c>
      <c r="U539" s="147" t="s">
        <v>37</v>
      </c>
      <c r="V539" s="129"/>
      <c r="W539" s="163" t="s">
        <v>54</v>
      </c>
      <c r="X539" s="215"/>
      <c r="Y539" s="216">
        <v>0</v>
      </c>
      <c r="Z539" s="216">
        <v>0</v>
      </c>
      <c r="AA539" s="263"/>
      <c r="AB539" s="155"/>
      <c r="AC539" s="212"/>
    </row>
    <row r="540" spans="1:29" s="182" customFormat="1" hidden="1" x14ac:dyDescent="0.25">
      <c r="A540" s="131">
        <v>1</v>
      </c>
      <c r="B540" s="136">
        <v>1203022</v>
      </c>
      <c r="C540" s="127" t="s">
        <v>657</v>
      </c>
      <c r="D540" s="127" t="s">
        <v>667</v>
      </c>
      <c r="E540" s="147" t="s">
        <v>38</v>
      </c>
      <c r="F540" s="138" t="s">
        <v>57</v>
      </c>
      <c r="G540" s="147" t="s">
        <v>1731</v>
      </c>
      <c r="H540" s="191">
        <f t="shared" si="8"/>
        <v>16.05</v>
      </c>
      <c r="I540" s="225"/>
      <c r="J540" s="149"/>
      <c r="K540" s="147">
        <v>12</v>
      </c>
      <c r="L540" s="147">
        <v>1</v>
      </c>
      <c r="M540" s="147">
        <v>13</v>
      </c>
      <c r="N540" s="289"/>
      <c r="O540" s="196"/>
      <c r="P540" s="180"/>
      <c r="Q540" s="174">
        <v>16</v>
      </c>
      <c r="R540" s="284">
        <v>0.05</v>
      </c>
      <c r="S540" s="168"/>
      <c r="T540" s="129" t="s">
        <v>55</v>
      </c>
      <c r="U540" s="147" t="s">
        <v>37</v>
      </c>
      <c r="V540" s="129"/>
      <c r="W540" s="163" t="s">
        <v>54</v>
      </c>
      <c r="X540" s="215"/>
      <c r="Y540" s="216">
        <v>0</v>
      </c>
      <c r="Z540" s="216">
        <v>0</v>
      </c>
      <c r="AA540" s="263"/>
      <c r="AB540" s="155"/>
      <c r="AC540" s="212"/>
    </row>
    <row r="541" spans="1:29" s="182" customFormat="1" hidden="1" x14ac:dyDescent="0.25">
      <c r="A541" s="131">
        <v>1</v>
      </c>
      <c r="B541" s="136">
        <v>1203023</v>
      </c>
      <c r="C541" s="127" t="s">
        <v>657</v>
      </c>
      <c r="D541" s="127" t="s">
        <v>668</v>
      </c>
      <c r="E541" s="147" t="s">
        <v>38</v>
      </c>
      <c r="F541" s="129" t="s">
        <v>55</v>
      </c>
      <c r="G541" s="147" t="s">
        <v>34</v>
      </c>
      <c r="H541" s="191">
        <f t="shared" si="8"/>
        <v>16.05</v>
      </c>
      <c r="I541" s="225"/>
      <c r="J541" s="148">
        <v>30</v>
      </c>
      <c r="K541" s="147"/>
      <c r="L541" s="147"/>
      <c r="M541" s="147">
        <v>1</v>
      </c>
      <c r="N541" s="289"/>
      <c r="O541" s="196"/>
      <c r="P541" s="180"/>
      <c r="Q541" s="174">
        <v>16</v>
      </c>
      <c r="R541" s="284">
        <v>0.05</v>
      </c>
      <c r="S541" s="168"/>
      <c r="T541" s="129" t="s">
        <v>55</v>
      </c>
      <c r="U541" s="147" t="s">
        <v>37</v>
      </c>
      <c r="V541" s="129"/>
      <c r="W541" s="177" t="s">
        <v>2531</v>
      </c>
      <c r="X541" s="215"/>
      <c r="Y541" s="216">
        <v>0</v>
      </c>
      <c r="Z541" s="216">
        <v>0</v>
      </c>
      <c r="AA541" s="263"/>
      <c r="AB541" s="155"/>
      <c r="AC541" s="212"/>
    </row>
    <row r="542" spans="1:29" s="182" customFormat="1" hidden="1" x14ac:dyDescent="0.25">
      <c r="A542" s="131">
        <v>1</v>
      </c>
      <c r="B542" s="136">
        <v>1203024</v>
      </c>
      <c r="C542" s="127" t="s">
        <v>657</v>
      </c>
      <c r="D542" s="127" t="s">
        <v>669</v>
      </c>
      <c r="E542" s="147" t="s">
        <v>38</v>
      </c>
      <c r="F542" s="138" t="s">
        <v>57</v>
      </c>
      <c r="G542" s="147" t="s">
        <v>34</v>
      </c>
      <c r="H542" s="191">
        <f t="shared" si="8"/>
        <v>16.05</v>
      </c>
      <c r="I542" s="225"/>
      <c r="J542" s="149"/>
      <c r="K542" s="147">
        <v>12</v>
      </c>
      <c r="L542" s="147">
        <v>1</v>
      </c>
      <c r="M542" s="147">
        <v>13</v>
      </c>
      <c r="N542" s="289"/>
      <c r="O542" s="196"/>
      <c r="P542" s="180"/>
      <c r="Q542" s="174">
        <v>16</v>
      </c>
      <c r="R542" s="284">
        <v>0.05</v>
      </c>
      <c r="S542" s="168"/>
      <c r="T542" s="138" t="s">
        <v>57</v>
      </c>
      <c r="U542" s="147" t="s">
        <v>37</v>
      </c>
      <c r="V542" s="129"/>
      <c r="W542" s="163" t="s">
        <v>54</v>
      </c>
      <c r="X542" s="215"/>
      <c r="Y542" s="216">
        <v>0</v>
      </c>
      <c r="Z542" s="216">
        <v>0</v>
      </c>
      <c r="AA542" s="263"/>
      <c r="AB542" s="155"/>
      <c r="AC542" s="212"/>
    </row>
    <row r="543" spans="1:29" s="182" customFormat="1" hidden="1" x14ac:dyDescent="0.25">
      <c r="A543" s="131">
        <v>1</v>
      </c>
      <c r="B543" s="136">
        <v>1203027</v>
      </c>
      <c r="C543" s="128" t="s">
        <v>589</v>
      </c>
      <c r="D543" s="127" t="s">
        <v>670</v>
      </c>
      <c r="E543" s="147" t="s">
        <v>38</v>
      </c>
      <c r="F543" s="138" t="s">
        <v>57</v>
      </c>
      <c r="G543" s="147" t="s">
        <v>34</v>
      </c>
      <c r="H543" s="191">
        <f t="shared" si="8"/>
        <v>0</v>
      </c>
      <c r="I543" s="225"/>
      <c r="J543" s="149"/>
      <c r="K543" s="147">
        <v>12</v>
      </c>
      <c r="L543" s="147">
        <v>1</v>
      </c>
      <c r="M543" s="147">
        <v>13</v>
      </c>
      <c r="N543" s="289"/>
      <c r="O543" s="196"/>
      <c r="P543" s="180"/>
      <c r="Q543" s="174"/>
      <c r="R543" s="206">
        <v>0</v>
      </c>
      <c r="S543" s="168"/>
      <c r="T543" s="138" t="s">
        <v>57</v>
      </c>
      <c r="U543" s="147" t="s">
        <v>37</v>
      </c>
      <c r="V543" s="129"/>
      <c r="W543" s="163" t="s">
        <v>54</v>
      </c>
      <c r="X543" s="215"/>
      <c r="Y543" s="216">
        <v>0</v>
      </c>
      <c r="Z543" s="216">
        <v>0</v>
      </c>
      <c r="AA543" s="263"/>
      <c r="AB543" s="155"/>
      <c r="AC543" s="212"/>
    </row>
    <row r="544" spans="1:29" s="182" customFormat="1" hidden="1" x14ac:dyDescent="0.25">
      <c r="A544" s="131">
        <v>1</v>
      </c>
      <c r="B544" s="136">
        <v>1203028</v>
      </c>
      <c r="C544" s="128" t="s">
        <v>589</v>
      </c>
      <c r="D544" s="127" t="s">
        <v>671</v>
      </c>
      <c r="E544" s="147" t="s">
        <v>38</v>
      </c>
      <c r="F544" s="138" t="s">
        <v>57</v>
      </c>
      <c r="G544" s="147" t="s">
        <v>34</v>
      </c>
      <c r="H544" s="191">
        <f t="shared" si="8"/>
        <v>0</v>
      </c>
      <c r="I544" s="225"/>
      <c r="J544" s="149"/>
      <c r="K544" s="147">
        <v>12</v>
      </c>
      <c r="L544" s="147">
        <v>1</v>
      </c>
      <c r="M544" s="147">
        <v>13</v>
      </c>
      <c r="N544" s="289"/>
      <c r="O544" s="196"/>
      <c r="P544" s="180"/>
      <c r="Q544" s="174"/>
      <c r="R544" s="206">
        <v>0</v>
      </c>
      <c r="S544" s="168"/>
      <c r="T544" s="138" t="s">
        <v>57</v>
      </c>
      <c r="U544" s="147" t="s">
        <v>37</v>
      </c>
      <c r="V544" s="136"/>
      <c r="W544" s="163" t="s">
        <v>54</v>
      </c>
      <c r="X544" s="215"/>
      <c r="Y544" s="216">
        <v>0</v>
      </c>
      <c r="Z544" s="216">
        <v>0</v>
      </c>
      <c r="AA544" s="263"/>
      <c r="AB544" s="155"/>
      <c r="AC544" s="212"/>
    </row>
    <row r="545" spans="1:29" s="182" customFormat="1" hidden="1" x14ac:dyDescent="0.25">
      <c r="A545" s="131">
        <v>1</v>
      </c>
      <c r="B545" s="136">
        <v>1203029</v>
      </c>
      <c r="C545" s="128" t="s">
        <v>589</v>
      </c>
      <c r="D545" s="127" t="s">
        <v>672</v>
      </c>
      <c r="E545" s="147" t="s">
        <v>38</v>
      </c>
      <c r="F545" s="138" t="s">
        <v>57</v>
      </c>
      <c r="G545" s="147" t="s">
        <v>34</v>
      </c>
      <c r="H545" s="191">
        <f t="shared" si="8"/>
        <v>0</v>
      </c>
      <c r="I545" s="225"/>
      <c r="J545" s="149"/>
      <c r="K545" s="147">
        <v>12</v>
      </c>
      <c r="L545" s="147">
        <v>1</v>
      </c>
      <c r="M545" s="147">
        <v>13</v>
      </c>
      <c r="N545" s="289"/>
      <c r="O545" s="196"/>
      <c r="P545" s="180"/>
      <c r="Q545" s="174"/>
      <c r="R545" s="206">
        <v>0</v>
      </c>
      <c r="S545" s="168"/>
      <c r="T545" s="138" t="s">
        <v>57</v>
      </c>
      <c r="U545" s="147" t="s">
        <v>37</v>
      </c>
      <c r="V545" s="129"/>
      <c r="W545" s="163" t="s">
        <v>54</v>
      </c>
      <c r="X545" s="215"/>
      <c r="Y545" s="216">
        <v>0</v>
      </c>
      <c r="Z545" s="216">
        <v>0</v>
      </c>
      <c r="AA545" s="263"/>
      <c r="AB545" s="155"/>
      <c r="AC545" s="212"/>
    </row>
    <row r="546" spans="1:29" s="182" customFormat="1" hidden="1" x14ac:dyDescent="0.25">
      <c r="A546" s="131">
        <v>1</v>
      </c>
      <c r="B546" s="136">
        <v>1203030</v>
      </c>
      <c r="C546" s="128" t="s">
        <v>589</v>
      </c>
      <c r="D546" s="127" t="s">
        <v>673</v>
      </c>
      <c r="E546" s="147" t="s">
        <v>38</v>
      </c>
      <c r="F546" s="129" t="s">
        <v>674</v>
      </c>
      <c r="G546" s="147" t="s">
        <v>675</v>
      </c>
      <c r="H546" s="191">
        <f t="shared" si="8"/>
        <v>0</v>
      </c>
      <c r="I546" s="134"/>
      <c r="J546" s="149"/>
      <c r="K546" s="147"/>
      <c r="L546" s="147"/>
      <c r="M546" s="147">
        <v>1</v>
      </c>
      <c r="N546" s="289">
        <v>5</v>
      </c>
      <c r="O546" s="196"/>
      <c r="P546" s="180"/>
      <c r="Q546" s="174"/>
      <c r="R546" s="206">
        <v>0</v>
      </c>
      <c r="S546" s="168"/>
      <c r="T546" s="129" t="s">
        <v>676</v>
      </c>
      <c r="U546" s="147" t="s">
        <v>37</v>
      </c>
      <c r="V546" s="129"/>
      <c r="W546" s="163" t="s">
        <v>54</v>
      </c>
      <c r="X546" s="215"/>
      <c r="Y546" s="216">
        <v>0</v>
      </c>
      <c r="Z546" s="216">
        <v>0</v>
      </c>
      <c r="AA546" s="263"/>
      <c r="AB546" s="155"/>
      <c r="AC546" s="212"/>
    </row>
    <row r="547" spans="1:29" s="182" customFormat="1" hidden="1" x14ac:dyDescent="0.25">
      <c r="A547" s="131">
        <v>1</v>
      </c>
      <c r="B547" s="136">
        <v>1203031</v>
      </c>
      <c r="C547" s="128" t="s">
        <v>589</v>
      </c>
      <c r="D547" s="127" t="s">
        <v>677</v>
      </c>
      <c r="E547" s="147" t="s">
        <v>38</v>
      </c>
      <c r="F547" s="129" t="s">
        <v>674</v>
      </c>
      <c r="G547" s="147" t="s">
        <v>678</v>
      </c>
      <c r="H547" s="191">
        <f t="shared" si="8"/>
        <v>0</v>
      </c>
      <c r="I547" s="225"/>
      <c r="J547" s="149"/>
      <c r="K547" s="147"/>
      <c r="L547" s="147"/>
      <c r="M547" s="147">
        <v>1</v>
      </c>
      <c r="N547" s="289">
        <v>5</v>
      </c>
      <c r="O547" s="196"/>
      <c r="P547" s="180"/>
      <c r="Q547" s="174"/>
      <c r="R547" s="206">
        <v>0</v>
      </c>
      <c r="S547" s="168"/>
      <c r="T547" s="129" t="s">
        <v>676</v>
      </c>
      <c r="U547" s="147" t="s">
        <v>37</v>
      </c>
      <c r="V547" s="129"/>
      <c r="W547" s="163" t="s">
        <v>54</v>
      </c>
      <c r="X547" s="215"/>
      <c r="Y547" s="216">
        <v>0</v>
      </c>
      <c r="Z547" s="216">
        <v>0</v>
      </c>
      <c r="AA547" s="263"/>
      <c r="AB547" s="155"/>
      <c r="AC547" s="212"/>
    </row>
    <row r="548" spans="1:29" s="182" customFormat="1" hidden="1" x14ac:dyDescent="0.25">
      <c r="A548" s="131">
        <v>1</v>
      </c>
      <c r="B548" s="136">
        <v>1203032</v>
      </c>
      <c r="C548" s="127" t="s">
        <v>567</v>
      </c>
      <c r="D548" s="127" t="s">
        <v>679</v>
      </c>
      <c r="E548" s="147" t="s">
        <v>38</v>
      </c>
      <c r="F548" s="138" t="s">
        <v>57</v>
      </c>
      <c r="G548" s="147" t="s">
        <v>34</v>
      </c>
      <c r="H548" s="191">
        <f t="shared" si="8"/>
        <v>0</v>
      </c>
      <c r="I548" s="225"/>
      <c r="J548" s="149"/>
      <c r="K548" s="147">
        <v>12</v>
      </c>
      <c r="L548" s="147">
        <v>1</v>
      </c>
      <c r="M548" s="147">
        <v>13</v>
      </c>
      <c r="N548" s="289"/>
      <c r="O548" s="196"/>
      <c r="P548" s="180"/>
      <c r="Q548" s="174"/>
      <c r="R548" s="206">
        <v>0</v>
      </c>
      <c r="S548" s="168"/>
      <c r="T548" s="129" t="s">
        <v>55</v>
      </c>
      <c r="U548" s="147" t="s">
        <v>37</v>
      </c>
      <c r="V548" s="129"/>
      <c r="W548" s="163" t="s">
        <v>54</v>
      </c>
      <c r="X548" s="215"/>
      <c r="Y548" s="216">
        <v>0</v>
      </c>
      <c r="Z548" s="216">
        <v>0</v>
      </c>
      <c r="AA548" s="263"/>
      <c r="AB548" s="155"/>
      <c r="AC548" s="212"/>
    </row>
    <row r="549" spans="1:29" s="182" customFormat="1" hidden="1" x14ac:dyDescent="0.25">
      <c r="A549" s="131">
        <v>1</v>
      </c>
      <c r="B549" s="136">
        <v>1203033</v>
      </c>
      <c r="C549" s="128" t="s">
        <v>589</v>
      </c>
      <c r="D549" s="127" t="s">
        <v>680</v>
      </c>
      <c r="E549" s="147" t="s">
        <v>38</v>
      </c>
      <c r="F549" s="129" t="s">
        <v>617</v>
      </c>
      <c r="G549" s="147" t="s">
        <v>618</v>
      </c>
      <c r="H549" s="191">
        <f t="shared" si="8"/>
        <v>49.376321353065542</v>
      </c>
      <c r="I549" s="134"/>
      <c r="J549" s="150"/>
      <c r="K549" s="147"/>
      <c r="L549" s="147"/>
      <c r="M549" s="147">
        <v>2</v>
      </c>
      <c r="N549" s="289">
        <v>0.94599999999999995</v>
      </c>
      <c r="O549" s="196"/>
      <c r="P549" s="180"/>
      <c r="Q549" s="174">
        <v>49.376321353065542</v>
      </c>
      <c r="R549" s="205">
        <v>0</v>
      </c>
      <c r="S549" s="168"/>
      <c r="T549" s="129" t="s">
        <v>468</v>
      </c>
      <c r="U549" s="147" t="s">
        <v>37</v>
      </c>
      <c r="V549" s="129"/>
      <c r="W549" s="147" t="s">
        <v>2214</v>
      </c>
      <c r="X549" s="215"/>
      <c r="Y549" s="216">
        <v>0</v>
      </c>
      <c r="Z549" s="216">
        <v>0</v>
      </c>
      <c r="AA549" s="263"/>
      <c r="AB549" s="155"/>
      <c r="AC549" s="212"/>
    </row>
    <row r="550" spans="1:29" s="182" customFormat="1" hidden="1" x14ac:dyDescent="0.25">
      <c r="A550" s="131">
        <v>1</v>
      </c>
      <c r="B550" s="136">
        <v>1204001</v>
      </c>
      <c r="C550" s="127" t="s">
        <v>567</v>
      </c>
      <c r="D550" s="127" t="s">
        <v>681</v>
      </c>
      <c r="E550" s="147" t="s">
        <v>38</v>
      </c>
      <c r="F550" s="138" t="s">
        <v>57</v>
      </c>
      <c r="G550" s="147" t="s">
        <v>34</v>
      </c>
      <c r="H550" s="191">
        <f t="shared" si="8"/>
        <v>0</v>
      </c>
      <c r="I550" s="225"/>
      <c r="J550" s="149"/>
      <c r="K550" s="147">
        <v>12</v>
      </c>
      <c r="L550" s="147">
        <v>1</v>
      </c>
      <c r="M550" s="147">
        <v>13</v>
      </c>
      <c r="N550" s="289"/>
      <c r="O550" s="196"/>
      <c r="P550" s="180"/>
      <c r="Q550" s="174"/>
      <c r="R550" s="206">
        <v>0</v>
      </c>
      <c r="S550" s="168"/>
      <c r="T550" s="129" t="s">
        <v>55</v>
      </c>
      <c r="U550" s="147" t="s">
        <v>37</v>
      </c>
      <c r="V550" s="129"/>
      <c r="W550" s="163" t="s">
        <v>54</v>
      </c>
      <c r="X550" s="215"/>
      <c r="Y550" s="216">
        <v>0</v>
      </c>
      <c r="Z550" s="216">
        <v>0</v>
      </c>
      <c r="AA550" s="263"/>
      <c r="AB550" s="155"/>
      <c r="AC550" s="212"/>
    </row>
    <row r="551" spans="1:29" s="182" customFormat="1" hidden="1" x14ac:dyDescent="0.25">
      <c r="A551" s="131">
        <v>1</v>
      </c>
      <c r="B551" s="136">
        <v>1204002</v>
      </c>
      <c r="C551" s="127" t="s">
        <v>567</v>
      </c>
      <c r="D551" s="127" t="s">
        <v>682</v>
      </c>
      <c r="E551" s="147" t="s">
        <v>38</v>
      </c>
      <c r="F551" s="138" t="s">
        <v>57</v>
      </c>
      <c r="G551" s="147" t="s">
        <v>34</v>
      </c>
      <c r="H551" s="191">
        <f t="shared" si="8"/>
        <v>0</v>
      </c>
      <c r="I551" s="225"/>
      <c r="J551" s="149"/>
      <c r="K551" s="147">
        <v>12</v>
      </c>
      <c r="L551" s="147">
        <v>1</v>
      </c>
      <c r="M551" s="147">
        <v>13</v>
      </c>
      <c r="N551" s="289"/>
      <c r="O551" s="196"/>
      <c r="P551" s="180"/>
      <c r="Q551" s="174"/>
      <c r="R551" s="206">
        <v>0</v>
      </c>
      <c r="S551" s="168"/>
      <c r="T551" s="138" t="s">
        <v>57</v>
      </c>
      <c r="U551" s="147" t="s">
        <v>37</v>
      </c>
      <c r="V551" s="129"/>
      <c r="W551" s="163" t="s">
        <v>54</v>
      </c>
      <c r="X551" s="215"/>
      <c r="Y551" s="216">
        <v>0</v>
      </c>
      <c r="Z551" s="216">
        <v>0</v>
      </c>
      <c r="AA551" s="263"/>
      <c r="AB551" s="155"/>
      <c r="AC551" s="212"/>
    </row>
    <row r="552" spans="1:29" s="182" customFormat="1" x14ac:dyDescent="0.25">
      <c r="A552" s="131">
        <v>1</v>
      </c>
      <c r="B552" s="136">
        <v>1204003</v>
      </c>
      <c r="C552" s="127" t="s">
        <v>567</v>
      </c>
      <c r="D552" s="127" t="s">
        <v>683</v>
      </c>
      <c r="E552" s="147" t="s">
        <v>38</v>
      </c>
      <c r="F552" s="129" t="s">
        <v>684</v>
      </c>
      <c r="G552" s="147" t="s">
        <v>1970</v>
      </c>
      <c r="H552" s="191">
        <f t="shared" si="8"/>
        <v>550.04999999999995</v>
      </c>
      <c r="I552" s="222" t="s">
        <v>2084</v>
      </c>
      <c r="J552" s="146">
        <v>0</v>
      </c>
      <c r="K552" s="147">
        <v>9</v>
      </c>
      <c r="L552" s="147">
        <v>1</v>
      </c>
      <c r="M552" s="147">
        <v>10</v>
      </c>
      <c r="N552" s="289">
        <v>1</v>
      </c>
      <c r="O552" s="174">
        <v>533.52</v>
      </c>
      <c r="P552" s="180">
        <v>44348</v>
      </c>
      <c r="Q552" s="174">
        <v>550</v>
      </c>
      <c r="R552" s="205">
        <v>0.05</v>
      </c>
      <c r="S552" s="165"/>
      <c r="T552" s="129" t="s">
        <v>36</v>
      </c>
      <c r="U552" s="147" t="s">
        <v>37</v>
      </c>
      <c r="V552" s="129"/>
      <c r="W552" s="147" t="s">
        <v>2213</v>
      </c>
      <c r="X552" s="215" t="s">
        <v>1921</v>
      </c>
      <c r="Y552" s="216">
        <v>0</v>
      </c>
      <c r="Z552" s="216">
        <v>0</v>
      </c>
      <c r="AA552" s="263"/>
      <c r="AB552" s="305"/>
      <c r="AC552" s="214"/>
    </row>
    <row r="553" spans="1:29" s="182" customFormat="1" x14ac:dyDescent="0.25">
      <c r="A553" s="131">
        <v>1</v>
      </c>
      <c r="B553" s="136">
        <v>1204004</v>
      </c>
      <c r="C553" s="127" t="s">
        <v>567</v>
      </c>
      <c r="D553" s="127" t="s">
        <v>688</v>
      </c>
      <c r="E553" s="147" t="s">
        <v>38</v>
      </c>
      <c r="F553" s="129" t="s">
        <v>684</v>
      </c>
      <c r="G553" s="147" t="s">
        <v>607</v>
      </c>
      <c r="H553" s="191">
        <f t="shared" si="8"/>
        <v>533.56999999999994</v>
      </c>
      <c r="I553" s="222" t="s">
        <v>2084</v>
      </c>
      <c r="J553" s="146">
        <v>0</v>
      </c>
      <c r="K553" s="147">
        <v>9</v>
      </c>
      <c r="L553" s="147">
        <v>1</v>
      </c>
      <c r="M553" s="147">
        <v>10</v>
      </c>
      <c r="N553" s="289">
        <v>1</v>
      </c>
      <c r="O553" s="195"/>
      <c r="P553" s="180">
        <v>44348</v>
      </c>
      <c r="Q553" s="174">
        <v>533.52</v>
      </c>
      <c r="R553" s="205">
        <v>0.05</v>
      </c>
      <c r="S553" s="165"/>
      <c r="T553" s="129" t="s">
        <v>36</v>
      </c>
      <c r="U553" s="147" t="s">
        <v>37</v>
      </c>
      <c r="V553" s="129"/>
      <c r="W553" s="147" t="s">
        <v>2213</v>
      </c>
      <c r="X553" s="215" t="s">
        <v>1921</v>
      </c>
      <c r="Y553" s="216">
        <v>0.625</v>
      </c>
      <c r="Z553" s="216">
        <v>0.9375</v>
      </c>
      <c r="AA553" s="263"/>
      <c r="AB553" s="305"/>
      <c r="AC553" s="214"/>
    </row>
    <row r="554" spans="1:29" s="182" customFormat="1" hidden="1" x14ac:dyDescent="0.25">
      <c r="A554" s="131">
        <v>1</v>
      </c>
      <c r="B554" s="136">
        <v>1204005</v>
      </c>
      <c r="C554" s="128" t="s">
        <v>567</v>
      </c>
      <c r="D554" s="127" t="s">
        <v>689</v>
      </c>
      <c r="E554" s="147" t="s">
        <v>38</v>
      </c>
      <c r="F554" s="138" t="s">
        <v>57</v>
      </c>
      <c r="G554" s="147" t="s">
        <v>34</v>
      </c>
      <c r="H554" s="191">
        <f t="shared" si="8"/>
        <v>0</v>
      </c>
      <c r="I554" s="225"/>
      <c r="J554" s="149"/>
      <c r="K554" s="147">
        <v>12</v>
      </c>
      <c r="L554" s="147">
        <v>1</v>
      </c>
      <c r="M554" s="147">
        <v>13</v>
      </c>
      <c r="N554" s="289"/>
      <c r="O554" s="196"/>
      <c r="P554" s="180"/>
      <c r="Q554" s="174"/>
      <c r="R554" s="206">
        <v>0</v>
      </c>
      <c r="S554" s="168"/>
      <c r="T554" s="138" t="s">
        <v>57</v>
      </c>
      <c r="U554" s="147" t="s">
        <v>37</v>
      </c>
      <c r="V554" s="129"/>
      <c r="W554" s="163" t="s">
        <v>54</v>
      </c>
      <c r="X554" s="215"/>
      <c r="Y554" s="216">
        <v>0</v>
      </c>
      <c r="Z554" s="216">
        <v>0</v>
      </c>
      <c r="AA554" s="263"/>
      <c r="AB554" s="155"/>
      <c r="AC554" s="212"/>
    </row>
    <row r="555" spans="1:29" s="182" customFormat="1" hidden="1" x14ac:dyDescent="0.25">
      <c r="A555" s="131">
        <v>1</v>
      </c>
      <c r="B555" s="136">
        <v>1204006</v>
      </c>
      <c r="C555" s="128" t="s">
        <v>567</v>
      </c>
      <c r="D555" s="127" t="s">
        <v>690</v>
      </c>
      <c r="E555" s="147" t="s">
        <v>38</v>
      </c>
      <c r="F555" s="138" t="s">
        <v>57</v>
      </c>
      <c r="G555" s="147" t="s">
        <v>34</v>
      </c>
      <c r="H555" s="191">
        <f t="shared" si="8"/>
        <v>0</v>
      </c>
      <c r="I555" s="225"/>
      <c r="J555" s="149"/>
      <c r="K555" s="147">
        <v>12</v>
      </c>
      <c r="L555" s="147">
        <v>1</v>
      </c>
      <c r="M555" s="147">
        <v>13</v>
      </c>
      <c r="N555" s="289"/>
      <c r="O555" s="196"/>
      <c r="P555" s="180"/>
      <c r="Q555" s="174"/>
      <c r="R555" s="206">
        <v>0</v>
      </c>
      <c r="S555" s="168"/>
      <c r="T555" s="138" t="s">
        <v>57</v>
      </c>
      <c r="U555" s="147" t="s">
        <v>37</v>
      </c>
      <c r="V555" s="129"/>
      <c r="W555" s="163" t="s">
        <v>54</v>
      </c>
      <c r="X555" s="215"/>
      <c r="Y555" s="216">
        <v>0</v>
      </c>
      <c r="Z555" s="216">
        <v>0</v>
      </c>
      <c r="AA555" s="263"/>
      <c r="AB555" s="155"/>
      <c r="AC555" s="212"/>
    </row>
    <row r="556" spans="1:29" s="182" customFormat="1" hidden="1" x14ac:dyDescent="0.25">
      <c r="A556" s="131">
        <v>1</v>
      </c>
      <c r="B556" s="136">
        <v>1204007</v>
      </c>
      <c r="C556" s="128" t="s">
        <v>567</v>
      </c>
      <c r="D556" s="127" t="s">
        <v>691</v>
      </c>
      <c r="E556" s="147" t="s">
        <v>38</v>
      </c>
      <c r="F556" s="138" t="s">
        <v>57</v>
      </c>
      <c r="G556" s="147" t="s">
        <v>34</v>
      </c>
      <c r="H556" s="191">
        <f t="shared" si="8"/>
        <v>0</v>
      </c>
      <c r="I556" s="225"/>
      <c r="J556" s="149"/>
      <c r="K556" s="147">
        <v>12</v>
      </c>
      <c r="L556" s="147">
        <v>1</v>
      </c>
      <c r="M556" s="147">
        <v>13</v>
      </c>
      <c r="N556" s="289"/>
      <c r="O556" s="196"/>
      <c r="P556" s="180"/>
      <c r="Q556" s="174"/>
      <c r="R556" s="206">
        <v>0</v>
      </c>
      <c r="S556" s="168"/>
      <c r="T556" s="129" t="s">
        <v>2209</v>
      </c>
      <c r="U556" s="147" t="s">
        <v>37</v>
      </c>
      <c r="V556" s="129"/>
      <c r="W556" s="163" t="s">
        <v>54</v>
      </c>
      <c r="X556" s="215"/>
      <c r="Y556" s="216">
        <v>0</v>
      </c>
      <c r="Z556" s="216">
        <v>0</v>
      </c>
      <c r="AA556" s="263"/>
      <c r="AB556" s="155"/>
      <c r="AC556" s="212"/>
    </row>
    <row r="557" spans="1:29" s="182" customFormat="1" hidden="1" x14ac:dyDescent="0.25">
      <c r="A557" s="131">
        <v>1</v>
      </c>
      <c r="B557" s="136">
        <v>1204008</v>
      </c>
      <c r="C557" s="128" t="s">
        <v>567</v>
      </c>
      <c r="D557" s="127" t="s">
        <v>693</v>
      </c>
      <c r="E557" s="147" t="s">
        <v>38</v>
      </c>
      <c r="F557" s="138" t="s">
        <v>57</v>
      </c>
      <c r="G557" s="147" t="s">
        <v>34</v>
      </c>
      <c r="H557" s="191">
        <f t="shared" si="8"/>
        <v>0</v>
      </c>
      <c r="I557" s="225"/>
      <c r="J557" s="149"/>
      <c r="K557" s="147">
        <v>12</v>
      </c>
      <c r="L557" s="147">
        <v>1</v>
      </c>
      <c r="M557" s="147">
        <v>13</v>
      </c>
      <c r="N557" s="289"/>
      <c r="O557" s="196"/>
      <c r="P557" s="180"/>
      <c r="Q557" s="174"/>
      <c r="R557" s="206">
        <v>0</v>
      </c>
      <c r="S557" s="168"/>
      <c r="T557" s="129" t="s">
        <v>55</v>
      </c>
      <c r="U557" s="147" t="s">
        <v>37</v>
      </c>
      <c r="V557" s="129"/>
      <c r="W557" s="163" t="s">
        <v>54</v>
      </c>
      <c r="X557" s="215"/>
      <c r="Y557" s="216">
        <v>0</v>
      </c>
      <c r="Z557" s="216">
        <v>0</v>
      </c>
      <c r="AA557" s="263"/>
      <c r="AB557" s="155"/>
      <c r="AC557" s="212"/>
    </row>
    <row r="558" spans="1:29" s="182" customFormat="1" x14ac:dyDescent="0.25">
      <c r="A558" s="131">
        <v>1</v>
      </c>
      <c r="B558" s="136">
        <v>1204009</v>
      </c>
      <c r="C558" s="128" t="s">
        <v>567</v>
      </c>
      <c r="D558" s="127" t="s">
        <v>694</v>
      </c>
      <c r="E558" s="147" t="s">
        <v>38</v>
      </c>
      <c r="F558" s="129" t="s">
        <v>684</v>
      </c>
      <c r="G558" s="147" t="s">
        <v>607</v>
      </c>
      <c r="H558" s="191">
        <f t="shared" si="8"/>
        <v>1302.05</v>
      </c>
      <c r="I558" s="222" t="s">
        <v>2084</v>
      </c>
      <c r="J558" s="146">
        <v>0</v>
      </c>
      <c r="K558" s="147">
        <v>9</v>
      </c>
      <c r="L558" s="147">
        <v>1</v>
      </c>
      <c r="M558" s="147">
        <v>10</v>
      </c>
      <c r="N558" s="289">
        <v>1</v>
      </c>
      <c r="O558" s="174">
        <v>1263.5999999999999</v>
      </c>
      <c r="P558" s="180">
        <v>45089</v>
      </c>
      <c r="Q558" s="174">
        <v>1302</v>
      </c>
      <c r="R558" s="205">
        <v>0.05</v>
      </c>
      <c r="S558" s="165"/>
      <c r="T558" s="129" t="s">
        <v>36</v>
      </c>
      <c r="U558" s="147" t="s">
        <v>37</v>
      </c>
      <c r="V558" s="129"/>
      <c r="W558" s="147" t="s">
        <v>2213</v>
      </c>
      <c r="X558" s="215" t="s">
        <v>1921</v>
      </c>
      <c r="Y558" s="216">
        <v>7.0257052500000015</v>
      </c>
      <c r="Z558" s="216">
        <v>10.538557875000002</v>
      </c>
      <c r="AA558" s="263"/>
      <c r="AB558" s="305"/>
      <c r="AC558" s="214"/>
    </row>
    <row r="559" spans="1:29" s="182" customFormat="1" hidden="1" x14ac:dyDescent="0.25">
      <c r="A559" s="131">
        <v>1</v>
      </c>
      <c r="B559" s="136">
        <v>1204010</v>
      </c>
      <c r="C559" s="128" t="s">
        <v>567</v>
      </c>
      <c r="D559" s="127" t="s">
        <v>695</v>
      </c>
      <c r="E559" s="147" t="s">
        <v>38</v>
      </c>
      <c r="F559" s="138" t="s">
        <v>57</v>
      </c>
      <c r="G559" s="147" t="s">
        <v>34</v>
      </c>
      <c r="H559" s="191">
        <f t="shared" si="8"/>
        <v>0</v>
      </c>
      <c r="I559" s="225"/>
      <c r="J559" s="149"/>
      <c r="K559" s="147">
        <v>12</v>
      </c>
      <c r="L559" s="147">
        <v>1</v>
      </c>
      <c r="M559" s="147">
        <v>13</v>
      </c>
      <c r="N559" s="289"/>
      <c r="O559" s="196"/>
      <c r="P559" s="180"/>
      <c r="Q559" s="174"/>
      <c r="R559" s="206">
        <v>0</v>
      </c>
      <c r="S559" s="168"/>
      <c r="T559" s="138" t="s">
        <v>57</v>
      </c>
      <c r="U559" s="147" t="s">
        <v>37</v>
      </c>
      <c r="V559" s="129"/>
      <c r="W559" s="163" t="s">
        <v>54</v>
      </c>
      <c r="X559" s="215"/>
      <c r="Y559" s="216">
        <v>0</v>
      </c>
      <c r="Z559" s="216">
        <v>0</v>
      </c>
      <c r="AA559" s="263"/>
      <c r="AB559" s="155"/>
      <c r="AC559" s="212"/>
    </row>
    <row r="560" spans="1:29" s="182" customFormat="1" hidden="1" x14ac:dyDescent="0.25">
      <c r="A560" s="131">
        <v>1</v>
      </c>
      <c r="B560" s="136">
        <v>1204011</v>
      </c>
      <c r="C560" s="128" t="s">
        <v>567</v>
      </c>
      <c r="D560" s="127" t="s">
        <v>696</v>
      </c>
      <c r="E560" s="147" t="s">
        <v>38</v>
      </c>
      <c r="F560" s="138" t="s">
        <v>57</v>
      </c>
      <c r="G560" s="147" t="s">
        <v>34</v>
      </c>
      <c r="H560" s="191">
        <f t="shared" si="8"/>
        <v>0</v>
      </c>
      <c r="I560" s="225"/>
      <c r="J560" s="149"/>
      <c r="K560" s="147">
        <v>12</v>
      </c>
      <c r="L560" s="147">
        <v>1</v>
      </c>
      <c r="M560" s="147">
        <v>13</v>
      </c>
      <c r="N560" s="289"/>
      <c r="O560" s="196"/>
      <c r="P560" s="180"/>
      <c r="Q560" s="174"/>
      <c r="R560" s="206">
        <v>0</v>
      </c>
      <c r="S560" s="168"/>
      <c r="T560" s="129" t="s">
        <v>55</v>
      </c>
      <c r="U560" s="147" t="s">
        <v>37</v>
      </c>
      <c r="V560" s="129"/>
      <c r="W560" s="163" t="s">
        <v>54</v>
      </c>
      <c r="X560" s="215"/>
      <c r="Y560" s="216">
        <v>0</v>
      </c>
      <c r="Z560" s="216">
        <v>0</v>
      </c>
      <c r="AA560" s="263"/>
      <c r="AB560" s="155"/>
      <c r="AC560" s="212"/>
    </row>
    <row r="561" spans="1:29" s="182" customFormat="1" hidden="1" x14ac:dyDescent="0.25">
      <c r="A561" s="131">
        <v>1</v>
      </c>
      <c r="B561" s="136">
        <v>1204012</v>
      </c>
      <c r="C561" s="128" t="s">
        <v>567</v>
      </c>
      <c r="D561" s="127" t="s">
        <v>697</v>
      </c>
      <c r="E561" s="147" t="s">
        <v>38</v>
      </c>
      <c r="F561" s="138" t="s">
        <v>57</v>
      </c>
      <c r="G561" s="147" t="s">
        <v>34</v>
      </c>
      <c r="H561" s="191">
        <f t="shared" si="8"/>
        <v>0</v>
      </c>
      <c r="I561" s="225"/>
      <c r="J561" s="149"/>
      <c r="K561" s="147">
        <v>12</v>
      </c>
      <c r="L561" s="147">
        <v>1</v>
      </c>
      <c r="M561" s="147">
        <v>13</v>
      </c>
      <c r="N561" s="289"/>
      <c r="O561" s="196"/>
      <c r="P561" s="180"/>
      <c r="Q561" s="174"/>
      <c r="R561" s="206">
        <v>0</v>
      </c>
      <c r="S561" s="168"/>
      <c r="T561" s="129" t="s">
        <v>2209</v>
      </c>
      <c r="U561" s="147" t="s">
        <v>37</v>
      </c>
      <c r="V561" s="129"/>
      <c r="W561" s="163" t="s">
        <v>54</v>
      </c>
      <c r="X561" s="215"/>
      <c r="Y561" s="216">
        <v>0</v>
      </c>
      <c r="Z561" s="216">
        <v>0</v>
      </c>
      <c r="AA561" s="263"/>
      <c r="AB561" s="155"/>
      <c r="AC561" s="212"/>
    </row>
    <row r="562" spans="1:29" s="182" customFormat="1" hidden="1" x14ac:dyDescent="0.25">
      <c r="A562" s="131">
        <v>1</v>
      </c>
      <c r="B562" s="136">
        <v>1204014</v>
      </c>
      <c r="C562" s="128" t="s">
        <v>567</v>
      </c>
      <c r="D562" s="127" t="s">
        <v>698</v>
      </c>
      <c r="E562" s="147" t="s">
        <v>38</v>
      </c>
      <c r="F562" s="138" t="s">
        <v>57</v>
      </c>
      <c r="G562" s="147" t="s">
        <v>34</v>
      </c>
      <c r="H562" s="191">
        <f t="shared" si="8"/>
        <v>0</v>
      </c>
      <c r="I562" s="225"/>
      <c r="J562" s="149"/>
      <c r="K562" s="147">
        <v>12</v>
      </c>
      <c r="L562" s="147">
        <v>1</v>
      </c>
      <c r="M562" s="147">
        <v>13</v>
      </c>
      <c r="N562" s="289"/>
      <c r="O562" s="196"/>
      <c r="P562" s="180"/>
      <c r="Q562" s="174"/>
      <c r="R562" s="206">
        <v>0</v>
      </c>
      <c r="S562" s="168"/>
      <c r="T562" s="129" t="s">
        <v>55</v>
      </c>
      <c r="U562" s="147" t="s">
        <v>37</v>
      </c>
      <c r="V562" s="129"/>
      <c r="W562" s="163" t="s">
        <v>54</v>
      </c>
      <c r="X562" s="215"/>
      <c r="Y562" s="216">
        <v>0</v>
      </c>
      <c r="Z562" s="216">
        <v>0</v>
      </c>
      <c r="AA562" s="263"/>
      <c r="AB562" s="155"/>
      <c r="AC562" s="212"/>
    </row>
    <row r="563" spans="1:29" s="182" customFormat="1" hidden="1" x14ac:dyDescent="0.25">
      <c r="A563" s="131">
        <v>1</v>
      </c>
      <c r="B563" s="136">
        <v>1204015</v>
      </c>
      <c r="C563" s="128" t="s">
        <v>567</v>
      </c>
      <c r="D563" s="127" t="s">
        <v>699</v>
      </c>
      <c r="E563" s="147" t="s">
        <v>38</v>
      </c>
      <c r="F563" s="138" t="s">
        <v>57</v>
      </c>
      <c r="G563" s="147" t="s">
        <v>34</v>
      </c>
      <c r="H563" s="191">
        <f t="shared" si="8"/>
        <v>0</v>
      </c>
      <c r="I563" s="225"/>
      <c r="J563" s="149"/>
      <c r="K563" s="147">
        <v>12</v>
      </c>
      <c r="L563" s="147">
        <v>1</v>
      </c>
      <c r="M563" s="147">
        <v>13</v>
      </c>
      <c r="N563" s="289"/>
      <c r="O563" s="196"/>
      <c r="P563" s="180"/>
      <c r="Q563" s="174"/>
      <c r="R563" s="206">
        <v>0</v>
      </c>
      <c r="S563" s="168"/>
      <c r="T563" s="129" t="s">
        <v>55</v>
      </c>
      <c r="U563" s="147" t="s">
        <v>37</v>
      </c>
      <c r="V563" s="129"/>
      <c r="W563" s="163" t="s">
        <v>54</v>
      </c>
      <c r="X563" s="215"/>
      <c r="Y563" s="216">
        <v>0</v>
      </c>
      <c r="Z563" s="216">
        <v>0</v>
      </c>
      <c r="AA563" s="263"/>
      <c r="AB563" s="155"/>
      <c r="AC563" s="212"/>
    </row>
    <row r="564" spans="1:29" s="182" customFormat="1" hidden="1" x14ac:dyDescent="0.25">
      <c r="A564" s="131">
        <v>1</v>
      </c>
      <c r="B564" s="136">
        <v>1204016</v>
      </c>
      <c r="C564" s="128" t="s">
        <v>567</v>
      </c>
      <c r="D564" s="127" t="s">
        <v>700</v>
      </c>
      <c r="E564" s="147" t="s">
        <v>38</v>
      </c>
      <c r="F564" s="138" t="s">
        <v>57</v>
      </c>
      <c r="G564" s="147" t="s">
        <v>34</v>
      </c>
      <c r="H564" s="191">
        <f t="shared" si="8"/>
        <v>0</v>
      </c>
      <c r="I564" s="225"/>
      <c r="J564" s="149"/>
      <c r="K564" s="147">
        <v>12</v>
      </c>
      <c r="L564" s="147">
        <v>1</v>
      </c>
      <c r="M564" s="147">
        <v>13</v>
      </c>
      <c r="N564" s="289"/>
      <c r="O564" s="196"/>
      <c r="P564" s="180"/>
      <c r="Q564" s="174"/>
      <c r="R564" s="206">
        <v>0</v>
      </c>
      <c r="S564" s="168"/>
      <c r="T564" s="129" t="s">
        <v>55</v>
      </c>
      <c r="U564" s="147" t="s">
        <v>37</v>
      </c>
      <c r="V564" s="129"/>
      <c r="W564" s="163" t="s">
        <v>54</v>
      </c>
      <c r="X564" s="215"/>
      <c r="Y564" s="216">
        <v>0</v>
      </c>
      <c r="Z564" s="216">
        <v>0</v>
      </c>
      <c r="AA564" s="263"/>
      <c r="AB564" s="155"/>
      <c r="AC564" s="212"/>
    </row>
    <row r="565" spans="1:29" s="182" customFormat="1" hidden="1" x14ac:dyDescent="0.25">
      <c r="A565" s="131">
        <v>1</v>
      </c>
      <c r="B565" s="136">
        <v>1204017</v>
      </c>
      <c r="C565" s="128" t="s">
        <v>567</v>
      </c>
      <c r="D565" s="127" t="s">
        <v>701</v>
      </c>
      <c r="E565" s="147" t="s">
        <v>38</v>
      </c>
      <c r="F565" s="129" t="s">
        <v>684</v>
      </c>
      <c r="G565" s="147" t="s">
        <v>34</v>
      </c>
      <c r="H565" s="191">
        <f t="shared" si="8"/>
        <v>247.25</v>
      </c>
      <c r="I565" s="134" t="s">
        <v>2084</v>
      </c>
      <c r="J565" s="146">
        <v>0</v>
      </c>
      <c r="K565" s="147">
        <v>9</v>
      </c>
      <c r="L565" s="147">
        <v>1</v>
      </c>
      <c r="M565" s="147">
        <v>10</v>
      </c>
      <c r="N565" s="289">
        <v>1</v>
      </c>
      <c r="O565" s="196"/>
      <c r="P565" s="180"/>
      <c r="Q565" s="174">
        <v>242</v>
      </c>
      <c r="R565" s="205">
        <v>5.25</v>
      </c>
      <c r="S565" s="168"/>
      <c r="T565" s="129" t="s">
        <v>44</v>
      </c>
      <c r="U565" s="147" t="s">
        <v>37</v>
      </c>
      <c r="V565" s="129"/>
      <c r="W565" s="177" t="s">
        <v>54</v>
      </c>
      <c r="X565" s="215"/>
      <c r="Y565" s="216">
        <v>0</v>
      </c>
      <c r="Z565" s="216">
        <v>0</v>
      </c>
      <c r="AA565" s="263"/>
      <c r="AB565" s="305"/>
      <c r="AC565" s="214"/>
    </row>
    <row r="566" spans="1:29" s="182" customFormat="1" hidden="1" x14ac:dyDescent="0.25">
      <c r="A566" s="131">
        <v>1</v>
      </c>
      <c r="B566" s="136">
        <v>1205001</v>
      </c>
      <c r="C566" s="128" t="s">
        <v>567</v>
      </c>
      <c r="D566" s="127" t="s">
        <v>702</v>
      </c>
      <c r="E566" s="147" t="s">
        <v>38</v>
      </c>
      <c r="F566" s="138" t="s">
        <v>57</v>
      </c>
      <c r="G566" s="147" t="s">
        <v>34</v>
      </c>
      <c r="H566" s="191">
        <f t="shared" si="8"/>
        <v>0</v>
      </c>
      <c r="I566" s="225"/>
      <c r="J566" s="149"/>
      <c r="K566" s="147">
        <v>12</v>
      </c>
      <c r="L566" s="147">
        <v>1</v>
      </c>
      <c r="M566" s="147">
        <v>13</v>
      </c>
      <c r="N566" s="289"/>
      <c r="O566" s="196"/>
      <c r="P566" s="180"/>
      <c r="Q566" s="174"/>
      <c r="R566" s="206">
        <v>0</v>
      </c>
      <c r="S566" s="168"/>
      <c r="T566" s="138" t="s">
        <v>57</v>
      </c>
      <c r="U566" s="147" t="s">
        <v>37</v>
      </c>
      <c r="V566" s="129"/>
      <c r="W566" s="163" t="s">
        <v>54</v>
      </c>
      <c r="X566" s="215"/>
      <c r="Y566" s="216">
        <v>0</v>
      </c>
      <c r="Z566" s="216">
        <v>0</v>
      </c>
      <c r="AA566" s="263"/>
      <c r="AB566" s="155"/>
      <c r="AC566" s="212"/>
    </row>
    <row r="567" spans="1:29" s="182" customFormat="1" hidden="1" x14ac:dyDescent="0.25">
      <c r="A567" s="131">
        <v>1</v>
      </c>
      <c r="B567" s="136">
        <v>1205002</v>
      </c>
      <c r="C567" s="128" t="s">
        <v>567</v>
      </c>
      <c r="D567" s="127" t="s">
        <v>703</v>
      </c>
      <c r="E567" s="147" t="s">
        <v>38</v>
      </c>
      <c r="F567" s="138" t="s">
        <v>57</v>
      </c>
      <c r="G567" s="147" t="s">
        <v>34</v>
      </c>
      <c r="H567" s="191">
        <f t="shared" si="8"/>
        <v>0</v>
      </c>
      <c r="I567" s="225"/>
      <c r="J567" s="149"/>
      <c r="K567" s="147">
        <v>12</v>
      </c>
      <c r="L567" s="147">
        <v>1</v>
      </c>
      <c r="M567" s="147">
        <v>13</v>
      </c>
      <c r="N567" s="289"/>
      <c r="O567" s="196"/>
      <c r="P567" s="180"/>
      <c r="Q567" s="174"/>
      <c r="R567" s="206">
        <v>0</v>
      </c>
      <c r="S567" s="168"/>
      <c r="T567" s="138" t="s">
        <v>57</v>
      </c>
      <c r="U567" s="147" t="s">
        <v>37</v>
      </c>
      <c r="V567" s="129"/>
      <c r="W567" s="163" t="s">
        <v>54</v>
      </c>
      <c r="X567" s="215"/>
      <c r="Y567" s="216">
        <v>0</v>
      </c>
      <c r="Z567" s="216">
        <v>0</v>
      </c>
      <c r="AA567" s="263"/>
      <c r="AB567" s="155"/>
      <c r="AC567" s="212"/>
    </row>
    <row r="568" spans="1:29" s="182" customFormat="1" hidden="1" x14ac:dyDescent="0.25">
      <c r="A568" s="131">
        <v>1</v>
      </c>
      <c r="B568" s="136">
        <v>1205003</v>
      </c>
      <c r="C568" s="128" t="s">
        <v>567</v>
      </c>
      <c r="D568" s="127" t="s">
        <v>704</v>
      </c>
      <c r="E568" s="147" t="s">
        <v>38</v>
      </c>
      <c r="F568" s="138" t="s">
        <v>57</v>
      </c>
      <c r="G568" s="147" t="s">
        <v>34</v>
      </c>
      <c r="H568" s="191">
        <f t="shared" si="8"/>
        <v>0</v>
      </c>
      <c r="I568" s="225"/>
      <c r="J568" s="149"/>
      <c r="K568" s="147">
        <v>12</v>
      </c>
      <c r="L568" s="147">
        <v>1</v>
      </c>
      <c r="M568" s="147">
        <v>13</v>
      </c>
      <c r="N568" s="289"/>
      <c r="O568" s="196"/>
      <c r="P568" s="180"/>
      <c r="Q568" s="174"/>
      <c r="R568" s="206">
        <v>0</v>
      </c>
      <c r="S568" s="168"/>
      <c r="T568" s="129" t="s">
        <v>55</v>
      </c>
      <c r="U568" s="147" t="s">
        <v>37</v>
      </c>
      <c r="V568" s="129"/>
      <c r="W568" s="163" t="s">
        <v>54</v>
      </c>
      <c r="X568" s="215"/>
      <c r="Y568" s="216">
        <v>0</v>
      </c>
      <c r="Z568" s="216">
        <v>0</v>
      </c>
      <c r="AA568" s="263"/>
      <c r="AB568" s="155"/>
      <c r="AC568" s="212"/>
    </row>
    <row r="569" spans="1:29" s="182" customFormat="1" hidden="1" x14ac:dyDescent="0.25">
      <c r="A569" s="131">
        <v>1</v>
      </c>
      <c r="B569" s="136">
        <v>1205004</v>
      </c>
      <c r="C569" s="128" t="s">
        <v>567</v>
      </c>
      <c r="D569" s="127" t="s">
        <v>705</v>
      </c>
      <c r="E569" s="147" t="s">
        <v>38</v>
      </c>
      <c r="F569" s="138" t="s">
        <v>57</v>
      </c>
      <c r="G569" s="147" t="s">
        <v>34</v>
      </c>
      <c r="H569" s="191">
        <f t="shared" si="8"/>
        <v>0</v>
      </c>
      <c r="I569" s="225"/>
      <c r="J569" s="149"/>
      <c r="K569" s="147">
        <v>12</v>
      </c>
      <c r="L569" s="147">
        <v>1</v>
      </c>
      <c r="M569" s="147">
        <v>13</v>
      </c>
      <c r="N569" s="289"/>
      <c r="O569" s="196"/>
      <c r="P569" s="180"/>
      <c r="Q569" s="174"/>
      <c r="R569" s="206">
        <v>0</v>
      </c>
      <c r="S569" s="168"/>
      <c r="T569" s="138" t="s">
        <v>57</v>
      </c>
      <c r="U569" s="147" t="s">
        <v>37</v>
      </c>
      <c r="V569" s="129"/>
      <c r="W569" s="163" t="s">
        <v>54</v>
      </c>
      <c r="X569" s="215"/>
      <c r="Y569" s="216">
        <v>0</v>
      </c>
      <c r="Z569" s="216">
        <v>0</v>
      </c>
      <c r="AA569" s="263"/>
      <c r="AB569" s="155"/>
      <c r="AC569" s="212"/>
    </row>
    <row r="570" spans="1:29" s="182" customFormat="1" hidden="1" x14ac:dyDescent="0.25">
      <c r="A570" s="131">
        <v>1</v>
      </c>
      <c r="B570" s="136">
        <v>1205005</v>
      </c>
      <c r="C570" s="128" t="s">
        <v>567</v>
      </c>
      <c r="D570" s="127" t="s">
        <v>706</v>
      </c>
      <c r="E570" s="147" t="s">
        <v>38</v>
      </c>
      <c r="F570" s="138" t="s">
        <v>57</v>
      </c>
      <c r="G570" s="147" t="s">
        <v>34</v>
      </c>
      <c r="H570" s="191">
        <f t="shared" si="8"/>
        <v>0</v>
      </c>
      <c r="I570" s="225"/>
      <c r="J570" s="149"/>
      <c r="K570" s="147">
        <v>12</v>
      </c>
      <c r="L570" s="147">
        <v>1</v>
      </c>
      <c r="M570" s="147">
        <v>13</v>
      </c>
      <c r="N570" s="289"/>
      <c r="O570" s="196"/>
      <c r="P570" s="180"/>
      <c r="Q570" s="174"/>
      <c r="R570" s="206">
        <v>0</v>
      </c>
      <c r="S570" s="168"/>
      <c r="T570" s="138" t="s">
        <v>57</v>
      </c>
      <c r="U570" s="147" t="s">
        <v>37</v>
      </c>
      <c r="V570" s="129"/>
      <c r="W570" s="163" t="s">
        <v>54</v>
      </c>
      <c r="X570" s="215"/>
      <c r="Y570" s="216">
        <v>0</v>
      </c>
      <c r="Z570" s="216">
        <v>0</v>
      </c>
      <c r="AA570" s="263"/>
      <c r="AB570" s="155"/>
      <c r="AC570" s="212"/>
    </row>
    <row r="571" spans="1:29" s="182" customFormat="1" hidden="1" x14ac:dyDescent="0.25">
      <c r="A571" s="131">
        <v>1</v>
      </c>
      <c r="B571" s="136">
        <v>1205006</v>
      </c>
      <c r="C571" s="128" t="s">
        <v>567</v>
      </c>
      <c r="D571" s="127" t="s">
        <v>707</v>
      </c>
      <c r="E571" s="147" t="s">
        <v>38</v>
      </c>
      <c r="F571" s="138" t="s">
        <v>57</v>
      </c>
      <c r="G571" s="147" t="s">
        <v>34</v>
      </c>
      <c r="H571" s="191">
        <f t="shared" si="8"/>
        <v>0</v>
      </c>
      <c r="I571" s="225"/>
      <c r="J571" s="149"/>
      <c r="K571" s="147">
        <v>12</v>
      </c>
      <c r="L571" s="147">
        <v>1</v>
      </c>
      <c r="M571" s="147">
        <v>13</v>
      </c>
      <c r="N571" s="289"/>
      <c r="O571" s="196"/>
      <c r="P571" s="180"/>
      <c r="Q571" s="174"/>
      <c r="R571" s="206">
        <v>0</v>
      </c>
      <c r="S571" s="168"/>
      <c r="T571" s="138" t="s">
        <v>57</v>
      </c>
      <c r="U571" s="147" t="s">
        <v>37</v>
      </c>
      <c r="V571" s="129"/>
      <c r="W571" s="163" t="s">
        <v>54</v>
      </c>
      <c r="X571" s="215"/>
      <c r="Y571" s="216">
        <v>0</v>
      </c>
      <c r="Z571" s="216">
        <v>0</v>
      </c>
      <c r="AA571" s="263"/>
      <c r="AB571" s="155"/>
      <c r="AC571" s="212"/>
    </row>
    <row r="572" spans="1:29" hidden="1" x14ac:dyDescent="0.25">
      <c r="A572" s="131">
        <v>1</v>
      </c>
      <c r="B572" s="136">
        <v>1205007</v>
      </c>
      <c r="C572" s="128" t="s">
        <v>567</v>
      </c>
      <c r="D572" s="127" t="s">
        <v>708</v>
      </c>
      <c r="E572" s="147" t="s">
        <v>38</v>
      </c>
      <c r="F572" s="138" t="s">
        <v>57</v>
      </c>
      <c r="G572" s="147" t="s">
        <v>34</v>
      </c>
      <c r="H572" s="191">
        <f t="shared" si="8"/>
        <v>0</v>
      </c>
      <c r="I572" s="225"/>
      <c r="J572" s="149"/>
      <c r="K572" s="147">
        <v>12</v>
      </c>
      <c r="L572" s="147">
        <v>1</v>
      </c>
      <c r="M572" s="147">
        <v>13</v>
      </c>
      <c r="N572" s="289"/>
      <c r="O572" s="196"/>
      <c r="P572" s="180"/>
      <c r="Q572" s="174"/>
      <c r="R572" s="206">
        <v>0</v>
      </c>
      <c r="S572" s="168"/>
      <c r="T572" s="138" t="s">
        <v>57</v>
      </c>
      <c r="U572" s="147" t="s">
        <v>37</v>
      </c>
      <c r="V572" s="129"/>
      <c r="W572" s="163" t="s">
        <v>54</v>
      </c>
      <c r="X572" s="215"/>
      <c r="Y572" s="216">
        <v>0</v>
      </c>
      <c r="Z572" s="216">
        <v>0</v>
      </c>
      <c r="AA572" s="263"/>
      <c r="AB572" s="155"/>
      <c r="AC572" s="212"/>
    </row>
    <row r="573" spans="1:29" hidden="1" x14ac:dyDescent="0.25">
      <c r="A573" s="131">
        <v>1</v>
      </c>
      <c r="B573" s="136">
        <v>1205008</v>
      </c>
      <c r="C573" s="128" t="s">
        <v>567</v>
      </c>
      <c r="D573" s="127" t="s">
        <v>709</v>
      </c>
      <c r="E573" s="147" t="s">
        <v>38</v>
      </c>
      <c r="F573" s="138" t="s">
        <v>57</v>
      </c>
      <c r="G573" s="147" t="s">
        <v>34</v>
      </c>
      <c r="H573" s="191">
        <f t="shared" si="8"/>
        <v>0</v>
      </c>
      <c r="I573" s="225"/>
      <c r="J573" s="149"/>
      <c r="K573" s="147">
        <v>12</v>
      </c>
      <c r="L573" s="147">
        <v>1</v>
      </c>
      <c r="M573" s="147">
        <v>13</v>
      </c>
      <c r="N573" s="289"/>
      <c r="O573" s="196"/>
      <c r="P573" s="180"/>
      <c r="Q573" s="174"/>
      <c r="R573" s="206">
        <v>0</v>
      </c>
      <c r="S573" s="168"/>
      <c r="T573" s="138" t="s">
        <v>57</v>
      </c>
      <c r="U573" s="147" t="s">
        <v>37</v>
      </c>
      <c r="V573" s="129"/>
      <c r="W573" s="163" t="s">
        <v>54</v>
      </c>
      <c r="X573" s="215"/>
      <c r="Y573" s="216">
        <v>0</v>
      </c>
      <c r="Z573" s="216">
        <v>0</v>
      </c>
      <c r="AA573" s="263"/>
      <c r="AB573" s="155"/>
      <c r="AC573" s="212"/>
    </row>
    <row r="574" spans="1:29" hidden="1" x14ac:dyDescent="0.25">
      <c r="A574" s="131">
        <v>1</v>
      </c>
      <c r="B574" s="136">
        <v>1205009</v>
      </c>
      <c r="C574" s="128" t="s">
        <v>567</v>
      </c>
      <c r="D574" s="127" t="s">
        <v>710</v>
      </c>
      <c r="E574" s="147" t="s">
        <v>38</v>
      </c>
      <c r="F574" s="138" t="s">
        <v>57</v>
      </c>
      <c r="G574" s="147" t="s">
        <v>34</v>
      </c>
      <c r="H574" s="191">
        <f t="shared" si="8"/>
        <v>0</v>
      </c>
      <c r="I574" s="225"/>
      <c r="J574" s="149"/>
      <c r="K574" s="147">
        <v>12</v>
      </c>
      <c r="L574" s="147">
        <v>1</v>
      </c>
      <c r="M574" s="147">
        <v>13</v>
      </c>
      <c r="N574" s="289"/>
      <c r="O574" s="196"/>
      <c r="P574" s="180"/>
      <c r="Q574" s="174"/>
      <c r="R574" s="206">
        <v>0</v>
      </c>
      <c r="S574" s="168"/>
      <c r="T574" s="138" t="s">
        <v>57</v>
      </c>
      <c r="U574" s="147" t="s">
        <v>37</v>
      </c>
      <c r="V574" s="129"/>
      <c r="W574" s="163" t="s">
        <v>54</v>
      </c>
      <c r="X574" s="215"/>
      <c r="Y574" s="216">
        <v>0</v>
      </c>
      <c r="Z574" s="216">
        <v>0</v>
      </c>
      <c r="AA574" s="263"/>
      <c r="AB574" s="155"/>
      <c r="AC574" s="212"/>
    </row>
    <row r="575" spans="1:29" s="182" customFormat="1" hidden="1" x14ac:dyDescent="0.25">
      <c r="A575" s="131">
        <v>1</v>
      </c>
      <c r="B575" s="136">
        <v>1205010</v>
      </c>
      <c r="C575" s="128" t="s">
        <v>567</v>
      </c>
      <c r="D575" s="127" t="s">
        <v>711</v>
      </c>
      <c r="E575" s="147" t="s">
        <v>38</v>
      </c>
      <c r="F575" s="138" t="s">
        <v>57</v>
      </c>
      <c r="G575" s="147" t="s">
        <v>34</v>
      </c>
      <c r="H575" s="191">
        <f t="shared" si="8"/>
        <v>0</v>
      </c>
      <c r="I575" s="225"/>
      <c r="J575" s="149"/>
      <c r="K575" s="147">
        <v>12</v>
      </c>
      <c r="L575" s="147">
        <v>1</v>
      </c>
      <c r="M575" s="147">
        <v>13</v>
      </c>
      <c r="N575" s="289"/>
      <c r="O575" s="196"/>
      <c r="P575" s="180"/>
      <c r="Q575" s="174"/>
      <c r="R575" s="206">
        <v>0</v>
      </c>
      <c r="S575" s="168"/>
      <c r="T575" s="138" t="s">
        <v>57</v>
      </c>
      <c r="U575" s="147" t="s">
        <v>37</v>
      </c>
      <c r="V575" s="129"/>
      <c r="W575" s="163" t="s">
        <v>54</v>
      </c>
      <c r="X575" s="215"/>
      <c r="Y575" s="216">
        <v>0</v>
      </c>
      <c r="Z575" s="216">
        <v>0</v>
      </c>
      <c r="AA575" s="263"/>
      <c r="AB575" s="155"/>
      <c r="AC575" s="212"/>
    </row>
    <row r="576" spans="1:29" s="182" customFormat="1" hidden="1" x14ac:dyDescent="0.25">
      <c r="A576" s="131">
        <v>1</v>
      </c>
      <c r="B576" s="136">
        <v>1205011</v>
      </c>
      <c r="C576" s="128" t="s">
        <v>567</v>
      </c>
      <c r="D576" s="127" t="s">
        <v>712</v>
      </c>
      <c r="E576" s="147" t="s">
        <v>38</v>
      </c>
      <c r="F576" s="138" t="s">
        <v>57</v>
      </c>
      <c r="G576" s="147" t="s">
        <v>34</v>
      </c>
      <c r="H576" s="191">
        <f t="shared" si="8"/>
        <v>0</v>
      </c>
      <c r="I576" s="225"/>
      <c r="J576" s="149"/>
      <c r="K576" s="147">
        <v>12</v>
      </c>
      <c r="L576" s="147">
        <v>1</v>
      </c>
      <c r="M576" s="147">
        <v>13</v>
      </c>
      <c r="N576" s="289"/>
      <c r="O576" s="196"/>
      <c r="P576" s="180"/>
      <c r="Q576" s="174"/>
      <c r="R576" s="206">
        <v>0</v>
      </c>
      <c r="S576" s="168"/>
      <c r="T576" s="138" t="s">
        <v>57</v>
      </c>
      <c r="U576" s="147" t="s">
        <v>37</v>
      </c>
      <c r="V576" s="129"/>
      <c r="W576" s="163" t="s">
        <v>54</v>
      </c>
      <c r="X576" s="215"/>
      <c r="Y576" s="216">
        <v>0</v>
      </c>
      <c r="Z576" s="216">
        <v>0</v>
      </c>
      <c r="AA576" s="263"/>
      <c r="AB576" s="155"/>
      <c r="AC576" s="212"/>
    </row>
    <row r="577" spans="1:29" s="182" customFormat="1" hidden="1" x14ac:dyDescent="0.25">
      <c r="A577" s="131">
        <v>1</v>
      </c>
      <c r="B577" s="136">
        <v>1205012</v>
      </c>
      <c r="C577" s="128" t="s">
        <v>567</v>
      </c>
      <c r="D577" s="127" t="s">
        <v>713</v>
      </c>
      <c r="E577" s="147" t="s">
        <v>38</v>
      </c>
      <c r="F577" s="138" t="s">
        <v>57</v>
      </c>
      <c r="G577" s="147" t="s">
        <v>34</v>
      </c>
      <c r="H577" s="191">
        <f t="shared" si="8"/>
        <v>0</v>
      </c>
      <c r="I577" s="225"/>
      <c r="J577" s="149"/>
      <c r="K577" s="147">
        <v>12</v>
      </c>
      <c r="L577" s="147">
        <v>1</v>
      </c>
      <c r="M577" s="147">
        <v>13</v>
      </c>
      <c r="N577" s="289"/>
      <c r="O577" s="196"/>
      <c r="P577" s="180"/>
      <c r="Q577" s="174"/>
      <c r="R577" s="206">
        <v>0</v>
      </c>
      <c r="S577" s="168"/>
      <c r="T577" s="138" t="s">
        <v>57</v>
      </c>
      <c r="U577" s="147" t="s">
        <v>37</v>
      </c>
      <c r="V577" s="129"/>
      <c r="W577" s="163" t="s">
        <v>54</v>
      </c>
      <c r="X577" s="215"/>
      <c r="Y577" s="216">
        <v>0</v>
      </c>
      <c r="Z577" s="216">
        <v>0</v>
      </c>
      <c r="AA577" s="263"/>
      <c r="AB577" s="155"/>
      <c r="AC577" s="212"/>
    </row>
    <row r="578" spans="1:29" s="182" customFormat="1" hidden="1" x14ac:dyDescent="0.25">
      <c r="A578" s="131">
        <v>1</v>
      </c>
      <c r="B578" s="136">
        <v>1205013</v>
      </c>
      <c r="C578" s="128" t="s">
        <v>567</v>
      </c>
      <c r="D578" s="127" t="s">
        <v>714</v>
      </c>
      <c r="E578" s="147" t="s">
        <v>38</v>
      </c>
      <c r="F578" s="138" t="s">
        <v>57</v>
      </c>
      <c r="G578" s="147" t="s">
        <v>34</v>
      </c>
      <c r="H578" s="191">
        <f t="shared" si="8"/>
        <v>0</v>
      </c>
      <c r="I578" s="225"/>
      <c r="J578" s="149"/>
      <c r="K578" s="147">
        <v>12</v>
      </c>
      <c r="L578" s="147">
        <v>1</v>
      </c>
      <c r="M578" s="147">
        <v>13</v>
      </c>
      <c r="N578" s="289"/>
      <c r="O578" s="196"/>
      <c r="P578" s="180"/>
      <c r="Q578" s="174"/>
      <c r="R578" s="206">
        <v>0</v>
      </c>
      <c r="S578" s="168"/>
      <c r="T578" s="138" t="s">
        <v>57</v>
      </c>
      <c r="U578" s="147" t="s">
        <v>37</v>
      </c>
      <c r="V578" s="129"/>
      <c r="W578" s="163" t="s">
        <v>54</v>
      </c>
      <c r="X578" s="215"/>
      <c r="Y578" s="216">
        <v>0</v>
      </c>
      <c r="Z578" s="216">
        <v>0</v>
      </c>
      <c r="AA578" s="263"/>
      <c r="AB578" s="155"/>
      <c r="AC578" s="212"/>
    </row>
    <row r="579" spans="1:29" s="182" customFormat="1" hidden="1" x14ac:dyDescent="0.25">
      <c r="A579" s="131">
        <v>1</v>
      </c>
      <c r="B579" s="136">
        <v>1205014</v>
      </c>
      <c r="C579" s="128" t="s">
        <v>567</v>
      </c>
      <c r="D579" s="127" t="s">
        <v>715</v>
      </c>
      <c r="E579" s="147" t="s">
        <v>38</v>
      </c>
      <c r="F579" s="138" t="s">
        <v>57</v>
      </c>
      <c r="G579" s="147" t="s">
        <v>34</v>
      </c>
      <c r="H579" s="191">
        <f t="shared" ref="H579:H642" si="9">Q579+R579</f>
        <v>0</v>
      </c>
      <c r="I579" s="225"/>
      <c r="J579" s="149"/>
      <c r="K579" s="147">
        <v>12</v>
      </c>
      <c r="L579" s="147">
        <v>1</v>
      </c>
      <c r="M579" s="147">
        <v>13</v>
      </c>
      <c r="N579" s="289"/>
      <c r="O579" s="196"/>
      <c r="P579" s="180"/>
      <c r="Q579" s="174"/>
      <c r="R579" s="206">
        <v>0</v>
      </c>
      <c r="S579" s="168"/>
      <c r="T579" s="138" t="s">
        <v>57</v>
      </c>
      <c r="U579" s="147" t="s">
        <v>37</v>
      </c>
      <c r="V579" s="129"/>
      <c r="W579" s="163" t="s">
        <v>54</v>
      </c>
      <c r="X579" s="215"/>
      <c r="Y579" s="216">
        <v>0</v>
      </c>
      <c r="Z579" s="216">
        <v>0</v>
      </c>
      <c r="AA579" s="263"/>
      <c r="AB579" s="155"/>
      <c r="AC579" s="212"/>
    </row>
    <row r="580" spans="1:29" hidden="1" x14ac:dyDescent="0.25">
      <c r="A580" s="131">
        <v>1</v>
      </c>
      <c r="B580" s="136">
        <v>1205015</v>
      </c>
      <c r="C580" s="128" t="s">
        <v>567</v>
      </c>
      <c r="D580" s="127" t="s">
        <v>716</v>
      </c>
      <c r="E580" s="147" t="s">
        <v>38</v>
      </c>
      <c r="F580" s="138" t="s">
        <v>57</v>
      </c>
      <c r="G580" s="147" t="s">
        <v>34</v>
      </c>
      <c r="H580" s="191">
        <f t="shared" si="9"/>
        <v>0</v>
      </c>
      <c r="I580" s="225"/>
      <c r="J580" s="149"/>
      <c r="K580" s="147">
        <v>12</v>
      </c>
      <c r="L580" s="147">
        <v>1</v>
      </c>
      <c r="M580" s="147">
        <v>13</v>
      </c>
      <c r="N580" s="289"/>
      <c r="O580" s="196"/>
      <c r="P580" s="180"/>
      <c r="Q580" s="174"/>
      <c r="R580" s="206">
        <v>0</v>
      </c>
      <c r="S580" s="168"/>
      <c r="T580" s="138" t="s">
        <v>57</v>
      </c>
      <c r="U580" s="147" t="s">
        <v>37</v>
      </c>
      <c r="V580" s="129"/>
      <c r="W580" s="163" t="s">
        <v>54</v>
      </c>
      <c r="X580" s="215"/>
      <c r="Y580" s="216">
        <v>0</v>
      </c>
      <c r="Z580" s="216">
        <v>0</v>
      </c>
      <c r="AA580" s="263"/>
      <c r="AB580" s="155"/>
      <c r="AC580" s="212"/>
    </row>
    <row r="581" spans="1:29" s="182" customFormat="1" hidden="1" x14ac:dyDescent="0.25">
      <c r="A581" s="131">
        <v>1</v>
      </c>
      <c r="B581" s="136">
        <v>1205016</v>
      </c>
      <c r="C581" s="128" t="s">
        <v>567</v>
      </c>
      <c r="D581" s="127" t="s">
        <v>717</v>
      </c>
      <c r="E581" s="147" t="s">
        <v>38</v>
      </c>
      <c r="F581" s="138" t="s">
        <v>57</v>
      </c>
      <c r="G581" s="147" t="s">
        <v>34</v>
      </c>
      <c r="H581" s="191">
        <f t="shared" si="9"/>
        <v>0</v>
      </c>
      <c r="I581" s="225"/>
      <c r="J581" s="149"/>
      <c r="K581" s="147">
        <v>12</v>
      </c>
      <c r="L581" s="147">
        <v>1</v>
      </c>
      <c r="M581" s="147">
        <v>13</v>
      </c>
      <c r="N581" s="289"/>
      <c r="O581" s="196"/>
      <c r="P581" s="180"/>
      <c r="Q581" s="174"/>
      <c r="R581" s="206">
        <v>0</v>
      </c>
      <c r="S581" s="168"/>
      <c r="T581" s="138" t="s">
        <v>57</v>
      </c>
      <c r="U581" s="147" t="s">
        <v>37</v>
      </c>
      <c r="V581" s="129"/>
      <c r="W581" s="163" t="s">
        <v>54</v>
      </c>
      <c r="X581" s="215"/>
      <c r="Y581" s="216">
        <v>0</v>
      </c>
      <c r="Z581" s="216">
        <v>0</v>
      </c>
      <c r="AA581" s="263"/>
      <c r="AB581" s="155"/>
      <c r="AC581" s="212"/>
    </row>
    <row r="582" spans="1:29" s="182" customFormat="1" hidden="1" x14ac:dyDescent="0.25">
      <c r="A582" s="131">
        <v>1</v>
      </c>
      <c r="B582" s="136">
        <v>1205017</v>
      </c>
      <c r="C582" s="128" t="s">
        <v>567</v>
      </c>
      <c r="D582" s="127" t="s">
        <v>718</v>
      </c>
      <c r="E582" s="147" t="s">
        <v>38</v>
      </c>
      <c r="F582" s="138" t="s">
        <v>57</v>
      </c>
      <c r="G582" s="147" t="s">
        <v>34</v>
      </c>
      <c r="H582" s="191">
        <f t="shared" si="9"/>
        <v>0</v>
      </c>
      <c r="I582" s="225"/>
      <c r="J582" s="149"/>
      <c r="K582" s="147">
        <v>12</v>
      </c>
      <c r="L582" s="147">
        <v>1</v>
      </c>
      <c r="M582" s="147">
        <v>13</v>
      </c>
      <c r="N582" s="289"/>
      <c r="O582" s="196"/>
      <c r="P582" s="180"/>
      <c r="Q582" s="174"/>
      <c r="R582" s="206">
        <v>0</v>
      </c>
      <c r="S582" s="168"/>
      <c r="T582" s="138" t="s">
        <v>57</v>
      </c>
      <c r="U582" s="147" t="s">
        <v>37</v>
      </c>
      <c r="V582" s="129"/>
      <c r="W582" s="163" t="s">
        <v>54</v>
      </c>
      <c r="X582" s="215"/>
      <c r="Y582" s="216">
        <v>0</v>
      </c>
      <c r="Z582" s="216">
        <v>0</v>
      </c>
      <c r="AA582" s="263"/>
      <c r="AB582" s="155"/>
      <c r="AC582" s="212"/>
    </row>
    <row r="583" spans="1:29" s="182" customFormat="1" hidden="1" x14ac:dyDescent="0.25">
      <c r="A583" s="131">
        <v>1</v>
      </c>
      <c r="B583" s="136">
        <v>1205018</v>
      </c>
      <c r="C583" s="128" t="s">
        <v>567</v>
      </c>
      <c r="D583" s="127" t="s">
        <v>719</v>
      </c>
      <c r="E583" s="147" t="s">
        <v>38</v>
      </c>
      <c r="F583" s="138" t="s">
        <v>57</v>
      </c>
      <c r="G583" s="147" t="s">
        <v>34</v>
      </c>
      <c r="H583" s="191">
        <f t="shared" si="9"/>
        <v>0</v>
      </c>
      <c r="I583" s="225"/>
      <c r="J583" s="149"/>
      <c r="K583" s="147">
        <v>12</v>
      </c>
      <c r="L583" s="147">
        <v>1</v>
      </c>
      <c r="M583" s="147">
        <v>13</v>
      </c>
      <c r="N583" s="289"/>
      <c r="O583" s="196"/>
      <c r="P583" s="180"/>
      <c r="Q583" s="174"/>
      <c r="R583" s="206">
        <v>0</v>
      </c>
      <c r="S583" s="168"/>
      <c r="T583" s="138" t="s">
        <v>57</v>
      </c>
      <c r="U583" s="147" t="s">
        <v>37</v>
      </c>
      <c r="V583" s="129"/>
      <c r="W583" s="163" t="s">
        <v>54</v>
      </c>
      <c r="X583" s="215"/>
      <c r="Y583" s="216">
        <v>0</v>
      </c>
      <c r="Z583" s="216">
        <v>0</v>
      </c>
      <c r="AA583" s="263"/>
      <c r="AB583" s="155"/>
      <c r="AC583" s="212"/>
    </row>
    <row r="584" spans="1:29" s="182" customFormat="1" hidden="1" x14ac:dyDescent="0.25">
      <c r="A584" s="131">
        <v>1</v>
      </c>
      <c r="B584" s="136">
        <v>1205019</v>
      </c>
      <c r="C584" s="128" t="s">
        <v>567</v>
      </c>
      <c r="D584" s="127" t="s">
        <v>720</v>
      </c>
      <c r="E584" s="147" t="s">
        <v>38</v>
      </c>
      <c r="F584" s="138" t="s">
        <v>57</v>
      </c>
      <c r="G584" s="147" t="s">
        <v>34</v>
      </c>
      <c r="H584" s="191">
        <f t="shared" si="9"/>
        <v>0</v>
      </c>
      <c r="I584" s="225"/>
      <c r="J584" s="149"/>
      <c r="K584" s="147">
        <v>12</v>
      </c>
      <c r="L584" s="147">
        <v>1</v>
      </c>
      <c r="M584" s="147">
        <v>13</v>
      </c>
      <c r="N584" s="289"/>
      <c r="O584" s="196"/>
      <c r="P584" s="180"/>
      <c r="Q584" s="174"/>
      <c r="R584" s="206">
        <v>0</v>
      </c>
      <c r="S584" s="168"/>
      <c r="T584" s="138" t="s">
        <v>57</v>
      </c>
      <c r="U584" s="147" t="s">
        <v>37</v>
      </c>
      <c r="V584" s="129"/>
      <c r="W584" s="163" t="s">
        <v>54</v>
      </c>
      <c r="X584" s="215"/>
      <c r="Y584" s="216">
        <v>0</v>
      </c>
      <c r="Z584" s="216">
        <v>0</v>
      </c>
      <c r="AA584" s="263"/>
      <c r="AB584" s="155"/>
      <c r="AC584" s="212"/>
    </row>
    <row r="585" spans="1:29" s="182" customFormat="1" hidden="1" x14ac:dyDescent="0.25">
      <c r="A585" s="131">
        <v>1</v>
      </c>
      <c r="B585" s="136">
        <v>1205020</v>
      </c>
      <c r="C585" s="128" t="s">
        <v>567</v>
      </c>
      <c r="D585" s="127" t="s">
        <v>721</v>
      </c>
      <c r="E585" s="147" t="s">
        <v>38</v>
      </c>
      <c r="F585" s="138" t="s">
        <v>57</v>
      </c>
      <c r="G585" s="147" t="s">
        <v>34</v>
      </c>
      <c r="H585" s="191">
        <f t="shared" si="9"/>
        <v>0</v>
      </c>
      <c r="I585" s="225"/>
      <c r="J585" s="149"/>
      <c r="K585" s="147">
        <v>12</v>
      </c>
      <c r="L585" s="147">
        <v>1</v>
      </c>
      <c r="M585" s="147">
        <v>13</v>
      </c>
      <c r="N585" s="289"/>
      <c r="O585" s="196"/>
      <c r="P585" s="180"/>
      <c r="Q585" s="174"/>
      <c r="R585" s="206">
        <v>0</v>
      </c>
      <c r="S585" s="168"/>
      <c r="T585" s="129" t="s">
        <v>55</v>
      </c>
      <c r="U585" s="147" t="s">
        <v>37</v>
      </c>
      <c r="V585" s="129"/>
      <c r="W585" s="163" t="s">
        <v>54</v>
      </c>
      <c r="X585" s="215"/>
      <c r="Y585" s="216">
        <v>0</v>
      </c>
      <c r="Z585" s="216">
        <v>0</v>
      </c>
      <c r="AA585" s="263"/>
      <c r="AB585" s="155"/>
      <c r="AC585" s="212"/>
    </row>
    <row r="586" spans="1:29" s="182" customFormat="1" hidden="1" x14ac:dyDescent="0.25">
      <c r="A586" s="131">
        <v>1</v>
      </c>
      <c r="B586" s="136">
        <v>1205021</v>
      </c>
      <c r="C586" s="128" t="s">
        <v>567</v>
      </c>
      <c r="D586" s="127" t="s">
        <v>722</v>
      </c>
      <c r="E586" s="147" t="s">
        <v>38</v>
      </c>
      <c r="F586" s="138" t="s">
        <v>57</v>
      </c>
      <c r="G586" s="147" t="s">
        <v>34</v>
      </c>
      <c r="H586" s="191">
        <f t="shared" si="9"/>
        <v>0</v>
      </c>
      <c r="I586" s="225"/>
      <c r="J586" s="149"/>
      <c r="K586" s="147">
        <v>12</v>
      </c>
      <c r="L586" s="147">
        <v>1</v>
      </c>
      <c r="M586" s="147">
        <v>13</v>
      </c>
      <c r="N586" s="289"/>
      <c r="O586" s="196"/>
      <c r="P586" s="180"/>
      <c r="Q586" s="174"/>
      <c r="R586" s="206">
        <v>0</v>
      </c>
      <c r="S586" s="168"/>
      <c r="T586" s="129" t="s">
        <v>55</v>
      </c>
      <c r="U586" s="147" t="s">
        <v>37</v>
      </c>
      <c r="V586" s="129"/>
      <c r="W586" s="163" t="s">
        <v>54</v>
      </c>
      <c r="X586" s="215"/>
      <c r="Y586" s="216">
        <v>0</v>
      </c>
      <c r="Z586" s="216">
        <v>0</v>
      </c>
      <c r="AA586" s="263"/>
      <c r="AB586" s="155"/>
      <c r="AC586" s="212"/>
    </row>
    <row r="587" spans="1:29" s="182" customFormat="1" hidden="1" x14ac:dyDescent="0.25">
      <c r="A587" s="131">
        <v>1</v>
      </c>
      <c r="B587" s="136">
        <v>1205022</v>
      </c>
      <c r="C587" s="128" t="s">
        <v>567</v>
      </c>
      <c r="D587" s="127" t="s">
        <v>723</v>
      </c>
      <c r="E587" s="147" t="s">
        <v>38</v>
      </c>
      <c r="F587" s="138" t="s">
        <v>57</v>
      </c>
      <c r="G587" s="147" t="s">
        <v>34</v>
      </c>
      <c r="H587" s="191">
        <f t="shared" si="9"/>
        <v>0</v>
      </c>
      <c r="I587" s="225"/>
      <c r="J587" s="149"/>
      <c r="K587" s="147">
        <v>12</v>
      </c>
      <c r="L587" s="147">
        <v>1</v>
      </c>
      <c r="M587" s="147">
        <v>13</v>
      </c>
      <c r="N587" s="289"/>
      <c r="O587" s="196"/>
      <c r="P587" s="180"/>
      <c r="Q587" s="174"/>
      <c r="R587" s="206">
        <v>0</v>
      </c>
      <c r="S587" s="168"/>
      <c r="T587" s="138" t="s">
        <v>57</v>
      </c>
      <c r="U587" s="147" t="s">
        <v>37</v>
      </c>
      <c r="V587" s="129"/>
      <c r="W587" s="163" t="s">
        <v>54</v>
      </c>
      <c r="X587" s="215"/>
      <c r="Y587" s="216">
        <v>0</v>
      </c>
      <c r="Z587" s="216">
        <v>0</v>
      </c>
      <c r="AA587" s="263"/>
      <c r="AB587" s="155"/>
      <c r="AC587" s="212"/>
    </row>
    <row r="588" spans="1:29" hidden="1" x14ac:dyDescent="0.25">
      <c r="A588" s="131">
        <v>1</v>
      </c>
      <c r="B588" s="136">
        <v>1205026</v>
      </c>
      <c r="C588" s="128" t="s">
        <v>567</v>
      </c>
      <c r="D588" s="127" t="s">
        <v>724</v>
      </c>
      <c r="E588" s="147" t="s">
        <v>38</v>
      </c>
      <c r="F588" s="138" t="s">
        <v>57</v>
      </c>
      <c r="G588" s="147" t="s">
        <v>34</v>
      </c>
      <c r="H588" s="191">
        <f t="shared" si="9"/>
        <v>0</v>
      </c>
      <c r="I588" s="225"/>
      <c r="J588" s="149"/>
      <c r="K588" s="147">
        <v>12</v>
      </c>
      <c r="L588" s="147">
        <v>1</v>
      </c>
      <c r="M588" s="147">
        <v>13</v>
      </c>
      <c r="N588" s="289"/>
      <c r="O588" s="196"/>
      <c r="P588" s="180"/>
      <c r="Q588" s="174"/>
      <c r="R588" s="206">
        <v>0</v>
      </c>
      <c r="S588" s="168"/>
      <c r="T588" s="129" t="s">
        <v>55</v>
      </c>
      <c r="U588" s="147" t="s">
        <v>37</v>
      </c>
      <c r="V588" s="129"/>
      <c r="W588" s="163" t="s">
        <v>54</v>
      </c>
      <c r="X588" s="215"/>
      <c r="Y588" s="216">
        <v>0</v>
      </c>
      <c r="Z588" s="216">
        <v>0</v>
      </c>
      <c r="AA588" s="263"/>
      <c r="AB588" s="155"/>
      <c r="AC588" s="212"/>
    </row>
    <row r="589" spans="1:29" hidden="1" x14ac:dyDescent="0.25">
      <c r="A589" s="131">
        <v>1</v>
      </c>
      <c r="B589" s="136">
        <v>1205027</v>
      </c>
      <c r="C589" s="128" t="s">
        <v>567</v>
      </c>
      <c r="D589" s="127" t="s">
        <v>725</v>
      </c>
      <c r="E589" s="147" t="s">
        <v>38</v>
      </c>
      <c r="F589" s="138" t="s">
        <v>57</v>
      </c>
      <c r="G589" s="147" t="s">
        <v>34</v>
      </c>
      <c r="H589" s="191">
        <f t="shared" si="9"/>
        <v>0</v>
      </c>
      <c r="I589" s="225"/>
      <c r="J589" s="149"/>
      <c r="K589" s="147">
        <v>12</v>
      </c>
      <c r="L589" s="147">
        <v>1</v>
      </c>
      <c r="M589" s="147">
        <v>13</v>
      </c>
      <c r="N589" s="289"/>
      <c r="O589" s="196"/>
      <c r="P589" s="180"/>
      <c r="Q589" s="174"/>
      <c r="R589" s="206">
        <v>0</v>
      </c>
      <c r="S589" s="168"/>
      <c r="T589" s="129" t="s">
        <v>55</v>
      </c>
      <c r="U589" s="147" t="s">
        <v>37</v>
      </c>
      <c r="V589" s="129"/>
      <c r="W589" s="163" t="s">
        <v>54</v>
      </c>
      <c r="X589" s="215"/>
      <c r="Y589" s="216">
        <v>0</v>
      </c>
      <c r="Z589" s="216">
        <v>0</v>
      </c>
      <c r="AA589" s="263"/>
      <c r="AB589" s="155"/>
      <c r="AC589" s="212"/>
    </row>
    <row r="590" spans="1:29" hidden="1" x14ac:dyDescent="0.25">
      <c r="A590" s="131">
        <v>1</v>
      </c>
      <c r="B590" s="136">
        <v>1205028</v>
      </c>
      <c r="C590" s="128" t="s">
        <v>567</v>
      </c>
      <c r="D590" s="127" t="s">
        <v>726</v>
      </c>
      <c r="E590" s="147" t="s">
        <v>38</v>
      </c>
      <c r="F590" s="138" t="s">
        <v>57</v>
      </c>
      <c r="G590" s="147" t="s">
        <v>34</v>
      </c>
      <c r="H590" s="191">
        <f t="shared" si="9"/>
        <v>0</v>
      </c>
      <c r="I590" s="225"/>
      <c r="J590" s="149"/>
      <c r="K590" s="147">
        <v>12</v>
      </c>
      <c r="L590" s="147">
        <v>1</v>
      </c>
      <c r="M590" s="147">
        <v>13</v>
      </c>
      <c r="N590" s="289"/>
      <c r="O590" s="196"/>
      <c r="P590" s="180"/>
      <c r="Q590" s="174"/>
      <c r="R590" s="206">
        <v>0</v>
      </c>
      <c r="S590" s="168"/>
      <c r="T590" s="129" t="s">
        <v>55</v>
      </c>
      <c r="U590" s="147" t="s">
        <v>37</v>
      </c>
      <c r="V590" s="129"/>
      <c r="W590" s="163" t="s">
        <v>54</v>
      </c>
      <c r="X590" s="215"/>
      <c r="Y590" s="216">
        <v>0</v>
      </c>
      <c r="Z590" s="216">
        <v>0</v>
      </c>
      <c r="AA590" s="263"/>
      <c r="AB590" s="155"/>
      <c r="AC590" s="212"/>
    </row>
    <row r="591" spans="1:29" hidden="1" x14ac:dyDescent="0.25">
      <c r="A591" s="131">
        <v>1</v>
      </c>
      <c r="B591" s="136">
        <v>1205031</v>
      </c>
      <c r="C591" s="128" t="s">
        <v>567</v>
      </c>
      <c r="D591" s="127" t="s">
        <v>727</v>
      </c>
      <c r="E591" s="147" t="s">
        <v>38</v>
      </c>
      <c r="F591" s="138" t="s">
        <v>57</v>
      </c>
      <c r="G591" s="147" t="s">
        <v>34</v>
      </c>
      <c r="H591" s="191">
        <f t="shared" si="9"/>
        <v>0</v>
      </c>
      <c r="I591" s="225"/>
      <c r="J591" s="149"/>
      <c r="K591" s="147">
        <v>12</v>
      </c>
      <c r="L591" s="147">
        <v>1</v>
      </c>
      <c r="M591" s="147">
        <v>13</v>
      </c>
      <c r="N591" s="289"/>
      <c r="O591" s="196"/>
      <c r="P591" s="180"/>
      <c r="Q591" s="174"/>
      <c r="R591" s="206">
        <v>0</v>
      </c>
      <c r="S591" s="168"/>
      <c r="T591" s="129" t="s">
        <v>55</v>
      </c>
      <c r="U591" s="147" t="s">
        <v>37</v>
      </c>
      <c r="V591" s="129"/>
      <c r="W591" s="163" t="s">
        <v>54</v>
      </c>
      <c r="X591" s="215"/>
      <c r="Y591" s="216">
        <v>0</v>
      </c>
      <c r="Z591" s="216">
        <v>0</v>
      </c>
      <c r="AA591" s="263"/>
      <c r="AB591" s="155"/>
      <c r="AC591" s="212"/>
    </row>
    <row r="592" spans="1:29" hidden="1" x14ac:dyDescent="0.25">
      <c r="A592" s="131">
        <v>1</v>
      </c>
      <c r="B592" s="136">
        <v>1205032</v>
      </c>
      <c r="C592" s="128" t="s">
        <v>567</v>
      </c>
      <c r="D592" s="127" t="s">
        <v>728</v>
      </c>
      <c r="E592" s="147" t="s">
        <v>38</v>
      </c>
      <c r="F592" s="138" t="s">
        <v>57</v>
      </c>
      <c r="G592" s="147" t="s">
        <v>34</v>
      </c>
      <c r="H592" s="191">
        <f t="shared" si="9"/>
        <v>0</v>
      </c>
      <c r="I592" s="225"/>
      <c r="J592" s="149"/>
      <c r="K592" s="147">
        <v>12</v>
      </c>
      <c r="L592" s="147">
        <v>1</v>
      </c>
      <c r="M592" s="147">
        <v>13</v>
      </c>
      <c r="N592" s="289"/>
      <c r="O592" s="196"/>
      <c r="P592" s="180"/>
      <c r="Q592" s="174"/>
      <c r="R592" s="206">
        <v>0</v>
      </c>
      <c r="S592" s="168"/>
      <c r="T592" s="138" t="s">
        <v>57</v>
      </c>
      <c r="U592" s="147" t="s">
        <v>37</v>
      </c>
      <c r="V592" s="129"/>
      <c r="W592" s="163" t="s">
        <v>54</v>
      </c>
      <c r="X592" s="215"/>
      <c r="Y592" s="216">
        <v>0</v>
      </c>
      <c r="Z592" s="216">
        <v>0</v>
      </c>
      <c r="AA592" s="263"/>
      <c r="AB592" s="155"/>
      <c r="AC592" s="212"/>
    </row>
    <row r="593" spans="1:29" hidden="1" x14ac:dyDescent="0.25">
      <c r="A593" s="131">
        <v>1</v>
      </c>
      <c r="B593" s="136">
        <v>1205036</v>
      </c>
      <c r="C593" s="128" t="s">
        <v>567</v>
      </c>
      <c r="D593" s="127" t="s">
        <v>729</v>
      </c>
      <c r="E593" s="147" t="s">
        <v>38</v>
      </c>
      <c r="F593" s="138" t="s">
        <v>57</v>
      </c>
      <c r="G593" s="147" t="s">
        <v>34</v>
      </c>
      <c r="H593" s="191">
        <f t="shared" si="9"/>
        <v>0</v>
      </c>
      <c r="I593" s="225"/>
      <c r="J593" s="149"/>
      <c r="K593" s="147">
        <v>12</v>
      </c>
      <c r="L593" s="147">
        <v>1</v>
      </c>
      <c r="M593" s="147">
        <v>13</v>
      </c>
      <c r="N593" s="289"/>
      <c r="O593" s="196"/>
      <c r="P593" s="180"/>
      <c r="Q593" s="174"/>
      <c r="R593" s="206">
        <v>0</v>
      </c>
      <c r="S593" s="168"/>
      <c r="T593" s="129" t="s">
        <v>55</v>
      </c>
      <c r="U593" s="147" t="s">
        <v>37</v>
      </c>
      <c r="V593" s="129"/>
      <c r="W593" s="163" t="s">
        <v>54</v>
      </c>
      <c r="X593" s="215"/>
      <c r="Y593" s="216">
        <v>0</v>
      </c>
      <c r="Z593" s="216">
        <v>0</v>
      </c>
      <c r="AA593" s="263"/>
      <c r="AB593" s="155"/>
      <c r="AC593" s="212"/>
    </row>
    <row r="594" spans="1:29" s="182" customFormat="1" hidden="1" x14ac:dyDescent="0.25">
      <c r="A594" s="131">
        <v>1</v>
      </c>
      <c r="B594" s="136">
        <v>1205037</v>
      </c>
      <c r="C594" s="128" t="s">
        <v>567</v>
      </c>
      <c r="D594" s="127" t="s">
        <v>730</v>
      </c>
      <c r="E594" s="147" t="s">
        <v>38</v>
      </c>
      <c r="F594" s="138" t="s">
        <v>57</v>
      </c>
      <c r="G594" s="147" t="s">
        <v>34</v>
      </c>
      <c r="H594" s="191">
        <f t="shared" si="9"/>
        <v>0</v>
      </c>
      <c r="I594" s="225"/>
      <c r="J594" s="149"/>
      <c r="K594" s="147">
        <v>12</v>
      </c>
      <c r="L594" s="147">
        <v>1</v>
      </c>
      <c r="M594" s="147">
        <v>13</v>
      </c>
      <c r="N594" s="289"/>
      <c r="O594" s="196"/>
      <c r="P594" s="180"/>
      <c r="Q594" s="174"/>
      <c r="R594" s="206">
        <v>0</v>
      </c>
      <c r="S594" s="168"/>
      <c r="T594" s="129" t="s">
        <v>55</v>
      </c>
      <c r="U594" s="147" t="s">
        <v>37</v>
      </c>
      <c r="V594" s="129"/>
      <c r="W594" s="163" t="s">
        <v>54</v>
      </c>
      <c r="X594" s="215"/>
      <c r="Y594" s="216">
        <v>0</v>
      </c>
      <c r="Z594" s="216">
        <v>0</v>
      </c>
      <c r="AA594" s="263"/>
      <c r="AB594" s="155"/>
      <c r="AC594" s="212"/>
    </row>
    <row r="595" spans="1:29" hidden="1" x14ac:dyDescent="0.25">
      <c r="A595" s="131">
        <v>1</v>
      </c>
      <c r="B595" s="136">
        <v>1205038</v>
      </c>
      <c r="C595" s="128" t="s">
        <v>567</v>
      </c>
      <c r="D595" s="127" t="s">
        <v>731</v>
      </c>
      <c r="E595" s="147" t="s">
        <v>38</v>
      </c>
      <c r="F595" s="129" t="s">
        <v>55</v>
      </c>
      <c r="G595" s="147" t="s">
        <v>34</v>
      </c>
      <c r="H595" s="191">
        <f t="shared" si="9"/>
        <v>0</v>
      </c>
      <c r="I595" s="225"/>
      <c r="J595" s="148">
        <v>30</v>
      </c>
      <c r="K595" s="147"/>
      <c r="L595" s="147"/>
      <c r="M595" s="147">
        <v>1</v>
      </c>
      <c r="N595" s="289"/>
      <c r="O595" s="196"/>
      <c r="P595" s="180"/>
      <c r="Q595" s="174"/>
      <c r="R595" s="206">
        <v>0</v>
      </c>
      <c r="S595" s="168"/>
      <c r="T595" s="129" t="s">
        <v>55</v>
      </c>
      <c r="U595" s="147" t="s">
        <v>37</v>
      </c>
      <c r="V595" s="129"/>
      <c r="W595" s="177" t="s">
        <v>2531</v>
      </c>
      <c r="X595" s="215"/>
      <c r="Y595" s="216">
        <v>0</v>
      </c>
      <c r="Z595" s="216">
        <v>0</v>
      </c>
      <c r="AA595" s="263"/>
      <c r="AB595" s="155"/>
      <c r="AC595" s="212"/>
    </row>
    <row r="596" spans="1:29" hidden="1" x14ac:dyDescent="0.25">
      <c r="A596" s="131">
        <v>1</v>
      </c>
      <c r="B596" s="136">
        <v>1205039</v>
      </c>
      <c r="C596" s="128" t="s">
        <v>567</v>
      </c>
      <c r="D596" s="127" t="s">
        <v>732</v>
      </c>
      <c r="E596" s="147" t="s">
        <v>38</v>
      </c>
      <c r="F596" s="138" t="s">
        <v>57</v>
      </c>
      <c r="G596" s="147" t="s">
        <v>34</v>
      </c>
      <c r="H596" s="191">
        <f t="shared" si="9"/>
        <v>0</v>
      </c>
      <c r="I596" s="225"/>
      <c r="J596" s="149"/>
      <c r="K596" s="147">
        <v>12</v>
      </c>
      <c r="L596" s="147">
        <v>1</v>
      </c>
      <c r="M596" s="147">
        <v>13</v>
      </c>
      <c r="N596" s="289"/>
      <c r="O596" s="196"/>
      <c r="P596" s="180"/>
      <c r="Q596" s="174"/>
      <c r="R596" s="206">
        <v>0</v>
      </c>
      <c r="S596" s="168"/>
      <c r="T596" s="138" t="s">
        <v>57</v>
      </c>
      <c r="U596" s="147" t="s">
        <v>37</v>
      </c>
      <c r="V596" s="129"/>
      <c r="W596" s="163" t="s">
        <v>54</v>
      </c>
      <c r="X596" s="215"/>
      <c r="Y596" s="216">
        <v>0</v>
      </c>
      <c r="Z596" s="216">
        <v>0</v>
      </c>
      <c r="AA596" s="263"/>
      <c r="AB596" s="155"/>
      <c r="AC596" s="212"/>
    </row>
    <row r="597" spans="1:29" hidden="1" x14ac:dyDescent="0.25">
      <c r="A597" s="131">
        <v>1</v>
      </c>
      <c r="B597" s="136">
        <v>1205040</v>
      </c>
      <c r="C597" s="128" t="s">
        <v>567</v>
      </c>
      <c r="D597" s="127" t="s">
        <v>733</v>
      </c>
      <c r="E597" s="147" t="s">
        <v>38</v>
      </c>
      <c r="F597" s="138" t="s">
        <v>57</v>
      </c>
      <c r="G597" s="147" t="s">
        <v>34</v>
      </c>
      <c r="H597" s="191">
        <f t="shared" si="9"/>
        <v>0</v>
      </c>
      <c r="I597" s="225"/>
      <c r="J597" s="149"/>
      <c r="K597" s="147">
        <v>12</v>
      </c>
      <c r="L597" s="147">
        <v>1</v>
      </c>
      <c r="M597" s="147">
        <v>13</v>
      </c>
      <c r="N597" s="289"/>
      <c r="O597" s="196"/>
      <c r="P597" s="180"/>
      <c r="Q597" s="174"/>
      <c r="R597" s="206">
        <v>0</v>
      </c>
      <c r="S597" s="168"/>
      <c r="T597" s="129" t="s">
        <v>55</v>
      </c>
      <c r="U597" s="147" t="s">
        <v>37</v>
      </c>
      <c r="V597" s="129"/>
      <c r="W597" s="163" t="s">
        <v>54</v>
      </c>
      <c r="X597" s="215"/>
      <c r="Y597" s="216">
        <v>0</v>
      </c>
      <c r="Z597" s="216">
        <v>0</v>
      </c>
      <c r="AA597" s="263"/>
      <c r="AB597" s="155"/>
      <c r="AC597" s="212"/>
    </row>
    <row r="598" spans="1:29" hidden="1" x14ac:dyDescent="0.25">
      <c r="A598" s="131">
        <v>1</v>
      </c>
      <c r="B598" s="136">
        <v>1205042</v>
      </c>
      <c r="C598" s="128" t="s">
        <v>567</v>
      </c>
      <c r="D598" s="127" t="s">
        <v>734</v>
      </c>
      <c r="E598" s="147" t="s">
        <v>38</v>
      </c>
      <c r="F598" s="138" t="s">
        <v>57</v>
      </c>
      <c r="G598" s="147" t="s">
        <v>34</v>
      </c>
      <c r="H598" s="191">
        <f t="shared" si="9"/>
        <v>0</v>
      </c>
      <c r="I598" s="225"/>
      <c r="J598" s="149"/>
      <c r="K598" s="147">
        <v>12</v>
      </c>
      <c r="L598" s="147">
        <v>1</v>
      </c>
      <c r="M598" s="147">
        <v>13</v>
      </c>
      <c r="N598" s="289"/>
      <c r="O598" s="196"/>
      <c r="P598" s="180"/>
      <c r="Q598" s="174"/>
      <c r="R598" s="206">
        <v>0</v>
      </c>
      <c r="S598" s="168"/>
      <c r="T598" s="129" t="s">
        <v>55</v>
      </c>
      <c r="U598" s="147" t="s">
        <v>37</v>
      </c>
      <c r="V598" s="129"/>
      <c r="W598" s="163" t="s">
        <v>54</v>
      </c>
      <c r="X598" s="215"/>
      <c r="Y598" s="216">
        <v>0</v>
      </c>
      <c r="Z598" s="216">
        <v>0</v>
      </c>
      <c r="AA598" s="263"/>
      <c r="AB598" s="155"/>
      <c r="AC598" s="212"/>
    </row>
    <row r="599" spans="1:29" hidden="1" x14ac:dyDescent="0.25">
      <c r="A599" s="131">
        <v>1</v>
      </c>
      <c r="B599" s="136">
        <v>1205048</v>
      </c>
      <c r="C599" s="128" t="s">
        <v>567</v>
      </c>
      <c r="D599" s="127" t="s">
        <v>735</v>
      </c>
      <c r="E599" s="147" t="s">
        <v>38</v>
      </c>
      <c r="F599" s="138" t="s">
        <v>57</v>
      </c>
      <c r="G599" s="147" t="s">
        <v>34</v>
      </c>
      <c r="H599" s="191">
        <f t="shared" si="9"/>
        <v>0</v>
      </c>
      <c r="I599" s="225"/>
      <c r="J599" s="149"/>
      <c r="K599" s="147">
        <v>12</v>
      </c>
      <c r="L599" s="147">
        <v>1</v>
      </c>
      <c r="M599" s="147">
        <v>13</v>
      </c>
      <c r="N599" s="289"/>
      <c r="O599" s="196"/>
      <c r="P599" s="180"/>
      <c r="Q599" s="174"/>
      <c r="R599" s="206">
        <v>0</v>
      </c>
      <c r="S599" s="168"/>
      <c r="T599" s="129" t="s">
        <v>55</v>
      </c>
      <c r="U599" s="147" t="s">
        <v>37</v>
      </c>
      <c r="V599" s="129"/>
      <c r="W599" s="163" t="s">
        <v>54</v>
      </c>
      <c r="X599" s="215"/>
      <c r="Y599" s="216">
        <v>0</v>
      </c>
      <c r="Z599" s="216">
        <v>0</v>
      </c>
      <c r="AA599" s="263"/>
      <c r="AB599" s="155"/>
      <c r="AC599" s="212"/>
    </row>
    <row r="600" spans="1:29" s="182" customFormat="1" hidden="1" x14ac:dyDescent="0.25">
      <c r="A600" s="131">
        <v>1</v>
      </c>
      <c r="B600" s="136">
        <v>1206001</v>
      </c>
      <c r="C600" s="128" t="s">
        <v>567</v>
      </c>
      <c r="D600" s="127" t="s">
        <v>736</v>
      </c>
      <c r="E600" s="147" t="s">
        <v>38</v>
      </c>
      <c r="F600" s="129" t="s">
        <v>684</v>
      </c>
      <c r="G600" s="147" t="s">
        <v>34</v>
      </c>
      <c r="H600" s="191">
        <f t="shared" si="9"/>
        <v>0</v>
      </c>
      <c r="I600" s="134" t="s">
        <v>2084</v>
      </c>
      <c r="J600" s="146">
        <v>0</v>
      </c>
      <c r="K600" s="147">
        <v>9</v>
      </c>
      <c r="L600" s="147">
        <v>1</v>
      </c>
      <c r="M600" s="147">
        <v>10</v>
      </c>
      <c r="N600" s="289"/>
      <c r="O600" s="196"/>
      <c r="P600" s="180"/>
      <c r="Q600" s="174"/>
      <c r="R600" s="206">
        <v>0</v>
      </c>
      <c r="S600" s="168"/>
      <c r="T600" s="129" t="s">
        <v>64</v>
      </c>
      <c r="U600" s="147" t="s">
        <v>37</v>
      </c>
      <c r="V600" s="129"/>
      <c r="W600" s="163" t="s">
        <v>54</v>
      </c>
      <c r="X600" s="215"/>
      <c r="Y600" s="216">
        <v>0</v>
      </c>
      <c r="Z600" s="216">
        <v>0</v>
      </c>
      <c r="AA600" s="263"/>
      <c r="AB600" s="305"/>
      <c r="AC600" s="214"/>
    </row>
    <row r="601" spans="1:29" hidden="1" x14ac:dyDescent="0.25">
      <c r="A601" s="131">
        <v>1</v>
      </c>
      <c r="B601" s="136">
        <v>1206002</v>
      </c>
      <c r="C601" s="128" t="s">
        <v>567</v>
      </c>
      <c r="D601" s="127" t="s">
        <v>737</v>
      </c>
      <c r="E601" s="147" t="s">
        <v>38</v>
      </c>
      <c r="F601" s="129" t="s">
        <v>684</v>
      </c>
      <c r="G601" s="147" t="s">
        <v>738</v>
      </c>
      <c r="H601" s="191">
        <f t="shared" si="9"/>
        <v>0</v>
      </c>
      <c r="I601" s="134" t="s">
        <v>2084</v>
      </c>
      <c r="J601" s="146">
        <v>0</v>
      </c>
      <c r="K601" s="147">
        <v>9</v>
      </c>
      <c r="L601" s="147">
        <v>1</v>
      </c>
      <c r="M601" s="147">
        <v>10</v>
      </c>
      <c r="N601" s="289"/>
      <c r="O601" s="196"/>
      <c r="P601" s="180"/>
      <c r="Q601" s="174"/>
      <c r="R601" s="206">
        <v>0</v>
      </c>
      <c r="S601" s="168"/>
      <c r="T601" s="129" t="s">
        <v>36</v>
      </c>
      <c r="U601" s="147" t="s">
        <v>37</v>
      </c>
      <c r="V601" s="129"/>
      <c r="W601" s="163" t="s">
        <v>54</v>
      </c>
      <c r="X601" s="215"/>
      <c r="Y601" s="216">
        <v>0</v>
      </c>
      <c r="Z601" s="216">
        <v>0</v>
      </c>
      <c r="AA601" s="263"/>
      <c r="AB601" s="305"/>
    </row>
    <row r="602" spans="1:29" x14ac:dyDescent="0.25">
      <c r="A602" s="131">
        <v>1</v>
      </c>
      <c r="B602" s="136">
        <v>1206003</v>
      </c>
      <c r="C602" s="128" t="s">
        <v>567</v>
      </c>
      <c r="D602" s="127" t="s">
        <v>739</v>
      </c>
      <c r="E602" s="147" t="s">
        <v>38</v>
      </c>
      <c r="F602" s="129" t="s">
        <v>684</v>
      </c>
      <c r="G602" s="147" t="s">
        <v>607</v>
      </c>
      <c r="H602" s="191">
        <f t="shared" si="9"/>
        <v>1302.05</v>
      </c>
      <c r="I602" s="222" t="s">
        <v>2084</v>
      </c>
      <c r="J602" s="146">
        <v>0</v>
      </c>
      <c r="K602" s="147">
        <v>9</v>
      </c>
      <c r="L602" s="147">
        <v>1</v>
      </c>
      <c r="M602" s="147">
        <v>10</v>
      </c>
      <c r="N602" s="289">
        <v>1</v>
      </c>
      <c r="O602" s="195"/>
      <c r="P602" s="180">
        <v>45315</v>
      </c>
      <c r="Q602" s="174">
        <v>1302</v>
      </c>
      <c r="R602" s="205">
        <v>0.05</v>
      </c>
      <c r="S602" s="165"/>
      <c r="T602" s="129" t="s">
        <v>36</v>
      </c>
      <c r="U602" s="147" t="s">
        <v>37</v>
      </c>
      <c r="V602" s="129"/>
      <c r="W602" s="147" t="s">
        <v>2213</v>
      </c>
      <c r="X602" s="215" t="s">
        <v>1921</v>
      </c>
      <c r="Y602" s="216">
        <v>0.625</v>
      </c>
      <c r="Z602" s="216">
        <v>0.9375</v>
      </c>
      <c r="AA602" s="263"/>
      <c r="AB602" s="305"/>
    </row>
    <row r="603" spans="1:29" hidden="1" x14ac:dyDescent="0.25">
      <c r="A603" s="131">
        <v>1</v>
      </c>
      <c r="B603" s="136">
        <v>1206004</v>
      </c>
      <c r="C603" s="128" t="s">
        <v>567</v>
      </c>
      <c r="D603" s="127" t="s">
        <v>740</v>
      </c>
      <c r="E603" s="147" t="s">
        <v>38</v>
      </c>
      <c r="F603" s="129" t="s">
        <v>584</v>
      </c>
      <c r="G603" s="147" t="s">
        <v>34</v>
      </c>
      <c r="H603" s="191">
        <f t="shared" si="9"/>
        <v>0</v>
      </c>
      <c r="I603" s="225"/>
      <c r="J603" s="149"/>
      <c r="K603" s="147">
        <v>11</v>
      </c>
      <c r="L603" s="147">
        <v>1</v>
      </c>
      <c r="M603" s="147">
        <v>12</v>
      </c>
      <c r="N603" s="289"/>
      <c r="O603" s="196"/>
      <c r="P603" s="180"/>
      <c r="Q603" s="174"/>
      <c r="R603" s="206">
        <v>0</v>
      </c>
      <c r="S603" s="168"/>
      <c r="T603" s="129" t="s">
        <v>64</v>
      </c>
      <c r="U603" s="147" t="s">
        <v>37</v>
      </c>
      <c r="V603" s="129"/>
      <c r="W603" s="163" t="s">
        <v>54</v>
      </c>
      <c r="X603" s="215"/>
      <c r="Y603" s="216">
        <v>0</v>
      </c>
      <c r="Z603" s="216">
        <v>0</v>
      </c>
      <c r="AA603" s="263"/>
      <c r="AB603" s="155"/>
      <c r="AC603" s="212"/>
    </row>
    <row r="604" spans="1:29" hidden="1" x14ac:dyDescent="0.25">
      <c r="A604" s="131">
        <v>1</v>
      </c>
      <c r="B604" s="136">
        <v>1206005</v>
      </c>
      <c r="C604" s="127" t="s">
        <v>589</v>
      </c>
      <c r="D604" s="127" t="s">
        <v>743</v>
      </c>
      <c r="E604" s="147" t="s">
        <v>38</v>
      </c>
      <c r="F604" s="129" t="s">
        <v>584</v>
      </c>
      <c r="G604" s="147" t="s">
        <v>34</v>
      </c>
      <c r="H604" s="191">
        <f t="shared" si="9"/>
        <v>0</v>
      </c>
      <c r="I604" s="225"/>
      <c r="J604" s="149"/>
      <c r="K604" s="147">
        <v>11</v>
      </c>
      <c r="L604" s="147">
        <v>1</v>
      </c>
      <c r="M604" s="147">
        <v>12</v>
      </c>
      <c r="N604" s="289"/>
      <c r="O604" s="196"/>
      <c r="P604" s="180"/>
      <c r="Q604" s="174"/>
      <c r="R604" s="206">
        <v>0</v>
      </c>
      <c r="S604" s="168"/>
      <c r="T604" s="129" t="s">
        <v>64</v>
      </c>
      <c r="U604" s="147" t="s">
        <v>37</v>
      </c>
      <c r="V604" s="129"/>
      <c r="W604" s="163" t="s">
        <v>54</v>
      </c>
      <c r="X604" s="215"/>
      <c r="Y604" s="216">
        <v>0</v>
      </c>
      <c r="Z604" s="216">
        <v>0</v>
      </c>
      <c r="AA604" s="263"/>
      <c r="AB604" s="155"/>
      <c r="AC604" s="212"/>
    </row>
    <row r="605" spans="1:29" hidden="1" x14ac:dyDescent="0.25">
      <c r="A605" s="131">
        <v>1</v>
      </c>
      <c r="B605" s="136">
        <v>1206006</v>
      </c>
      <c r="C605" s="128" t="s">
        <v>567</v>
      </c>
      <c r="D605" s="127" t="s">
        <v>741</v>
      </c>
      <c r="E605" s="147" t="s">
        <v>38</v>
      </c>
      <c r="F605" s="129" t="s">
        <v>742</v>
      </c>
      <c r="G605" s="147"/>
      <c r="H605" s="191">
        <f t="shared" si="9"/>
        <v>0</v>
      </c>
      <c r="I605" s="134"/>
      <c r="J605" s="150"/>
      <c r="K605" s="147">
        <v>11</v>
      </c>
      <c r="L605" s="147">
        <v>1</v>
      </c>
      <c r="M605" s="147">
        <v>12</v>
      </c>
      <c r="N605" s="289"/>
      <c r="O605" s="196"/>
      <c r="P605" s="180"/>
      <c r="Q605" s="174"/>
      <c r="R605" s="205"/>
      <c r="S605" s="168"/>
      <c r="T605" s="129"/>
      <c r="U605" s="147" t="s">
        <v>37</v>
      </c>
      <c r="V605" s="129"/>
      <c r="W605" s="147" t="s">
        <v>2214</v>
      </c>
      <c r="X605" s="215"/>
      <c r="Y605" s="216">
        <v>0</v>
      </c>
      <c r="Z605" s="216">
        <v>0</v>
      </c>
      <c r="AA605" s="263"/>
      <c r="AB605" s="155"/>
      <c r="AC605" s="212"/>
    </row>
    <row r="606" spans="1:29" s="182" customFormat="1" hidden="1" x14ac:dyDescent="0.25">
      <c r="A606" s="131">
        <v>1</v>
      </c>
      <c r="B606" s="136">
        <v>1206007</v>
      </c>
      <c r="C606" s="128" t="s">
        <v>567</v>
      </c>
      <c r="D606" s="127" t="s">
        <v>1555</v>
      </c>
      <c r="E606" s="147" t="s">
        <v>38</v>
      </c>
      <c r="F606" s="129" t="s">
        <v>577</v>
      </c>
      <c r="G606" s="147" t="s">
        <v>623</v>
      </c>
      <c r="H606" s="191">
        <f t="shared" si="9"/>
        <v>199.8</v>
      </c>
      <c r="I606" s="134"/>
      <c r="J606" s="150"/>
      <c r="K606" s="147"/>
      <c r="L606" s="147"/>
      <c r="M606" s="147">
        <v>14</v>
      </c>
      <c r="N606" s="289">
        <v>10</v>
      </c>
      <c r="O606" s="196"/>
      <c r="P606" s="180"/>
      <c r="Q606" s="174">
        <v>199.8</v>
      </c>
      <c r="R606" s="205">
        <v>0</v>
      </c>
      <c r="S606" s="168"/>
      <c r="T606" s="129" t="s">
        <v>284</v>
      </c>
      <c r="U606" s="147" t="s">
        <v>37</v>
      </c>
      <c r="V606" s="129"/>
      <c r="W606" s="177" t="s">
        <v>54</v>
      </c>
      <c r="X606" s="215"/>
      <c r="Y606" s="216">
        <v>0</v>
      </c>
      <c r="Z606" s="216">
        <v>0</v>
      </c>
      <c r="AA606" s="263"/>
      <c r="AB606" s="155"/>
      <c r="AC606" s="212"/>
    </row>
    <row r="607" spans="1:29" x14ac:dyDescent="0.25">
      <c r="A607" s="131">
        <v>1</v>
      </c>
      <c r="B607" s="136">
        <v>1206008</v>
      </c>
      <c r="C607" s="128" t="s">
        <v>567</v>
      </c>
      <c r="D607" s="127" t="s">
        <v>1614</v>
      </c>
      <c r="E607" s="147" t="s">
        <v>38</v>
      </c>
      <c r="F607" s="129" t="s">
        <v>1612</v>
      </c>
      <c r="G607" s="147" t="s">
        <v>607</v>
      </c>
      <c r="H607" s="191">
        <f t="shared" si="9"/>
        <v>325</v>
      </c>
      <c r="I607" s="134" t="s">
        <v>2084</v>
      </c>
      <c r="J607" s="146">
        <v>0</v>
      </c>
      <c r="K607" s="147">
        <v>1</v>
      </c>
      <c r="L607" s="147">
        <v>1</v>
      </c>
      <c r="M607" s="147">
        <v>2</v>
      </c>
      <c r="N607" s="289">
        <v>3</v>
      </c>
      <c r="O607" s="196"/>
      <c r="P607" s="180">
        <v>46148</v>
      </c>
      <c r="Q607" s="174">
        <v>250</v>
      </c>
      <c r="R607" s="205">
        <f>40+35</f>
        <v>75</v>
      </c>
      <c r="S607" s="168"/>
      <c r="T607" s="129" t="s">
        <v>36</v>
      </c>
      <c r="U607" s="147" t="s">
        <v>37</v>
      </c>
      <c r="V607" s="129"/>
      <c r="W607" s="147" t="s">
        <v>2213</v>
      </c>
      <c r="X607" s="215"/>
      <c r="Y607" s="216">
        <v>0</v>
      </c>
      <c r="Z607" s="216">
        <v>0</v>
      </c>
      <c r="AA607" s="263"/>
      <c r="AB607" s="155"/>
      <c r="AC607" s="212"/>
    </row>
    <row r="608" spans="1:29" x14ac:dyDescent="0.25">
      <c r="A608" s="131">
        <v>1</v>
      </c>
      <c r="B608" s="136">
        <v>1206020</v>
      </c>
      <c r="C608" s="127" t="s">
        <v>567</v>
      </c>
      <c r="D608" s="127" t="s">
        <v>744</v>
      </c>
      <c r="E608" s="147" t="s">
        <v>38</v>
      </c>
      <c r="F608" s="129" t="s">
        <v>684</v>
      </c>
      <c r="G608" s="147" t="s">
        <v>878</v>
      </c>
      <c r="H608" s="191">
        <f t="shared" si="9"/>
        <v>1606.05</v>
      </c>
      <c r="I608" s="222" t="s">
        <v>2084</v>
      </c>
      <c r="J608" s="146">
        <v>0</v>
      </c>
      <c r="K608" s="147">
        <v>9</v>
      </c>
      <c r="L608" s="147">
        <v>1</v>
      </c>
      <c r="M608" s="147">
        <v>10</v>
      </c>
      <c r="N608" s="289">
        <v>1</v>
      </c>
      <c r="O608" s="195"/>
      <c r="P608" s="180"/>
      <c r="Q608" s="174">
        <v>1606</v>
      </c>
      <c r="R608" s="205">
        <v>0.05</v>
      </c>
      <c r="S608" s="165"/>
      <c r="T608" s="129" t="s">
        <v>36</v>
      </c>
      <c r="U608" s="147" t="s">
        <v>37</v>
      </c>
      <c r="V608" s="129"/>
      <c r="W608" s="147" t="s">
        <v>2213</v>
      </c>
      <c r="X608" s="215" t="s">
        <v>1921</v>
      </c>
      <c r="Y608" s="216">
        <v>0.625</v>
      </c>
      <c r="Z608" s="216">
        <v>0.9375</v>
      </c>
      <c r="AA608" s="263"/>
      <c r="AB608" s="305"/>
    </row>
    <row r="609" spans="1:29" hidden="1" x14ac:dyDescent="0.25">
      <c r="A609" s="131">
        <v>1</v>
      </c>
      <c r="B609" s="136">
        <v>1206021</v>
      </c>
      <c r="C609" s="127" t="s">
        <v>567</v>
      </c>
      <c r="D609" s="127" t="s">
        <v>745</v>
      </c>
      <c r="E609" s="147" t="s">
        <v>38</v>
      </c>
      <c r="F609" s="138" t="s">
        <v>57</v>
      </c>
      <c r="G609" s="147" t="s">
        <v>607</v>
      </c>
      <c r="H609" s="191">
        <f t="shared" si="9"/>
        <v>0</v>
      </c>
      <c r="I609" s="225"/>
      <c r="J609" s="149"/>
      <c r="K609" s="147">
        <v>12</v>
      </c>
      <c r="L609" s="147">
        <v>1</v>
      </c>
      <c r="M609" s="147">
        <v>13</v>
      </c>
      <c r="N609" s="289"/>
      <c r="O609" s="196"/>
      <c r="P609" s="180"/>
      <c r="Q609" s="174"/>
      <c r="R609" s="206">
        <v>0</v>
      </c>
      <c r="S609" s="168"/>
      <c r="T609" s="138" t="s">
        <v>57</v>
      </c>
      <c r="U609" s="147" t="s">
        <v>37</v>
      </c>
      <c r="V609" s="129"/>
      <c r="W609" s="163" t="s">
        <v>54</v>
      </c>
      <c r="X609" s="215"/>
      <c r="Y609" s="216">
        <v>0</v>
      </c>
      <c r="Z609" s="216">
        <v>0</v>
      </c>
      <c r="AA609" s="263"/>
      <c r="AB609" s="155"/>
      <c r="AC609" s="212"/>
    </row>
    <row r="610" spans="1:29" hidden="1" x14ac:dyDescent="0.25">
      <c r="A610" s="131">
        <v>1</v>
      </c>
      <c r="B610" s="136">
        <v>1206022</v>
      </c>
      <c r="C610" s="127"/>
      <c r="D610" s="127" t="s">
        <v>747</v>
      </c>
      <c r="E610" s="147" t="s">
        <v>38</v>
      </c>
      <c r="F610" s="129" t="s">
        <v>648</v>
      </c>
      <c r="G610" s="147" t="s">
        <v>618</v>
      </c>
      <c r="H610" s="191">
        <f t="shared" si="9"/>
        <v>0</v>
      </c>
      <c r="I610" s="134"/>
      <c r="J610" s="150"/>
      <c r="K610" s="147"/>
      <c r="L610" s="147"/>
      <c r="M610" s="147">
        <v>2</v>
      </c>
      <c r="N610" s="289"/>
      <c r="O610" s="196"/>
      <c r="P610" s="180"/>
      <c r="Q610" s="174"/>
      <c r="R610" s="205"/>
      <c r="S610" s="168"/>
      <c r="T610" s="129"/>
      <c r="U610" s="147" t="s">
        <v>37</v>
      </c>
      <c r="V610" s="129"/>
      <c r="W610" s="147" t="s">
        <v>2214</v>
      </c>
      <c r="X610" s="215"/>
      <c r="Y610" s="216">
        <v>0</v>
      </c>
      <c r="Z610" s="216">
        <v>0</v>
      </c>
      <c r="AA610" s="263"/>
      <c r="AB610" s="155"/>
      <c r="AC610" s="212"/>
    </row>
    <row r="611" spans="1:29" s="182" customFormat="1" hidden="1" x14ac:dyDescent="0.25">
      <c r="A611" s="131">
        <v>1</v>
      </c>
      <c r="B611" s="136">
        <v>1207001</v>
      </c>
      <c r="C611" s="128" t="s">
        <v>657</v>
      </c>
      <c r="D611" s="127" t="s">
        <v>748</v>
      </c>
      <c r="E611" s="147" t="s">
        <v>38</v>
      </c>
      <c r="F611" s="129" t="s">
        <v>750</v>
      </c>
      <c r="G611" s="147" t="s">
        <v>34</v>
      </c>
      <c r="H611" s="191">
        <f t="shared" si="9"/>
        <v>16.05</v>
      </c>
      <c r="I611" s="225"/>
      <c r="J611" s="149"/>
      <c r="K611" s="147"/>
      <c r="L611" s="147"/>
      <c r="M611" s="147">
        <v>4</v>
      </c>
      <c r="N611" s="289">
        <v>55</v>
      </c>
      <c r="O611" s="196"/>
      <c r="P611" s="180"/>
      <c r="Q611" s="174">
        <v>16</v>
      </c>
      <c r="R611" s="284">
        <v>0.05</v>
      </c>
      <c r="S611" s="168"/>
      <c r="T611" s="129" t="s">
        <v>64</v>
      </c>
      <c r="U611" s="147" t="s">
        <v>37</v>
      </c>
      <c r="V611" s="129"/>
      <c r="W611" s="163" t="s">
        <v>54</v>
      </c>
      <c r="X611" s="215"/>
      <c r="Y611" s="216">
        <v>0</v>
      </c>
      <c r="Z611" s="216">
        <v>0</v>
      </c>
      <c r="AA611" s="263"/>
      <c r="AB611" s="155"/>
      <c r="AC611" s="212"/>
    </row>
    <row r="612" spans="1:29" s="182" customFormat="1" hidden="1" x14ac:dyDescent="0.25">
      <c r="A612" s="131">
        <v>1</v>
      </c>
      <c r="B612" s="136">
        <v>1207002</v>
      </c>
      <c r="C612" s="128" t="s">
        <v>657</v>
      </c>
      <c r="D612" s="127" t="s">
        <v>751</v>
      </c>
      <c r="E612" s="147" t="s">
        <v>38</v>
      </c>
      <c r="F612" s="129" t="s">
        <v>750</v>
      </c>
      <c r="G612" s="147" t="s">
        <v>34</v>
      </c>
      <c r="H612" s="191">
        <f t="shared" si="9"/>
        <v>16.05</v>
      </c>
      <c r="I612" s="225"/>
      <c r="J612" s="149"/>
      <c r="K612" s="147"/>
      <c r="L612" s="147"/>
      <c r="M612" s="147">
        <v>4</v>
      </c>
      <c r="N612" s="289">
        <v>55</v>
      </c>
      <c r="O612" s="196"/>
      <c r="P612" s="180"/>
      <c r="Q612" s="174">
        <v>16</v>
      </c>
      <c r="R612" s="284">
        <v>0.05</v>
      </c>
      <c r="S612" s="168"/>
      <c r="T612" s="129" t="s">
        <v>64</v>
      </c>
      <c r="U612" s="147" t="s">
        <v>37</v>
      </c>
      <c r="V612" s="129"/>
      <c r="W612" s="163" t="s">
        <v>54</v>
      </c>
      <c r="X612" s="215"/>
      <c r="Y612" s="216">
        <v>0</v>
      </c>
      <c r="Z612" s="216">
        <v>0</v>
      </c>
      <c r="AA612" s="263"/>
      <c r="AB612" s="155"/>
      <c r="AC612" s="212"/>
    </row>
    <row r="613" spans="1:29" s="182" customFormat="1" hidden="1" x14ac:dyDescent="0.25">
      <c r="A613" s="131">
        <v>1</v>
      </c>
      <c r="B613" s="136">
        <v>1207003</v>
      </c>
      <c r="C613" s="128" t="s">
        <v>657</v>
      </c>
      <c r="D613" s="127" t="s">
        <v>752</v>
      </c>
      <c r="E613" s="147" t="s">
        <v>38</v>
      </c>
      <c r="F613" s="129" t="s">
        <v>750</v>
      </c>
      <c r="G613" s="147" t="s">
        <v>34</v>
      </c>
      <c r="H613" s="191">
        <f t="shared" si="9"/>
        <v>16.05</v>
      </c>
      <c r="I613" s="225"/>
      <c r="J613" s="149"/>
      <c r="K613" s="147"/>
      <c r="L613" s="147"/>
      <c r="M613" s="147">
        <v>4</v>
      </c>
      <c r="N613" s="289">
        <v>55</v>
      </c>
      <c r="O613" s="196"/>
      <c r="P613" s="180"/>
      <c r="Q613" s="174">
        <v>16</v>
      </c>
      <c r="R613" s="284">
        <v>0.05</v>
      </c>
      <c r="S613" s="168"/>
      <c r="T613" s="129" t="s">
        <v>64</v>
      </c>
      <c r="U613" s="147" t="s">
        <v>37</v>
      </c>
      <c r="V613" s="129"/>
      <c r="W613" s="163" t="s">
        <v>54</v>
      </c>
      <c r="X613" s="215"/>
      <c r="Y613" s="216">
        <v>0</v>
      </c>
      <c r="Z613" s="216">
        <v>0</v>
      </c>
      <c r="AA613" s="263"/>
      <c r="AB613" s="155"/>
      <c r="AC613" s="212"/>
    </row>
    <row r="614" spans="1:29" s="182" customFormat="1" hidden="1" x14ac:dyDescent="0.25">
      <c r="A614" s="131">
        <v>1</v>
      </c>
      <c r="B614" s="136">
        <v>1207004</v>
      </c>
      <c r="C614" s="128" t="s">
        <v>657</v>
      </c>
      <c r="D614" s="127" t="s">
        <v>753</v>
      </c>
      <c r="E614" s="147" t="s">
        <v>38</v>
      </c>
      <c r="F614" s="129" t="s">
        <v>750</v>
      </c>
      <c r="G614" s="147" t="s">
        <v>34</v>
      </c>
      <c r="H614" s="191">
        <f t="shared" si="9"/>
        <v>16.05</v>
      </c>
      <c r="I614" s="225"/>
      <c r="J614" s="149"/>
      <c r="K614" s="147"/>
      <c r="L614" s="147"/>
      <c r="M614" s="147">
        <v>4</v>
      </c>
      <c r="N614" s="289">
        <v>55</v>
      </c>
      <c r="O614" s="196"/>
      <c r="P614" s="180"/>
      <c r="Q614" s="174">
        <v>16</v>
      </c>
      <c r="R614" s="284">
        <v>0.05</v>
      </c>
      <c r="S614" s="168"/>
      <c r="T614" s="129" t="s">
        <v>64</v>
      </c>
      <c r="U614" s="147" t="s">
        <v>37</v>
      </c>
      <c r="V614" s="129"/>
      <c r="W614" s="163" t="s">
        <v>54</v>
      </c>
      <c r="X614" s="215"/>
      <c r="Y614" s="216">
        <v>0</v>
      </c>
      <c r="Z614" s="216">
        <v>0</v>
      </c>
      <c r="AA614" s="263"/>
      <c r="AB614" s="155"/>
      <c r="AC614" s="212"/>
    </row>
    <row r="615" spans="1:29" hidden="1" x14ac:dyDescent="0.25">
      <c r="A615" s="131">
        <v>1</v>
      </c>
      <c r="B615" s="136">
        <v>1207005</v>
      </c>
      <c r="C615" s="128" t="s">
        <v>657</v>
      </c>
      <c r="D615" s="127" t="s">
        <v>754</v>
      </c>
      <c r="E615" s="147" t="s">
        <v>38</v>
      </c>
      <c r="F615" s="129" t="s">
        <v>750</v>
      </c>
      <c r="G615" s="147" t="s">
        <v>34</v>
      </c>
      <c r="H615" s="191">
        <f t="shared" si="9"/>
        <v>16.05</v>
      </c>
      <c r="I615" s="225"/>
      <c r="J615" s="149"/>
      <c r="K615" s="147"/>
      <c r="L615" s="147"/>
      <c r="M615" s="147">
        <v>4</v>
      </c>
      <c r="N615" s="289">
        <v>55</v>
      </c>
      <c r="O615" s="196"/>
      <c r="P615" s="180"/>
      <c r="Q615" s="174">
        <v>16</v>
      </c>
      <c r="R615" s="284">
        <v>0.05</v>
      </c>
      <c r="S615" s="168"/>
      <c r="T615" s="129" t="s">
        <v>64</v>
      </c>
      <c r="U615" s="147" t="s">
        <v>37</v>
      </c>
      <c r="V615" s="129"/>
      <c r="W615" s="163" t="s">
        <v>54</v>
      </c>
      <c r="X615" s="215"/>
      <c r="Y615" s="216">
        <v>0</v>
      </c>
      <c r="Z615" s="216">
        <v>0</v>
      </c>
      <c r="AA615" s="263"/>
      <c r="AB615" s="155"/>
      <c r="AC615" s="212"/>
    </row>
    <row r="616" spans="1:29" ht="36" hidden="1" x14ac:dyDescent="0.25">
      <c r="A616" s="131">
        <v>1</v>
      </c>
      <c r="B616" s="136">
        <v>1207006</v>
      </c>
      <c r="C616" s="128" t="s">
        <v>657</v>
      </c>
      <c r="D616" s="127" t="s">
        <v>755</v>
      </c>
      <c r="E616" s="147" t="s">
        <v>38</v>
      </c>
      <c r="F616" s="129" t="s">
        <v>1861</v>
      </c>
      <c r="G616" s="147" t="s">
        <v>34</v>
      </c>
      <c r="H616" s="191">
        <f t="shared" si="9"/>
        <v>22</v>
      </c>
      <c r="I616" s="222" t="s">
        <v>2234</v>
      </c>
      <c r="J616" s="148">
        <v>30</v>
      </c>
      <c r="K616" s="147">
        <v>5</v>
      </c>
      <c r="L616" s="147">
        <v>1</v>
      </c>
      <c r="M616" s="147">
        <v>6</v>
      </c>
      <c r="N616" s="289">
        <v>50</v>
      </c>
      <c r="O616" s="196"/>
      <c r="P616" s="180"/>
      <c r="Q616" s="174">
        <v>16</v>
      </c>
      <c r="R616" s="291">
        <f t="shared" ref="R616:R621" si="10">300/N616</f>
        <v>6</v>
      </c>
      <c r="S616" s="168"/>
      <c r="T616" s="129" t="s">
        <v>64</v>
      </c>
      <c r="U616" s="147" t="s">
        <v>37</v>
      </c>
      <c r="V616" s="129"/>
      <c r="W616" s="163" t="s">
        <v>54</v>
      </c>
      <c r="X616" s="215"/>
      <c r="Y616" s="216">
        <v>0</v>
      </c>
      <c r="Z616" s="216">
        <v>0</v>
      </c>
      <c r="AA616" s="263"/>
      <c r="AB616" s="305"/>
    </row>
    <row r="617" spans="1:29" ht="36" hidden="1" x14ac:dyDescent="0.25">
      <c r="A617" s="131">
        <v>1</v>
      </c>
      <c r="B617" s="136">
        <v>1207007</v>
      </c>
      <c r="C617" s="128" t="s">
        <v>657</v>
      </c>
      <c r="D617" s="127" t="s">
        <v>761</v>
      </c>
      <c r="E617" s="147" t="s">
        <v>38</v>
      </c>
      <c r="F617" s="129" t="s">
        <v>1861</v>
      </c>
      <c r="G617" s="147" t="s">
        <v>34</v>
      </c>
      <c r="H617" s="191">
        <f t="shared" si="9"/>
        <v>22</v>
      </c>
      <c r="I617" s="222" t="s">
        <v>2234</v>
      </c>
      <c r="J617" s="148">
        <v>30</v>
      </c>
      <c r="K617" s="147">
        <v>5</v>
      </c>
      <c r="L617" s="147">
        <v>1</v>
      </c>
      <c r="M617" s="147">
        <v>6</v>
      </c>
      <c r="N617" s="289">
        <v>50</v>
      </c>
      <c r="O617" s="196"/>
      <c r="P617" s="180"/>
      <c r="Q617" s="174">
        <v>16</v>
      </c>
      <c r="R617" s="291">
        <f t="shared" si="10"/>
        <v>6</v>
      </c>
      <c r="S617" s="168"/>
      <c r="T617" s="129" t="s">
        <v>64</v>
      </c>
      <c r="U617" s="147" t="s">
        <v>37</v>
      </c>
      <c r="V617" s="129"/>
      <c r="W617" s="163" t="s">
        <v>54</v>
      </c>
      <c r="X617" s="215"/>
      <c r="Y617" s="216">
        <v>0</v>
      </c>
      <c r="Z617" s="216">
        <v>0</v>
      </c>
      <c r="AA617" s="263"/>
      <c r="AB617" s="305"/>
    </row>
    <row r="618" spans="1:29" ht="36" hidden="1" x14ac:dyDescent="0.25">
      <c r="A618" s="131">
        <v>1</v>
      </c>
      <c r="B618" s="136">
        <v>1207008</v>
      </c>
      <c r="C618" s="128" t="s">
        <v>657</v>
      </c>
      <c r="D618" s="127" t="s">
        <v>762</v>
      </c>
      <c r="E618" s="147" t="s">
        <v>38</v>
      </c>
      <c r="F618" s="129" t="s">
        <v>1861</v>
      </c>
      <c r="G618" s="147" t="s">
        <v>34</v>
      </c>
      <c r="H618" s="191">
        <f t="shared" si="9"/>
        <v>22</v>
      </c>
      <c r="I618" s="222" t="s">
        <v>2234</v>
      </c>
      <c r="J618" s="148">
        <v>30</v>
      </c>
      <c r="K618" s="147">
        <v>5</v>
      </c>
      <c r="L618" s="147">
        <v>1</v>
      </c>
      <c r="M618" s="147">
        <v>6</v>
      </c>
      <c r="N618" s="289">
        <v>50</v>
      </c>
      <c r="O618" s="196"/>
      <c r="P618" s="180"/>
      <c r="Q618" s="174">
        <v>16</v>
      </c>
      <c r="R618" s="291">
        <f t="shared" si="10"/>
        <v>6</v>
      </c>
      <c r="S618" s="168"/>
      <c r="T618" s="129" t="s">
        <v>64</v>
      </c>
      <c r="U618" s="147" t="s">
        <v>37</v>
      </c>
      <c r="V618" s="129"/>
      <c r="W618" s="163" t="s">
        <v>54</v>
      </c>
      <c r="X618" s="215"/>
      <c r="Y618" s="216">
        <v>0</v>
      </c>
      <c r="Z618" s="216">
        <v>0</v>
      </c>
      <c r="AA618" s="263"/>
      <c r="AB618" s="305"/>
    </row>
    <row r="619" spans="1:29" ht="36" hidden="1" x14ac:dyDescent="0.25">
      <c r="A619" s="131">
        <v>1</v>
      </c>
      <c r="B619" s="136">
        <v>1207009</v>
      </c>
      <c r="C619" s="128" t="s">
        <v>657</v>
      </c>
      <c r="D619" s="127" t="s">
        <v>763</v>
      </c>
      <c r="E619" s="147" t="s">
        <v>38</v>
      </c>
      <c r="F619" s="129" t="s">
        <v>1861</v>
      </c>
      <c r="G619" s="147" t="s">
        <v>34</v>
      </c>
      <c r="H619" s="191">
        <f t="shared" si="9"/>
        <v>22</v>
      </c>
      <c r="I619" s="222" t="s">
        <v>2234</v>
      </c>
      <c r="J619" s="148">
        <v>30</v>
      </c>
      <c r="K619" s="147">
        <v>5</v>
      </c>
      <c r="L619" s="147">
        <v>1</v>
      </c>
      <c r="M619" s="147">
        <v>6</v>
      </c>
      <c r="N619" s="289">
        <v>50</v>
      </c>
      <c r="O619" s="196"/>
      <c r="P619" s="180"/>
      <c r="Q619" s="174">
        <v>16</v>
      </c>
      <c r="R619" s="291">
        <f t="shared" si="10"/>
        <v>6</v>
      </c>
      <c r="S619" s="168"/>
      <c r="T619" s="129" t="s">
        <v>64</v>
      </c>
      <c r="U619" s="147" t="s">
        <v>37</v>
      </c>
      <c r="V619" s="129"/>
      <c r="W619" s="163" t="s">
        <v>54</v>
      </c>
      <c r="X619" s="215"/>
      <c r="Y619" s="216">
        <v>0</v>
      </c>
      <c r="Z619" s="216">
        <v>0</v>
      </c>
      <c r="AA619" s="263"/>
      <c r="AB619" s="305"/>
    </row>
    <row r="620" spans="1:29" ht="36" hidden="1" x14ac:dyDescent="0.25">
      <c r="A620" s="131">
        <v>1</v>
      </c>
      <c r="B620" s="136">
        <v>1207010</v>
      </c>
      <c r="C620" s="128" t="s">
        <v>657</v>
      </c>
      <c r="D620" s="127" t="s">
        <v>764</v>
      </c>
      <c r="E620" s="147" t="s">
        <v>38</v>
      </c>
      <c r="F620" s="129" t="s">
        <v>1861</v>
      </c>
      <c r="G620" s="147" t="s">
        <v>34</v>
      </c>
      <c r="H620" s="191">
        <f t="shared" si="9"/>
        <v>22</v>
      </c>
      <c r="I620" s="222" t="s">
        <v>2234</v>
      </c>
      <c r="J620" s="148">
        <v>30</v>
      </c>
      <c r="K620" s="147">
        <v>5</v>
      </c>
      <c r="L620" s="147">
        <v>1</v>
      </c>
      <c r="M620" s="147">
        <v>6</v>
      </c>
      <c r="N620" s="289">
        <v>50</v>
      </c>
      <c r="O620" s="196"/>
      <c r="P620" s="180"/>
      <c r="Q620" s="174">
        <v>16</v>
      </c>
      <c r="R620" s="291">
        <f t="shared" si="10"/>
        <v>6</v>
      </c>
      <c r="S620" s="168"/>
      <c r="T620" s="129" t="s">
        <v>64</v>
      </c>
      <c r="U620" s="147" t="s">
        <v>37</v>
      </c>
      <c r="V620" s="129"/>
      <c r="W620" s="163" t="s">
        <v>54</v>
      </c>
      <c r="X620" s="215"/>
      <c r="Y620" s="216">
        <v>0</v>
      </c>
      <c r="Z620" s="216">
        <v>0</v>
      </c>
      <c r="AA620" s="263"/>
      <c r="AB620" s="305"/>
    </row>
    <row r="621" spans="1:29" ht="36" hidden="1" x14ac:dyDescent="0.25">
      <c r="A621" s="131">
        <v>1</v>
      </c>
      <c r="B621" s="136">
        <v>1207011</v>
      </c>
      <c r="C621" s="128" t="s">
        <v>657</v>
      </c>
      <c r="D621" s="127" t="s">
        <v>765</v>
      </c>
      <c r="E621" s="147" t="s">
        <v>38</v>
      </c>
      <c r="F621" s="129" t="s">
        <v>1861</v>
      </c>
      <c r="G621" s="147" t="s">
        <v>34</v>
      </c>
      <c r="H621" s="191">
        <f t="shared" si="9"/>
        <v>22</v>
      </c>
      <c r="I621" s="222" t="s">
        <v>2234</v>
      </c>
      <c r="J621" s="148">
        <v>30</v>
      </c>
      <c r="K621" s="147">
        <v>5</v>
      </c>
      <c r="L621" s="147">
        <v>1</v>
      </c>
      <c r="M621" s="147">
        <v>6</v>
      </c>
      <c r="N621" s="289">
        <v>50</v>
      </c>
      <c r="O621" s="196"/>
      <c r="P621" s="180"/>
      <c r="Q621" s="174">
        <v>16</v>
      </c>
      <c r="R621" s="291">
        <f t="shared" si="10"/>
        <v>6</v>
      </c>
      <c r="S621" s="168"/>
      <c r="T621" s="129" t="s">
        <v>64</v>
      </c>
      <c r="U621" s="147" t="s">
        <v>37</v>
      </c>
      <c r="V621" s="129"/>
      <c r="W621" s="163" t="s">
        <v>54</v>
      </c>
      <c r="X621" s="215"/>
      <c r="Y621" s="216">
        <v>0</v>
      </c>
      <c r="Z621" s="216">
        <v>0</v>
      </c>
      <c r="AA621" s="263"/>
      <c r="AB621" s="305"/>
    </row>
    <row r="622" spans="1:29" ht="24" hidden="1" x14ac:dyDescent="0.25">
      <c r="A622" s="131">
        <v>1</v>
      </c>
      <c r="B622" s="136">
        <v>1207012</v>
      </c>
      <c r="C622" s="128" t="s">
        <v>657</v>
      </c>
      <c r="D622" s="127" t="s">
        <v>766</v>
      </c>
      <c r="E622" s="147" t="s">
        <v>38</v>
      </c>
      <c r="F622" s="136" t="s">
        <v>1981</v>
      </c>
      <c r="G622" s="147" t="s">
        <v>34</v>
      </c>
      <c r="H622" s="191">
        <f t="shared" si="9"/>
        <v>16.05</v>
      </c>
      <c r="I622" s="222" t="s">
        <v>2228</v>
      </c>
      <c r="J622" s="149"/>
      <c r="K622" s="147">
        <v>11</v>
      </c>
      <c r="L622" s="147">
        <v>1</v>
      </c>
      <c r="M622" s="147">
        <v>12</v>
      </c>
      <c r="N622" s="289">
        <v>55</v>
      </c>
      <c r="O622" s="196"/>
      <c r="P622" s="180"/>
      <c r="Q622" s="174">
        <v>16</v>
      </c>
      <c r="R622" s="284">
        <v>0.05</v>
      </c>
      <c r="S622" s="168"/>
      <c r="T622" s="129" t="s">
        <v>292</v>
      </c>
      <c r="U622" s="147" t="s">
        <v>37</v>
      </c>
      <c r="V622" s="129"/>
      <c r="W622" s="163" t="s">
        <v>54</v>
      </c>
      <c r="X622" s="215"/>
      <c r="Y622" s="216">
        <v>0</v>
      </c>
      <c r="Z622" s="216">
        <v>0</v>
      </c>
      <c r="AA622" s="263"/>
      <c r="AB622" s="305"/>
    </row>
    <row r="623" spans="1:29" ht="24" hidden="1" x14ac:dyDescent="0.25">
      <c r="A623" s="131">
        <v>1</v>
      </c>
      <c r="B623" s="136">
        <v>1207013</v>
      </c>
      <c r="C623" s="128" t="s">
        <v>657</v>
      </c>
      <c r="D623" s="127" t="s">
        <v>767</v>
      </c>
      <c r="E623" s="147" t="s">
        <v>38</v>
      </c>
      <c r="F623" s="129" t="s">
        <v>1792</v>
      </c>
      <c r="G623" s="147" t="s">
        <v>34</v>
      </c>
      <c r="H623" s="191">
        <f t="shared" si="9"/>
        <v>7.62</v>
      </c>
      <c r="I623" s="222" t="s">
        <v>2228</v>
      </c>
      <c r="J623" s="146">
        <v>30</v>
      </c>
      <c r="K623" s="147">
        <v>7</v>
      </c>
      <c r="L623" s="147">
        <v>1</v>
      </c>
      <c r="M623" s="147">
        <v>8</v>
      </c>
      <c r="N623" s="289">
        <v>55</v>
      </c>
      <c r="O623" s="196"/>
      <c r="P623" s="180"/>
      <c r="Q623" s="174">
        <v>7.62</v>
      </c>
      <c r="R623" s="206">
        <v>0</v>
      </c>
      <c r="S623" s="165"/>
      <c r="T623" s="129" t="s">
        <v>36</v>
      </c>
      <c r="U623" s="147" t="s">
        <v>37</v>
      </c>
      <c r="V623" s="129"/>
      <c r="W623" s="147" t="s">
        <v>2214</v>
      </c>
      <c r="X623" s="215" t="s">
        <v>1906</v>
      </c>
      <c r="Y623" s="216">
        <v>0</v>
      </c>
      <c r="Z623" s="216">
        <v>0</v>
      </c>
      <c r="AA623" s="263"/>
      <c r="AB623" s="305"/>
    </row>
    <row r="624" spans="1:29" ht="36" hidden="1" x14ac:dyDescent="0.25">
      <c r="A624" s="131">
        <v>1</v>
      </c>
      <c r="B624" s="136">
        <v>1207014</v>
      </c>
      <c r="C624" s="128" t="s">
        <v>657</v>
      </c>
      <c r="D624" s="127" t="s">
        <v>772</v>
      </c>
      <c r="E624" s="147" t="s">
        <v>38</v>
      </c>
      <c r="F624" s="129" t="s">
        <v>1861</v>
      </c>
      <c r="G624" s="147" t="s">
        <v>34</v>
      </c>
      <c r="H624" s="191">
        <f t="shared" si="9"/>
        <v>22</v>
      </c>
      <c r="I624" s="222" t="s">
        <v>2234</v>
      </c>
      <c r="J624" s="148">
        <v>30</v>
      </c>
      <c r="K624" s="147">
        <v>5</v>
      </c>
      <c r="L624" s="147">
        <v>1</v>
      </c>
      <c r="M624" s="147">
        <v>6</v>
      </c>
      <c r="N624" s="289">
        <v>50</v>
      </c>
      <c r="O624" s="196"/>
      <c r="P624" s="180"/>
      <c r="Q624" s="174">
        <v>16</v>
      </c>
      <c r="R624" s="291">
        <f>300/N624</f>
        <v>6</v>
      </c>
      <c r="S624" s="168"/>
      <c r="T624" s="129" t="s">
        <v>64</v>
      </c>
      <c r="U624" s="147" t="s">
        <v>37</v>
      </c>
      <c r="V624" s="129"/>
      <c r="W624" s="163" t="s">
        <v>54</v>
      </c>
      <c r="X624" s="215"/>
      <c r="Y624" s="216">
        <v>0</v>
      </c>
      <c r="Z624" s="216">
        <v>0</v>
      </c>
      <c r="AA624" s="263"/>
      <c r="AB624" s="305"/>
    </row>
    <row r="625" spans="1:29" s="182" customFormat="1" ht="36" hidden="1" x14ac:dyDescent="0.25">
      <c r="A625" s="131">
        <v>1</v>
      </c>
      <c r="B625" s="136">
        <v>1207015</v>
      </c>
      <c r="C625" s="128" t="s">
        <v>657</v>
      </c>
      <c r="D625" s="127" t="s">
        <v>774</v>
      </c>
      <c r="E625" s="147" t="s">
        <v>38</v>
      </c>
      <c r="F625" s="129" t="s">
        <v>1861</v>
      </c>
      <c r="G625" s="147" t="s">
        <v>34</v>
      </c>
      <c r="H625" s="191">
        <f t="shared" si="9"/>
        <v>22</v>
      </c>
      <c r="I625" s="222" t="s">
        <v>2234</v>
      </c>
      <c r="J625" s="148">
        <v>30</v>
      </c>
      <c r="K625" s="147">
        <v>5</v>
      </c>
      <c r="L625" s="147">
        <v>1</v>
      </c>
      <c r="M625" s="147">
        <v>6</v>
      </c>
      <c r="N625" s="289">
        <v>50</v>
      </c>
      <c r="O625" s="196"/>
      <c r="P625" s="180"/>
      <c r="Q625" s="174">
        <v>16</v>
      </c>
      <c r="R625" s="291">
        <f>300/N625</f>
        <v>6</v>
      </c>
      <c r="S625" s="168"/>
      <c r="T625" s="129" t="s">
        <v>64</v>
      </c>
      <c r="U625" s="147" t="s">
        <v>37</v>
      </c>
      <c r="V625" s="129"/>
      <c r="W625" s="163" t="s">
        <v>54</v>
      </c>
      <c r="X625" s="215"/>
      <c r="Y625" s="216">
        <v>0</v>
      </c>
      <c r="Z625" s="216">
        <v>0</v>
      </c>
      <c r="AA625" s="263"/>
      <c r="AB625" s="305"/>
      <c r="AC625" s="214"/>
    </row>
    <row r="626" spans="1:29" s="182" customFormat="1" ht="36" hidden="1" x14ac:dyDescent="0.25">
      <c r="A626" s="131">
        <v>1</v>
      </c>
      <c r="B626" s="136">
        <v>1207016</v>
      </c>
      <c r="C626" s="128" t="s">
        <v>657</v>
      </c>
      <c r="D626" s="127" t="s">
        <v>775</v>
      </c>
      <c r="E626" s="147" t="s">
        <v>38</v>
      </c>
      <c r="F626" s="129" t="s">
        <v>1861</v>
      </c>
      <c r="G626" s="147" t="s">
        <v>34</v>
      </c>
      <c r="H626" s="191">
        <f t="shared" si="9"/>
        <v>22</v>
      </c>
      <c r="I626" s="222" t="s">
        <v>2234</v>
      </c>
      <c r="J626" s="148">
        <v>30</v>
      </c>
      <c r="K626" s="147">
        <v>5</v>
      </c>
      <c r="L626" s="147">
        <v>1</v>
      </c>
      <c r="M626" s="147">
        <v>6</v>
      </c>
      <c r="N626" s="289">
        <v>50</v>
      </c>
      <c r="O626" s="196"/>
      <c r="P626" s="180"/>
      <c r="Q626" s="174">
        <v>16</v>
      </c>
      <c r="R626" s="291">
        <f>300/N626</f>
        <v>6</v>
      </c>
      <c r="S626" s="168"/>
      <c r="T626" s="129" t="s">
        <v>64</v>
      </c>
      <c r="U626" s="147" t="s">
        <v>37</v>
      </c>
      <c r="V626" s="129"/>
      <c r="W626" s="163" t="s">
        <v>54</v>
      </c>
      <c r="X626" s="215"/>
      <c r="Y626" s="216">
        <v>0</v>
      </c>
      <c r="Z626" s="216">
        <v>0</v>
      </c>
      <c r="AA626" s="263"/>
      <c r="AB626" s="305"/>
      <c r="AC626" s="214"/>
    </row>
    <row r="627" spans="1:29" ht="36" hidden="1" x14ac:dyDescent="0.25">
      <c r="A627" s="131">
        <v>1</v>
      </c>
      <c r="B627" s="136">
        <v>1207017</v>
      </c>
      <c r="C627" s="128" t="s">
        <v>657</v>
      </c>
      <c r="D627" s="127" t="s">
        <v>777</v>
      </c>
      <c r="E627" s="147" t="s">
        <v>38</v>
      </c>
      <c r="F627" s="129" t="s">
        <v>1861</v>
      </c>
      <c r="G627" s="147" t="s">
        <v>34</v>
      </c>
      <c r="H627" s="191">
        <f t="shared" si="9"/>
        <v>22</v>
      </c>
      <c r="I627" s="222" t="s">
        <v>2234</v>
      </c>
      <c r="J627" s="148">
        <v>30</v>
      </c>
      <c r="K627" s="147">
        <v>5</v>
      </c>
      <c r="L627" s="147">
        <v>1</v>
      </c>
      <c r="M627" s="147">
        <v>6</v>
      </c>
      <c r="N627" s="289">
        <v>50</v>
      </c>
      <c r="O627" s="196"/>
      <c r="P627" s="180"/>
      <c r="Q627" s="174">
        <v>16</v>
      </c>
      <c r="R627" s="291">
        <f>300/N627</f>
        <v>6</v>
      </c>
      <c r="S627" s="168"/>
      <c r="T627" s="129" t="s">
        <v>64</v>
      </c>
      <c r="U627" s="147" t="s">
        <v>37</v>
      </c>
      <c r="V627" s="129"/>
      <c r="W627" s="163" t="s">
        <v>54</v>
      </c>
      <c r="X627" s="215"/>
      <c r="Y627" s="216">
        <v>0</v>
      </c>
      <c r="Z627" s="216">
        <v>0</v>
      </c>
      <c r="AA627" s="263"/>
      <c r="AB627" s="305"/>
    </row>
    <row r="628" spans="1:29" ht="24" hidden="1" x14ac:dyDescent="0.25">
      <c r="A628" s="131">
        <v>1</v>
      </c>
      <c r="B628" s="136">
        <v>1207018</v>
      </c>
      <c r="C628" s="128" t="s">
        <v>657</v>
      </c>
      <c r="D628" s="127" t="s">
        <v>778</v>
      </c>
      <c r="E628" s="147" t="s">
        <v>38</v>
      </c>
      <c r="F628" s="136" t="s">
        <v>1981</v>
      </c>
      <c r="G628" s="147" t="s">
        <v>34</v>
      </c>
      <c r="H628" s="191">
        <f t="shared" si="9"/>
        <v>16.05</v>
      </c>
      <c r="I628" s="222" t="s">
        <v>2228</v>
      </c>
      <c r="J628" s="150"/>
      <c r="K628" s="147"/>
      <c r="L628" s="147"/>
      <c r="M628" s="147">
        <v>10</v>
      </c>
      <c r="N628" s="289">
        <v>55</v>
      </c>
      <c r="O628" s="196"/>
      <c r="P628" s="180"/>
      <c r="Q628" s="174">
        <v>16</v>
      </c>
      <c r="R628" s="284">
        <v>0.05</v>
      </c>
      <c r="S628" s="165"/>
      <c r="T628" s="129" t="s">
        <v>36</v>
      </c>
      <c r="U628" s="147" t="s">
        <v>37</v>
      </c>
      <c r="V628" s="129"/>
      <c r="W628" s="147" t="s">
        <v>2214</v>
      </c>
      <c r="X628" s="215"/>
      <c r="Y628" s="216">
        <v>0</v>
      </c>
      <c r="Z628" s="216">
        <v>0</v>
      </c>
      <c r="AA628" s="263"/>
      <c r="AB628" s="305"/>
    </row>
    <row r="629" spans="1:29" ht="36" hidden="1" x14ac:dyDescent="0.25">
      <c r="A629" s="131">
        <v>1</v>
      </c>
      <c r="B629" s="136">
        <v>1207019</v>
      </c>
      <c r="C629" s="128" t="s">
        <v>657</v>
      </c>
      <c r="D629" s="127" t="s">
        <v>779</v>
      </c>
      <c r="E629" s="147" t="s">
        <v>38</v>
      </c>
      <c r="F629" s="129" t="s">
        <v>1861</v>
      </c>
      <c r="G629" s="147" t="s">
        <v>34</v>
      </c>
      <c r="H629" s="191">
        <f t="shared" si="9"/>
        <v>22</v>
      </c>
      <c r="I629" s="222" t="s">
        <v>2234</v>
      </c>
      <c r="J629" s="148">
        <v>30</v>
      </c>
      <c r="K629" s="147">
        <v>5</v>
      </c>
      <c r="L629" s="147">
        <v>1</v>
      </c>
      <c r="M629" s="147">
        <v>6</v>
      </c>
      <c r="N629" s="289">
        <v>50</v>
      </c>
      <c r="O629" s="196"/>
      <c r="P629" s="180"/>
      <c r="Q629" s="174">
        <v>16</v>
      </c>
      <c r="R629" s="291">
        <f>300/N629</f>
        <v>6</v>
      </c>
      <c r="S629" s="168"/>
      <c r="T629" s="129"/>
      <c r="U629" s="147" t="s">
        <v>37</v>
      </c>
      <c r="V629" s="129"/>
      <c r="W629" s="163" t="s">
        <v>54</v>
      </c>
      <c r="X629" s="215"/>
      <c r="Y629" s="216">
        <v>0</v>
      </c>
      <c r="Z629" s="216">
        <v>0</v>
      </c>
      <c r="AA629" s="263"/>
      <c r="AB629" s="305"/>
    </row>
    <row r="630" spans="1:29" ht="24" hidden="1" x14ac:dyDescent="0.25">
      <c r="A630" s="131">
        <v>1</v>
      </c>
      <c r="B630" s="136">
        <v>1207020</v>
      </c>
      <c r="C630" s="128" t="s">
        <v>657</v>
      </c>
      <c r="D630" s="127" t="s">
        <v>780</v>
      </c>
      <c r="E630" s="147" t="s">
        <v>38</v>
      </c>
      <c r="F630" s="129" t="s">
        <v>1792</v>
      </c>
      <c r="G630" s="147" t="s">
        <v>34</v>
      </c>
      <c r="H630" s="191">
        <f t="shared" si="9"/>
        <v>18.55</v>
      </c>
      <c r="I630" s="222" t="s">
        <v>2228</v>
      </c>
      <c r="J630" s="148">
        <v>30</v>
      </c>
      <c r="K630" s="147">
        <v>7</v>
      </c>
      <c r="L630" s="147">
        <v>1</v>
      </c>
      <c r="M630" s="147">
        <v>8</v>
      </c>
      <c r="N630" s="289"/>
      <c r="O630" s="196"/>
      <c r="P630" s="180"/>
      <c r="Q630" s="174">
        <v>18.5</v>
      </c>
      <c r="R630" s="205">
        <v>0.05</v>
      </c>
      <c r="S630" s="165"/>
      <c r="T630" s="129" t="s">
        <v>64</v>
      </c>
      <c r="U630" s="147" t="s">
        <v>37</v>
      </c>
      <c r="V630" s="129"/>
      <c r="W630" s="163" t="s">
        <v>54</v>
      </c>
      <c r="X630" s="215" t="s">
        <v>1906</v>
      </c>
      <c r="Y630" s="216">
        <v>0</v>
      </c>
      <c r="Z630" s="216">
        <v>0</v>
      </c>
      <c r="AA630" s="263"/>
      <c r="AB630" s="305"/>
    </row>
    <row r="631" spans="1:29" s="182" customFormat="1" ht="36" hidden="1" x14ac:dyDescent="0.25">
      <c r="A631" s="131">
        <v>1</v>
      </c>
      <c r="B631" s="136">
        <v>1207021</v>
      </c>
      <c r="C631" s="128" t="s">
        <v>657</v>
      </c>
      <c r="D631" s="127" t="s">
        <v>781</v>
      </c>
      <c r="E631" s="147" t="s">
        <v>38</v>
      </c>
      <c r="F631" s="129" t="s">
        <v>1861</v>
      </c>
      <c r="G631" s="147" t="s">
        <v>34</v>
      </c>
      <c r="H631" s="191">
        <f t="shared" si="9"/>
        <v>22</v>
      </c>
      <c r="I631" s="222" t="s">
        <v>2234</v>
      </c>
      <c r="J631" s="148">
        <v>30</v>
      </c>
      <c r="K631" s="147">
        <v>5</v>
      </c>
      <c r="L631" s="147">
        <v>1</v>
      </c>
      <c r="M631" s="147">
        <v>6</v>
      </c>
      <c r="N631" s="289">
        <v>50</v>
      </c>
      <c r="O631" s="196"/>
      <c r="P631" s="180"/>
      <c r="Q631" s="174">
        <v>16</v>
      </c>
      <c r="R631" s="291">
        <f>300/N631</f>
        <v>6</v>
      </c>
      <c r="S631" s="168"/>
      <c r="T631" s="129" t="s">
        <v>64</v>
      </c>
      <c r="U631" s="147" t="s">
        <v>37</v>
      </c>
      <c r="V631" s="129"/>
      <c r="W631" s="163" t="s">
        <v>54</v>
      </c>
      <c r="X631" s="215"/>
      <c r="Y631" s="216">
        <v>0</v>
      </c>
      <c r="Z631" s="216">
        <v>0</v>
      </c>
      <c r="AA631" s="263"/>
      <c r="AB631" s="305"/>
      <c r="AC631" s="214"/>
    </row>
    <row r="632" spans="1:29" s="182" customFormat="1" ht="36" hidden="1" x14ac:dyDescent="0.25">
      <c r="A632" s="131">
        <v>1</v>
      </c>
      <c r="B632" s="136">
        <v>1207022</v>
      </c>
      <c r="C632" s="129" t="s">
        <v>657</v>
      </c>
      <c r="D632" s="129" t="s">
        <v>782</v>
      </c>
      <c r="E632" s="147" t="s">
        <v>38</v>
      </c>
      <c r="F632" s="129" t="s">
        <v>1861</v>
      </c>
      <c r="G632" s="147" t="s">
        <v>34</v>
      </c>
      <c r="H632" s="191">
        <f t="shared" si="9"/>
        <v>22</v>
      </c>
      <c r="I632" s="222" t="s">
        <v>2234</v>
      </c>
      <c r="J632" s="148">
        <v>30</v>
      </c>
      <c r="K632" s="147">
        <v>5</v>
      </c>
      <c r="L632" s="147">
        <v>1</v>
      </c>
      <c r="M632" s="147">
        <v>6</v>
      </c>
      <c r="N632" s="289">
        <v>50</v>
      </c>
      <c r="O632" s="196"/>
      <c r="P632" s="180"/>
      <c r="Q632" s="174">
        <v>16</v>
      </c>
      <c r="R632" s="291">
        <f>300/N632</f>
        <v>6</v>
      </c>
      <c r="S632" s="168"/>
      <c r="T632" s="129" t="s">
        <v>206</v>
      </c>
      <c r="U632" s="147" t="s">
        <v>37</v>
      </c>
      <c r="V632" s="129"/>
      <c r="W632" s="163" t="s">
        <v>54</v>
      </c>
      <c r="X632" s="215"/>
      <c r="Y632" s="216">
        <v>0</v>
      </c>
      <c r="Z632" s="216">
        <v>0</v>
      </c>
      <c r="AA632" s="263"/>
      <c r="AB632" s="305"/>
      <c r="AC632" s="214"/>
    </row>
    <row r="633" spans="1:29" s="182" customFormat="1" ht="24" hidden="1" x14ac:dyDescent="0.25">
      <c r="A633" s="131">
        <v>1</v>
      </c>
      <c r="B633" s="136">
        <v>1207030</v>
      </c>
      <c r="C633" s="128" t="s">
        <v>657</v>
      </c>
      <c r="D633" s="127" t="s">
        <v>783</v>
      </c>
      <c r="E633" s="147" t="s">
        <v>38</v>
      </c>
      <c r="F633" s="129" t="s">
        <v>1792</v>
      </c>
      <c r="G633" s="147" t="s">
        <v>34</v>
      </c>
      <c r="H633" s="191">
        <f t="shared" si="9"/>
        <v>18.55</v>
      </c>
      <c r="I633" s="222" t="s">
        <v>2228</v>
      </c>
      <c r="J633" s="148">
        <v>30</v>
      </c>
      <c r="K633" s="147">
        <v>7</v>
      </c>
      <c r="L633" s="147">
        <v>1</v>
      </c>
      <c r="M633" s="147">
        <v>8</v>
      </c>
      <c r="N633" s="289"/>
      <c r="O633" s="196"/>
      <c r="P633" s="180"/>
      <c r="Q633" s="174">
        <v>18.5</v>
      </c>
      <c r="R633" s="205">
        <v>0.05</v>
      </c>
      <c r="S633" s="165"/>
      <c r="T633" s="129" t="s">
        <v>64</v>
      </c>
      <c r="U633" s="147" t="s">
        <v>37</v>
      </c>
      <c r="V633" s="129"/>
      <c r="W633" s="163" t="s">
        <v>54</v>
      </c>
      <c r="X633" s="215" t="s">
        <v>1906</v>
      </c>
      <c r="Y633" s="216">
        <v>0</v>
      </c>
      <c r="Z633" s="216">
        <v>0</v>
      </c>
      <c r="AA633" s="263"/>
      <c r="AB633" s="305"/>
      <c r="AC633" s="214"/>
    </row>
    <row r="634" spans="1:29" hidden="1" x14ac:dyDescent="0.25">
      <c r="A634" s="131">
        <v>1</v>
      </c>
      <c r="B634" s="136">
        <v>1207031</v>
      </c>
      <c r="C634" s="128" t="s">
        <v>657</v>
      </c>
      <c r="D634" s="127" t="s">
        <v>784</v>
      </c>
      <c r="E634" s="147" t="s">
        <v>38</v>
      </c>
      <c r="F634" s="129" t="s">
        <v>785</v>
      </c>
      <c r="G634" s="147" t="s">
        <v>34</v>
      </c>
      <c r="H634" s="191">
        <f t="shared" si="9"/>
        <v>16.05</v>
      </c>
      <c r="I634" s="225"/>
      <c r="J634" s="149"/>
      <c r="K634" s="147"/>
      <c r="L634" s="147"/>
      <c r="M634" s="147">
        <v>4</v>
      </c>
      <c r="N634" s="289">
        <v>55</v>
      </c>
      <c r="O634" s="196"/>
      <c r="P634" s="180"/>
      <c r="Q634" s="174">
        <v>16</v>
      </c>
      <c r="R634" s="284">
        <v>0.05</v>
      </c>
      <c r="S634" s="168"/>
      <c r="T634" s="129" t="s">
        <v>64</v>
      </c>
      <c r="U634" s="147" t="s">
        <v>37</v>
      </c>
      <c r="V634" s="129"/>
      <c r="W634" s="163" t="s">
        <v>54</v>
      </c>
      <c r="X634" s="215"/>
      <c r="Y634" s="216">
        <v>0</v>
      </c>
      <c r="Z634" s="216">
        <v>0</v>
      </c>
      <c r="AA634" s="263"/>
      <c r="AB634" s="155"/>
      <c r="AC634" s="212"/>
    </row>
    <row r="635" spans="1:29" s="182" customFormat="1" ht="36" hidden="1" x14ac:dyDescent="0.25">
      <c r="A635" s="131">
        <v>1</v>
      </c>
      <c r="B635" s="136">
        <v>1207032</v>
      </c>
      <c r="C635" s="128" t="s">
        <v>657</v>
      </c>
      <c r="D635" s="325" t="s">
        <v>789</v>
      </c>
      <c r="E635" s="147" t="s">
        <v>38</v>
      </c>
      <c r="F635" s="129" t="s">
        <v>1861</v>
      </c>
      <c r="G635" s="147" t="s">
        <v>34</v>
      </c>
      <c r="H635" s="191">
        <f t="shared" si="9"/>
        <v>22</v>
      </c>
      <c r="I635" s="222" t="s">
        <v>2234</v>
      </c>
      <c r="J635" s="148">
        <v>30</v>
      </c>
      <c r="K635" s="147">
        <v>5</v>
      </c>
      <c r="L635" s="147">
        <v>1</v>
      </c>
      <c r="M635" s="147">
        <v>6</v>
      </c>
      <c r="N635" s="289">
        <v>50</v>
      </c>
      <c r="O635" s="196"/>
      <c r="P635" s="180"/>
      <c r="Q635" s="174">
        <v>16</v>
      </c>
      <c r="R635" s="291">
        <f>300/N635</f>
        <v>6</v>
      </c>
      <c r="S635" s="168"/>
      <c r="T635" s="129" t="s">
        <v>64</v>
      </c>
      <c r="U635" s="147" t="s">
        <v>37</v>
      </c>
      <c r="V635" s="129"/>
      <c r="W635" s="163" t="s">
        <v>54</v>
      </c>
      <c r="X635" s="215"/>
      <c r="Y635" s="216">
        <v>0</v>
      </c>
      <c r="Z635" s="216">
        <v>0</v>
      </c>
      <c r="AA635" s="263"/>
      <c r="AB635" s="305"/>
      <c r="AC635" s="214"/>
    </row>
    <row r="636" spans="1:29" s="182" customFormat="1" ht="36" hidden="1" x14ac:dyDescent="0.25">
      <c r="A636" s="131">
        <v>1</v>
      </c>
      <c r="B636" s="136">
        <v>1207033</v>
      </c>
      <c r="C636" s="128" t="s">
        <v>657</v>
      </c>
      <c r="D636" s="127" t="s">
        <v>790</v>
      </c>
      <c r="E636" s="147" t="s">
        <v>38</v>
      </c>
      <c r="F636" s="129" t="s">
        <v>1861</v>
      </c>
      <c r="G636" s="147" t="s">
        <v>34</v>
      </c>
      <c r="H636" s="191">
        <f t="shared" si="9"/>
        <v>22</v>
      </c>
      <c r="I636" s="222" t="s">
        <v>2234</v>
      </c>
      <c r="J636" s="148">
        <v>30</v>
      </c>
      <c r="K636" s="147">
        <v>5</v>
      </c>
      <c r="L636" s="147">
        <v>1</v>
      </c>
      <c r="M636" s="147">
        <v>6</v>
      </c>
      <c r="N636" s="289">
        <v>50</v>
      </c>
      <c r="O636" s="196"/>
      <c r="P636" s="180"/>
      <c r="Q636" s="174">
        <v>16</v>
      </c>
      <c r="R636" s="291">
        <f>300/N636</f>
        <v>6</v>
      </c>
      <c r="S636" s="168"/>
      <c r="T636" s="129" t="s">
        <v>64</v>
      </c>
      <c r="U636" s="147" t="s">
        <v>37</v>
      </c>
      <c r="V636" s="129"/>
      <c r="W636" s="163" t="s">
        <v>54</v>
      </c>
      <c r="X636" s="215"/>
      <c r="Y636" s="216">
        <v>0</v>
      </c>
      <c r="Z636" s="216">
        <v>0</v>
      </c>
      <c r="AA636" s="263"/>
      <c r="AB636" s="305"/>
      <c r="AC636" s="214"/>
    </row>
    <row r="637" spans="1:29" s="182" customFormat="1" ht="36" hidden="1" x14ac:dyDescent="0.25">
      <c r="A637" s="131">
        <v>1</v>
      </c>
      <c r="B637" s="136">
        <v>1207034</v>
      </c>
      <c r="C637" s="128" t="s">
        <v>657</v>
      </c>
      <c r="D637" s="127" t="s">
        <v>791</v>
      </c>
      <c r="E637" s="147" t="s">
        <v>38</v>
      </c>
      <c r="F637" s="129" t="s">
        <v>1861</v>
      </c>
      <c r="G637" s="147" t="s">
        <v>34</v>
      </c>
      <c r="H637" s="191">
        <f t="shared" si="9"/>
        <v>22</v>
      </c>
      <c r="I637" s="222" t="s">
        <v>2234</v>
      </c>
      <c r="J637" s="148">
        <v>30</v>
      </c>
      <c r="K637" s="147">
        <v>5</v>
      </c>
      <c r="L637" s="147">
        <v>1</v>
      </c>
      <c r="M637" s="147">
        <v>6</v>
      </c>
      <c r="N637" s="289">
        <v>50</v>
      </c>
      <c r="O637" s="196"/>
      <c r="P637" s="180"/>
      <c r="Q637" s="174">
        <v>16</v>
      </c>
      <c r="R637" s="291">
        <f>300/N637</f>
        <v>6</v>
      </c>
      <c r="S637" s="168"/>
      <c r="T637" s="129" t="s">
        <v>64</v>
      </c>
      <c r="U637" s="147" t="s">
        <v>37</v>
      </c>
      <c r="V637" s="129"/>
      <c r="W637" s="163" t="s">
        <v>54</v>
      </c>
      <c r="X637" s="215"/>
      <c r="Y637" s="216">
        <v>0</v>
      </c>
      <c r="Z637" s="216">
        <v>0</v>
      </c>
      <c r="AA637" s="263"/>
      <c r="AB637" s="305"/>
      <c r="AC637" s="214"/>
    </row>
    <row r="638" spans="1:29" s="182" customFormat="1" ht="36" hidden="1" x14ac:dyDescent="0.25">
      <c r="A638" s="131">
        <v>1</v>
      </c>
      <c r="B638" s="136">
        <v>1207035</v>
      </c>
      <c r="C638" s="128" t="s">
        <v>657</v>
      </c>
      <c r="D638" s="127" t="s">
        <v>792</v>
      </c>
      <c r="E638" s="147" t="s">
        <v>38</v>
      </c>
      <c r="F638" s="129" t="s">
        <v>1861</v>
      </c>
      <c r="G638" s="147" t="s">
        <v>34</v>
      </c>
      <c r="H638" s="191">
        <f t="shared" si="9"/>
        <v>22</v>
      </c>
      <c r="I638" s="222" t="s">
        <v>2234</v>
      </c>
      <c r="J638" s="148">
        <v>30</v>
      </c>
      <c r="K638" s="147">
        <v>5</v>
      </c>
      <c r="L638" s="147">
        <v>1</v>
      </c>
      <c r="M638" s="147">
        <v>6</v>
      </c>
      <c r="N638" s="289">
        <v>50</v>
      </c>
      <c r="O638" s="196"/>
      <c r="P638" s="180"/>
      <c r="Q638" s="174">
        <v>16</v>
      </c>
      <c r="R638" s="291">
        <f>300/N638</f>
        <v>6</v>
      </c>
      <c r="S638" s="168"/>
      <c r="T638" s="129" t="s">
        <v>64</v>
      </c>
      <c r="U638" s="147" t="s">
        <v>37</v>
      </c>
      <c r="V638" s="129"/>
      <c r="W638" s="163" t="s">
        <v>54</v>
      </c>
      <c r="X638" s="215"/>
      <c r="Y638" s="216">
        <v>0</v>
      </c>
      <c r="Z638" s="216">
        <v>0</v>
      </c>
      <c r="AA638" s="263"/>
      <c r="AB638" s="305"/>
      <c r="AC638" s="214"/>
    </row>
    <row r="639" spans="1:29" s="182" customFormat="1" hidden="1" x14ac:dyDescent="0.25">
      <c r="A639" s="131">
        <v>1</v>
      </c>
      <c r="B639" s="136">
        <v>1207036</v>
      </c>
      <c r="C639" s="128" t="s">
        <v>657</v>
      </c>
      <c r="D639" s="127" t="s">
        <v>793</v>
      </c>
      <c r="E639" s="147" t="s">
        <v>38</v>
      </c>
      <c r="F639" s="129" t="s">
        <v>794</v>
      </c>
      <c r="G639" s="147" t="s">
        <v>34</v>
      </c>
      <c r="H639" s="191">
        <f t="shared" si="9"/>
        <v>16.05</v>
      </c>
      <c r="I639" s="225"/>
      <c r="J639" s="149"/>
      <c r="K639" s="147"/>
      <c r="L639" s="147"/>
      <c r="M639" s="147">
        <v>5</v>
      </c>
      <c r="N639" s="289">
        <v>55</v>
      </c>
      <c r="O639" s="196"/>
      <c r="P639" s="180"/>
      <c r="Q639" s="174">
        <v>16</v>
      </c>
      <c r="R639" s="284">
        <v>0.05</v>
      </c>
      <c r="S639" s="168"/>
      <c r="T639" s="129" t="s">
        <v>64</v>
      </c>
      <c r="U639" s="147" t="s">
        <v>37</v>
      </c>
      <c r="V639" s="129"/>
      <c r="W639" s="163" t="s">
        <v>54</v>
      </c>
      <c r="X639" s="215"/>
      <c r="Y639" s="216">
        <v>0</v>
      </c>
      <c r="Z639" s="216">
        <v>0</v>
      </c>
      <c r="AA639" s="263"/>
      <c r="AB639" s="155"/>
      <c r="AC639" s="212"/>
    </row>
    <row r="640" spans="1:29" s="182" customFormat="1" hidden="1" x14ac:dyDescent="0.25">
      <c r="A640" s="131">
        <v>1</v>
      </c>
      <c r="B640" s="136">
        <v>1207037</v>
      </c>
      <c r="C640" s="128" t="s">
        <v>657</v>
      </c>
      <c r="D640" s="127" t="s">
        <v>795</v>
      </c>
      <c r="E640" s="147" t="s">
        <v>38</v>
      </c>
      <c r="F640" s="129" t="s">
        <v>794</v>
      </c>
      <c r="G640" s="147" t="s">
        <v>34</v>
      </c>
      <c r="H640" s="191">
        <f t="shared" si="9"/>
        <v>16.05</v>
      </c>
      <c r="I640" s="225"/>
      <c r="J640" s="149"/>
      <c r="K640" s="147"/>
      <c r="L640" s="147"/>
      <c r="M640" s="147">
        <v>5</v>
      </c>
      <c r="N640" s="289">
        <v>55</v>
      </c>
      <c r="O640" s="196"/>
      <c r="P640" s="180"/>
      <c r="Q640" s="174">
        <v>16</v>
      </c>
      <c r="R640" s="284">
        <v>0.05</v>
      </c>
      <c r="S640" s="168"/>
      <c r="T640" s="129" t="s">
        <v>64</v>
      </c>
      <c r="U640" s="147" t="s">
        <v>37</v>
      </c>
      <c r="V640" s="129"/>
      <c r="W640" s="163" t="s">
        <v>54</v>
      </c>
      <c r="X640" s="215"/>
      <c r="Y640" s="216">
        <v>0</v>
      </c>
      <c r="Z640" s="216">
        <v>0</v>
      </c>
      <c r="AA640" s="263"/>
      <c r="AB640" s="155"/>
      <c r="AC640" s="212"/>
    </row>
    <row r="641" spans="1:29" hidden="1" x14ac:dyDescent="0.25">
      <c r="A641" s="131">
        <v>1</v>
      </c>
      <c r="B641" s="136">
        <v>1207038</v>
      </c>
      <c r="C641" s="128" t="s">
        <v>657</v>
      </c>
      <c r="D641" s="316" t="s">
        <v>796</v>
      </c>
      <c r="E641" s="147" t="s">
        <v>38</v>
      </c>
      <c r="F641" s="129" t="s">
        <v>797</v>
      </c>
      <c r="G641" s="147" t="s">
        <v>34</v>
      </c>
      <c r="H641" s="191">
        <f t="shared" si="9"/>
        <v>16.05</v>
      </c>
      <c r="I641" s="225"/>
      <c r="J641" s="149"/>
      <c r="K641" s="147"/>
      <c r="L641" s="147"/>
      <c r="M641" s="147">
        <v>4</v>
      </c>
      <c r="N641" s="289">
        <v>55</v>
      </c>
      <c r="O641" s="196"/>
      <c r="P641" s="180"/>
      <c r="Q641" s="174">
        <v>16</v>
      </c>
      <c r="R641" s="284">
        <v>0.05</v>
      </c>
      <c r="S641" s="168"/>
      <c r="T641" s="129"/>
      <c r="U641" s="147" t="s">
        <v>37</v>
      </c>
      <c r="V641" s="129"/>
      <c r="W641" s="163" t="s">
        <v>54</v>
      </c>
      <c r="X641" s="215"/>
      <c r="Y641" s="216">
        <v>0</v>
      </c>
      <c r="Z641" s="216">
        <v>0</v>
      </c>
      <c r="AA641" s="263"/>
      <c r="AB641" s="155"/>
      <c r="AC641" s="212"/>
    </row>
    <row r="642" spans="1:29" s="182" customFormat="1" hidden="1" x14ac:dyDescent="0.25">
      <c r="A642" s="131">
        <v>1</v>
      </c>
      <c r="B642" s="136">
        <v>1207039</v>
      </c>
      <c r="C642" s="128" t="s">
        <v>657</v>
      </c>
      <c r="D642" s="129" t="s">
        <v>798</v>
      </c>
      <c r="E642" s="147" t="s">
        <v>38</v>
      </c>
      <c r="F642" s="129" t="s">
        <v>797</v>
      </c>
      <c r="G642" s="147" t="s">
        <v>34</v>
      </c>
      <c r="H642" s="191">
        <f t="shared" si="9"/>
        <v>16.05</v>
      </c>
      <c r="I642" s="225"/>
      <c r="J642" s="149"/>
      <c r="K642" s="147"/>
      <c r="L642" s="147"/>
      <c r="M642" s="147">
        <v>4</v>
      </c>
      <c r="N642" s="289">
        <v>55</v>
      </c>
      <c r="O642" s="196"/>
      <c r="P642" s="180"/>
      <c r="Q642" s="174">
        <v>16</v>
      </c>
      <c r="R642" s="284">
        <v>0.05</v>
      </c>
      <c r="S642" s="168"/>
      <c r="T642" s="129"/>
      <c r="U642" s="147" t="s">
        <v>37</v>
      </c>
      <c r="V642" s="129"/>
      <c r="W642" s="163" t="s">
        <v>54</v>
      </c>
      <c r="X642" s="215"/>
      <c r="Y642" s="216">
        <v>0</v>
      </c>
      <c r="Z642" s="216">
        <v>0</v>
      </c>
      <c r="AA642" s="263"/>
      <c r="AB642" s="155"/>
      <c r="AC642" s="212"/>
    </row>
    <row r="643" spans="1:29" s="182" customFormat="1" ht="24" hidden="1" x14ac:dyDescent="0.25">
      <c r="A643" s="131">
        <v>1</v>
      </c>
      <c r="B643" s="136">
        <v>1207040</v>
      </c>
      <c r="C643" s="128" t="s">
        <v>657</v>
      </c>
      <c r="D643" s="129" t="s">
        <v>799</v>
      </c>
      <c r="E643" s="147" t="s">
        <v>38</v>
      </c>
      <c r="F643" s="129" t="s">
        <v>1792</v>
      </c>
      <c r="G643" s="147" t="s">
        <v>34</v>
      </c>
      <c r="H643" s="191">
        <f t="shared" ref="H643:H706" si="11">Q643+R643</f>
        <v>18.55</v>
      </c>
      <c r="I643" s="222" t="s">
        <v>2228</v>
      </c>
      <c r="J643" s="148">
        <v>30</v>
      </c>
      <c r="K643" s="147">
        <v>7</v>
      </c>
      <c r="L643" s="147">
        <v>1</v>
      </c>
      <c r="M643" s="147">
        <v>8</v>
      </c>
      <c r="N643" s="289"/>
      <c r="O643" s="196"/>
      <c r="P643" s="180"/>
      <c r="Q643" s="174">
        <v>18.5</v>
      </c>
      <c r="R643" s="205">
        <v>0.05</v>
      </c>
      <c r="S643" s="165"/>
      <c r="T643" s="129" t="s">
        <v>64</v>
      </c>
      <c r="U643" s="147" t="s">
        <v>37</v>
      </c>
      <c r="V643" s="129"/>
      <c r="W643" s="163" t="s">
        <v>54</v>
      </c>
      <c r="X643" s="215" t="s">
        <v>1906</v>
      </c>
      <c r="Y643" s="216">
        <v>0</v>
      </c>
      <c r="Z643" s="216">
        <v>0</v>
      </c>
      <c r="AA643" s="263"/>
      <c r="AB643" s="305"/>
      <c r="AC643" s="214"/>
    </row>
    <row r="644" spans="1:29" ht="36" hidden="1" x14ac:dyDescent="0.25">
      <c r="A644" s="131">
        <v>1</v>
      </c>
      <c r="B644" s="136">
        <v>1207041</v>
      </c>
      <c r="C644" s="128" t="s">
        <v>657</v>
      </c>
      <c r="D644" s="129" t="s">
        <v>800</v>
      </c>
      <c r="E644" s="147" t="s">
        <v>38</v>
      </c>
      <c r="F644" s="129" t="s">
        <v>1861</v>
      </c>
      <c r="G644" s="147" t="s">
        <v>34</v>
      </c>
      <c r="H644" s="191">
        <f t="shared" si="11"/>
        <v>22</v>
      </c>
      <c r="I644" s="222" t="s">
        <v>2234</v>
      </c>
      <c r="J644" s="148">
        <v>30</v>
      </c>
      <c r="K644" s="147">
        <v>5</v>
      </c>
      <c r="L644" s="147">
        <v>1</v>
      </c>
      <c r="M644" s="147">
        <v>6</v>
      </c>
      <c r="N644" s="289">
        <v>50</v>
      </c>
      <c r="O644" s="196"/>
      <c r="P644" s="180"/>
      <c r="Q644" s="174">
        <v>16</v>
      </c>
      <c r="R644" s="291">
        <f>300/N644</f>
        <v>6</v>
      </c>
      <c r="S644" s="168"/>
      <c r="T644" s="129" t="s">
        <v>206</v>
      </c>
      <c r="U644" s="147" t="s">
        <v>37</v>
      </c>
      <c r="V644" s="129"/>
      <c r="W644" s="163" t="s">
        <v>54</v>
      </c>
      <c r="X644" s="215"/>
      <c r="Y644" s="216">
        <v>0</v>
      </c>
      <c r="Z644" s="216">
        <v>0</v>
      </c>
      <c r="AA644" s="263"/>
      <c r="AB644" s="305"/>
    </row>
    <row r="645" spans="1:29" s="182" customFormat="1" ht="24" hidden="1" x14ac:dyDescent="0.25">
      <c r="A645" s="131">
        <v>1</v>
      </c>
      <c r="B645" s="136">
        <v>1207042</v>
      </c>
      <c r="C645" s="128" t="s">
        <v>657</v>
      </c>
      <c r="D645" s="129" t="s">
        <v>801</v>
      </c>
      <c r="E645" s="147" t="s">
        <v>38</v>
      </c>
      <c r="F645" s="129" t="s">
        <v>1792</v>
      </c>
      <c r="G645" s="147" t="s">
        <v>34</v>
      </c>
      <c r="H645" s="191">
        <f t="shared" si="11"/>
        <v>21.92</v>
      </c>
      <c r="I645" s="222" t="s">
        <v>2228</v>
      </c>
      <c r="J645" s="146">
        <v>30</v>
      </c>
      <c r="K645" s="147">
        <v>7</v>
      </c>
      <c r="L645" s="147">
        <v>1</v>
      </c>
      <c r="M645" s="147">
        <v>8</v>
      </c>
      <c r="N645" s="289">
        <v>50</v>
      </c>
      <c r="O645" s="196"/>
      <c r="P645" s="180"/>
      <c r="Q645" s="174">
        <v>21.92</v>
      </c>
      <c r="R645" s="206">
        <v>0</v>
      </c>
      <c r="S645" s="165"/>
      <c r="T645" s="129" t="s">
        <v>36</v>
      </c>
      <c r="U645" s="147" t="s">
        <v>37</v>
      </c>
      <c r="V645" s="129"/>
      <c r="W645" s="147" t="s">
        <v>2214</v>
      </c>
      <c r="X645" s="215" t="s">
        <v>1906</v>
      </c>
      <c r="Y645" s="216">
        <v>0</v>
      </c>
      <c r="Z645" s="216">
        <v>0</v>
      </c>
      <c r="AA645" s="263"/>
      <c r="AB645" s="305"/>
      <c r="AC645" s="214"/>
    </row>
    <row r="646" spans="1:29" ht="24" hidden="1" x14ac:dyDescent="0.25">
      <c r="A646" s="131">
        <v>1</v>
      </c>
      <c r="B646" s="136">
        <v>1207043</v>
      </c>
      <c r="C646" s="128" t="s">
        <v>657</v>
      </c>
      <c r="D646" s="129" t="s">
        <v>802</v>
      </c>
      <c r="E646" s="147" t="s">
        <v>38</v>
      </c>
      <c r="F646" s="129" t="s">
        <v>1792</v>
      </c>
      <c r="G646" s="147" t="s">
        <v>34</v>
      </c>
      <c r="H646" s="191">
        <f t="shared" si="11"/>
        <v>21.92</v>
      </c>
      <c r="I646" s="222" t="s">
        <v>2228</v>
      </c>
      <c r="J646" s="146">
        <v>30</v>
      </c>
      <c r="K646" s="147">
        <v>7</v>
      </c>
      <c r="L646" s="147">
        <v>1</v>
      </c>
      <c r="M646" s="147">
        <v>8</v>
      </c>
      <c r="N646" s="289">
        <v>50</v>
      </c>
      <c r="O646" s="196"/>
      <c r="P646" s="180"/>
      <c r="Q646" s="174">
        <v>21.92</v>
      </c>
      <c r="R646" s="206">
        <v>0</v>
      </c>
      <c r="S646" s="165"/>
      <c r="T646" s="129" t="s">
        <v>36</v>
      </c>
      <c r="U646" s="147" t="s">
        <v>37</v>
      </c>
      <c r="V646" s="129"/>
      <c r="W646" s="147" t="s">
        <v>2214</v>
      </c>
      <c r="X646" s="215" t="s">
        <v>1906</v>
      </c>
      <c r="Y646" s="216">
        <v>0</v>
      </c>
      <c r="Z646" s="216">
        <v>0</v>
      </c>
      <c r="AA646" s="263"/>
      <c r="AB646" s="305"/>
    </row>
    <row r="647" spans="1:29" ht="24" hidden="1" x14ac:dyDescent="0.25">
      <c r="A647" s="131">
        <v>1</v>
      </c>
      <c r="B647" s="136">
        <v>1207044</v>
      </c>
      <c r="C647" s="128" t="s">
        <v>657</v>
      </c>
      <c r="D647" s="129" t="s">
        <v>803</v>
      </c>
      <c r="E647" s="147" t="s">
        <v>38</v>
      </c>
      <c r="F647" s="129" t="s">
        <v>1792</v>
      </c>
      <c r="G647" s="147" t="s">
        <v>34</v>
      </c>
      <c r="H647" s="191">
        <f t="shared" si="11"/>
        <v>18.55</v>
      </c>
      <c r="I647" s="222" t="s">
        <v>2228</v>
      </c>
      <c r="J647" s="148">
        <v>30</v>
      </c>
      <c r="K647" s="147">
        <v>7</v>
      </c>
      <c r="L647" s="147">
        <v>1</v>
      </c>
      <c r="M647" s="147">
        <v>8</v>
      </c>
      <c r="N647" s="289">
        <v>55</v>
      </c>
      <c r="O647" s="196"/>
      <c r="P647" s="180"/>
      <c r="Q647" s="174">
        <v>18.5</v>
      </c>
      <c r="R647" s="205">
        <v>0.05</v>
      </c>
      <c r="S647" s="165"/>
      <c r="T647" s="129" t="s">
        <v>64</v>
      </c>
      <c r="U647" s="147" t="s">
        <v>37</v>
      </c>
      <c r="V647" s="129"/>
      <c r="W647" s="163" t="s">
        <v>54</v>
      </c>
      <c r="X647" s="215" t="s">
        <v>1906</v>
      </c>
      <c r="Y647" s="216">
        <v>0</v>
      </c>
      <c r="Z647" s="216">
        <v>0</v>
      </c>
      <c r="AA647" s="263"/>
      <c r="AB647" s="305"/>
    </row>
    <row r="648" spans="1:29" ht="24" hidden="1" x14ac:dyDescent="0.25">
      <c r="A648" s="131">
        <v>1</v>
      </c>
      <c r="B648" s="136">
        <v>1207045</v>
      </c>
      <c r="C648" s="128" t="s">
        <v>657</v>
      </c>
      <c r="D648" s="129" t="s">
        <v>804</v>
      </c>
      <c r="E648" s="147" t="s">
        <v>38</v>
      </c>
      <c r="F648" s="129" t="s">
        <v>1792</v>
      </c>
      <c r="G648" s="147" t="s">
        <v>34</v>
      </c>
      <c r="H648" s="191">
        <f t="shared" si="11"/>
        <v>18.55</v>
      </c>
      <c r="I648" s="222" t="s">
        <v>2228</v>
      </c>
      <c r="J648" s="148">
        <v>30</v>
      </c>
      <c r="K648" s="147">
        <v>7</v>
      </c>
      <c r="L648" s="147">
        <v>1</v>
      </c>
      <c r="M648" s="147">
        <v>8</v>
      </c>
      <c r="N648" s="289">
        <v>55</v>
      </c>
      <c r="O648" s="196"/>
      <c r="P648" s="180"/>
      <c r="Q648" s="174">
        <v>18.5</v>
      </c>
      <c r="R648" s="205">
        <v>0.05</v>
      </c>
      <c r="S648" s="165"/>
      <c r="T648" s="129" t="s">
        <v>64</v>
      </c>
      <c r="U648" s="147" t="s">
        <v>37</v>
      </c>
      <c r="V648" s="129"/>
      <c r="W648" s="163" t="s">
        <v>54</v>
      </c>
      <c r="X648" s="215" t="s">
        <v>1906</v>
      </c>
      <c r="Y648" s="216">
        <v>0</v>
      </c>
      <c r="Z648" s="216">
        <v>0</v>
      </c>
      <c r="AA648" s="263"/>
      <c r="AB648" s="305"/>
    </row>
    <row r="649" spans="1:29" s="182" customFormat="1" ht="24" hidden="1" x14ac:dyDescent="0.25">
      <c r="A649" s="131">
        <v>1</v>
      </c>
      <c r="B649" s="136">
        <v>1207046</v>
      </c>
      <c r="C649" s="128" t="s">
        <v>657</v>
      </c>
      <c r="D649" s="129" t="s">
        <v>805</v>
      </c>
      <c r="E649" s="147" t="s">
        <v>38</v>
      </c>
      <c r="F649" s="129" t="s">
        <v>1792</v>
      </c>
      <c r="G649" s="147" t="s">
        <v>34</v>
      </c>
      <c r="H649" s="191">
        <f t="shared" si="11"/>
        <v>18.55</v>
      </c>
      <c r="I649" s="222" t="s">
        <v>2228</v>
      </c>
      <c r="J649" s="148">
        <v>30</v>
      </c>
      <c r="K649" s="147">
        <v>7</v>
      </c>
      <c r="L649" s="147">
        <v>1</v>
      </c>
      <c r="M649" s="147">
        <v>8</v>
      </c>
      <c r="N649" s="289"/>
      <c r="O649" s="196"/>
      <c r="P649" s="180"/>
      <c r="Q649" s="174">
        <v>18.5</v>
      </c>
      <c r="R649" s="205">
        <v>0.05</v>
      </c>
      <c r="S649" s="165"/>
      <c r="T649" s="129" t="s">
        <v>806</v>
      </c>
      <c r="U649" s="147" t="s">
        <v>37</v>
      </c>
      <c r="V649" s="129"/>
      <c r="W649" s="163" t="s">
        <v>54</v>
      </c>
      <c r="X649" s="215" t="s">
        <v>1906</v>
      </c>
      <c r="Y649" s="216">
        <v>0</v>
      </c>
      <c r="Z649" s="216">
        <v>0</v>
      </c>
      <c r="AA649" s="263"/>
      <c r="AB649" s="305"/>
      <c r="AC649" s="214"/>
    </row>
    <row r="650" spans="1:29" ht="24" hidden="1" x14ac:dyDescent="0.25">
      <c r="A650" s="131">
        <v>1</v>
      </c>
      <c r="B650" s="136">
        <v>1207047</v>
      </c>
      <c r="C650" s="128" t="s">
        <v>657</v>
      </c>
      <c r="D650" s="129" t="s">
        <v>807</v>
      </c>
      <c r="E650" s="147" t="s">
        <v>38</v>
      </c>
      <c r="F650" s="129" t="s">
        <v>1792</v>
      </c>
      <c r="G650" s="147" t="s">
        <v>34</v>
      </c>
      <c r="H650" s="191">
        <f t="shared" si="11"/>
        <v>18.55</v>
      </c>
      <c r="I650" s="222" t="s">
        <v>2228</v>
      </c>
      <c r="J650" s="148">
        <v>30</v>
      </c>
      <c r="K650" s="147">
        <v>7</v>
      </c>
      <c r="L650" s="147">
        <v>1</v>
      </c>
      <c r="M650" s="147">
        <v>8</v>
      </c>
      <c r="N650" s="289"/>
      <c r="O650" s="196"/>
      <c r="P650" s="180"/>
      <c r="Q650" s="174">
        <v>18.5</v>
      </c>
      <c r="R650" s="205">
        <v>0.05</v>
      </c>
      <c r="S650" s="165"/>
      <c r="T650" s="129" t="s">
        <v>806</v>
      </c>
      <c r="U650" s="147" t="s">
        <v>37</v>
      </c>
      <c r="V650" s="129"/>
      <c r="W650" s="163" t="s">
        <v>54</v>
      </c>
      <c r="X650" s="215" t="s">
        <v>1906</v>
      </c>
      <c r="Y650" s="216">
        <v>0</v>
      </c>
      <c r="Z650" s="216">
        <v>0</v>
      </c>
      <c r="AA650" s="263"/>
      <c r="AB650" s="305"/>
    </row>
    <row r="651" spans="1:29" ht="24" hidden="1" x14ac:dyDescent="0.25">
      <c r="A651" s="131">
        <v>1</v>
      </c>
      <c r="B651" s="136">
        <v>1207048</v>
      </c>
      <c r="C651" s="128" t="s">
        <v>657</v>
      </c>
      <c r="D651" s="129" t="s">
        <v>808</v>
      </c>
      <c r="E651" s="147" t="s">
        <v>38</v>
      </c>
      <c r="F651" s="129" t="s">
        <v>1792</v>
      </c>
      <c r="G651" s="147" t="s">
        <v>34</v>
      </c>
      <c r="H651" s="191">
        <f t="shared" si="11"/>
        <v>18.55</v>
      </c>
      <c r="I651" s="222" t="s">
        <v>2228</v>
      </c>
      <c r="J651" s="148">
        <v>30</v>
      </c>
      <c r="K651" s="147">
        <v>7</v>
      </c>
      <c r="L651" s="147">
        <v>1</v>
      </c>
      <c r="M651" s="147">
        <v>8</v>
      </c>
      <c r="N651" s="289"/>
      <c r="O651" s="196"/>
      <c r="P651" s="180"/>
      <c r="Q651" s="174">
        <v>18.5</v>
      </c>
      <c r="R651" s="205">
        <v>0.05</v>
      </c>
      <c r="S651" s="165"/>
      <c r="T651" s="129" t="s">
        <v>806</v>
      </c>
      <c r="U651" s="147" t="s">
        <v>37</v>
      </c>
      <c r="V651" s="129"/>
      <c r="W651" s="163" t="s">
        <v>54</v>
      </c>
      <c r="X651" s="215" t="s">
        <v>1906</v>
      </c>
      <c r="Y651" s="216">
        <v>0</v>
      </c>
      <c r="Z651" s="216">
        <v>0</v>
      </c>
      <c r="AA651" s="263"/>
      <c r="AB651" s="305"/>
    </row>
    <row r="652" spans="1:29" ht="24" hidden="1" x14ac:dyDescent="0.25">
      <c r="A652" s="131">
        <v>1</v>
      </c>
      <c r="B652" s="136">
        <v>1207049</v>
      </c>
      <c r="C652" s="128" t="s">
        <v>657</v>
      </c>
      <c r="D652" s="129" t="s">
        <v>809</v>
      </c>
      <c r="E652" s="147" t="s">
        <v>38</v>
      </c>
      <c r="F652" s="129" t="s">
        <v>1792</v>
      </c>
      <c r="G652" s="147" t="s">
        <v>34</v>
      </c>
      <c r="H652" s="191">
        <f t="shared" si="11"/>
        <v>14.84</v>
      </c>
      <c r="I652" s="222" t="s">
        <v>2228</v>
      </c>
      <c r="J652" s="146">
        <v>30</v>
      </c>
      <c r="K652" s="147">
        <v>7</v>
      </c>
      <c r="L652" s="147">
        <v>1</v>
      </c>
      <c r="M652" s="147">
        <v>8</v>
      </c>
      <c r="N652" s="289">
        <v>50</v>
      </c>
      <c r="O652" s="196"/>
      <c r="P652" s="180"/>
      <c r="Q652" s="174">
        <v>14.84</v>
      </c>
      <c r="R652" s="206">
        <v>0</v>
      </c>
      <c r="S652" s="165"/>
      <c r="T652" s="129" t="s">
        <v>44</v>
      </c>
      <c r="U652" s="147" t="s">
        <v>37</v>
      </c>
      <c r="V652" s="129"/>
      <c r="W652" s="177" t="s">
        <v>54</v>
      </c>
      <c r="X652" s="215" t="s">
        <v>1906</v>
      </c>
      <c r="Y652" s="216">
        <v>0</v>
      </c>
      <c r="Z652" s="216">
        <v>0</v>
      </c>
      <c r="AA652" s="263"/>
      <c r="AB652" s="305"/>
    </row>
    <row r="653" spans="1:29" hidden="1" x14ac:dyDescent="0.25">
      <c r="A653" s="131">
        <v>1</v>
      </c>
      <c r="B653" s="136">
        <v>1207050</v>
      </c>
      <c r="C653" s="128" t="s">
        <v>657</v>
      </c>
      <c r="D653" s="129" t="s">
        <v>810</v>
      </c>
      <c r="E653" s="147" t="s">
        <v>38</v>
      </c>
      <c r="F653" s="129" t="s">
        <v>797</v>
      </c>
      <c r="G653" s="147" t="s">
        <v>34</v>
      </c>
      <c r="H653" s="191">
        <f t="shared" si="11"/>
        <v>16.05</v>
      </c>
      <c r="I653" s="225"/>
      <c r="J653" s="149"/>
      <c r="K653" s="147"/>
      <c r="L653" s="147"/>
      <c r="M653" s="147">
        <v>4</v>
      </c>
      <c r="N653" s="289">
        <v>55</v>
      </c>
      <c r="O653" s="196"/>
      <c r="P653" s="180"/>
      <c r="Q653" s="174">
        <v>16</v>
      </c>
      <c r="R653" s="284">
        <v>0.05</v>
      </c>
      <c r="S653" s="168"/>
      <c r="T653" s="129" t="s">
        <v>806</v>
      </c>
      <c r="U653" s="147" t="s">
        <v>37</v>
      </c>
      <c r="V653" s="129"/>
      <c r="W653" s="163" t="s">
        <v>54</v>
      </c>
      <c r="X653" s="215"/>
      <c r="Y653" s="216">
        <v>0</v>
      </c>
      <c r="Z653" s="216">
        <v>0</v>
      </c>
      <c r="AA653" s="263"/>
      <c r="AB653" s="155"/>
      <c r="AC653" s="212"/>
    </row>
    <row r="654" spans="1:29" s="182" customFormat="1" hidden="1" x14ac:dyDescent="0.25">
      <c r="A654" s="131">
        <v>1</v>
      </c>
      <c r="B654" s="136">
        <v>1207051</v>
      </c>
      <c r="C654" s="128" t="s">
        <v>657</v>
      </c>
      <c r="D654" s="129" t="s">
        <v>812</v>
      </c>
      <c r="E654" s="147" t="s">
        <v>38</v>
      </c>
      <c r="F654" s="129" t="s">
        <v>797</v>
      </c>
      <c r="G654" s="147" t="s">
        <v>34</v>
      </c>
      <c r="H654" s="191">
        <f t="shared" si="11"/>
        <v>16.05</v>
      </c>
      <c r="I654" s="225"/>
      <c r="J654" s="149"/>
      <c r="K654" s="147"/>
      <c r="L654" s="147"/>
      <c r="M654" s="147">
        <v>4</v>
      </c>
      <c r="N654" s="289">
        <v>55</v>
      </c>
      <c r="O654" s="196"/>
      <c r="P654" s="180"/>
      <c r="Q654" s="174">
        <v>16</v>
      </c>
      <c r="R654" s="284">
        <v>0.05</v>
      </c>
      <c r="S654" s="168"/>
      <c r="T654" s="129" t="s">
        <v>806</v>
      </c>
      <c r="U654" s="147" t="s">
        <v>37</v>
      </c>
      <c r="V654" s="129"/>
      <c r="W654" s="163" t="s">
        <v>54</v>
      </c>
      <c r="X654" s="215"/>
      <c r="Y654" s="216">
        <v>0</v>
      </c>
      <c r="Z654" s="216">
        <v>0</v>
      </c>
      <c r="AA654" s="263"/>
      <c r="AB654" s="155"/>
      <c r="AC654" s="212"/>
    </row>
    <row r="655" spans="1:29" ht="36" hidden="1" x14ac:dyDescent="0.25">
      <c r="A655" s="131">
        <v>1</v>
      </c>
      <c r="B655" s="136">
        <v>1207052</v>
      </c>
      <c r="C655" s="128" t="s">
        <v>657</v>
      </c>
      <c r="D655" s="129" t="s">
        <v>813</v>
      </c>
      <c r="E655" s="147" t="s">
        <v>38</v>
      </c>
      <c r="F655" s="129" t="s">
        <v>1861</v>
      </c>
      <c r="G655" s="147" t="s">
        <v>34</v>
      </c>
      <c r="H655" s="191">
        <f t="shared" si="11"/>
        <v>22</v>
      </c>
      <c r="I655" s="222" t="s">
        <v>2234</v>
      </c>
      <c r="J655" s="148">
        <v>30</v>
      </c>
      <c r="K655" s="147">
        <v>5</v>
      </c>
      <c r="L655" s="147">
        <v>1</v>
      </c>
      <c r="M655" s="147">
        <v>6</v>
      </c>
      <c r="N655" s="289">
        <v>50</v>
      </c>
      <c r="O655" s="196"/>
      <c r="P655" s="180"/>
      <c r="Q655" s="174">
        <v>16</v>
      </c>
      <c r="R655" s="291">
        <f>300/N655</f>
        <v>6</v>
      </c>
      <c r="S655" s="168"/>
      <c r="T655" s="129" t="s">
        <v>64</v>
      </c>
      <c r="U655" s="147" t="s">
        <v>37</v>
      </c>
      <c r="V655" s="129"/>
      <c r="W655" s="163" t="s">
        <v>54</v>
      </c>
      <c r="X655" s="215"/>
      <c r="Y655" s="216">
        <v>0</v>
      </c>
      <c r="Z655" s="216">
        <v>0</v>
      </c>
      <c r="AA655" s="263"/>
      <c r="AB655" s="305"/>
    </row>
    <row r="656" spans="1:29" ht="24" hidden="1" x14ac:dyDescent="0.25">
      <c r="A656" s="131">
        <v>1</v>
      </c>
      <c r="B656" s="136">
        <v>1207053</v>
      </c>
      <c r="C656" s="128" t="s">
        <v>657</v>
      </c>
      <c r="D656" s="129" t="s">
        <v>1620</v>
      </c>
      <c r="E656" s="147" t="s">
        <v>38</v>
      </c>
      <c r="F656" s="129" t="s">
        <v>1792</v>
      </c>
      <c r="G656" s="147" t="s">
        <v>34</v>
      </c>
      <c r="H656" s="191">
        <f t="shared" si="11"/>
        <v>18.55</v>
      </c>
      <c r="I656" s="222" t="s">
        <v>2228</v>
      </c>
      <c r="J656" s="146">
        <v>30</v>
      </c>
      <c r="K656" s="147">
        <v>7</v>
      </c>
      <c r="L656" s="147">
        <v>1</v>
      </c>
      <c r="M656" s="147">
        <v>8</v>
      </c>
      <c r="N656" s="289"/>
      <c r="O656" s="196"/>
      <c r="P656" s="180"/>
      <c r="Q656" s="174">
        <v>18.5</v>
      </c>
      <c r="R656" s="205">
        <v>0.05</v>
      </c>
      <c r="S656" s="168"/>
      <c r="T656" s="129" t="s">
        <v>468</v>
      </c>
      <c r="U656" s="147" t="s">
        <v>37</v>
      </c>
      <c r="V656" s="129"/>
      <c r="W656" s="147" t="s">
        <v>2214</v>
      </c>
      <c r="X656" s="215" t="s">
        <v>1906</v>
      </c>
      <c r="Y656" s="216">
        <v>0</v>
      </c>
      <c r="Z656" s="216">
        <v>0</v>
      </c>
      <c r="AA656" s="263"/>
      <c r="AB656" s="305"/>
    </row>
    <row r="657" spans="1:29" ht="36" hidden="1" x14ac:dyDescent="0.25">
      <c r="A657" s="131">
        <v>1</v>
      </c>
      <c r="B657" s="136">
        <v>1207060</v>
      </c>
      <c r="C657" s="128" t="s">
        <v>657</v>
      </c>
      <c r="D657" s="129" t="s">
        <v>815</v>
      </c>
      <c r="E657" s="147" t="s">
        <v>38</v>
      </c>
      <c r="F657" s="129" t="s">
        <v>1861</v>
      </c>
      <c r="G657" s="147" t="s">
        <v>34</v>
      </c>
      <c r="H657" s="191">
        <f t="shared" si="11"/>
        <v>22</v>
      </c>
      <c r="I657" s="222" t="s">
        <v>2234</v>
      </c>
      <c r="J657" s="148">
        <v>30</v>
      </c>
      <c r="K657" s="147">
        <v>5</v>
      </c>
      <c r="L657" s="147">
        <v>1</v>
      </c>
      <c r="M657" s="147">
        <v>6</v>
      </c>
      <c r="N657" s="289">
        <v>50</v>
      </c>
      <c r="O657" s="196"/>
      <c r="P657" s="180"/>
      <c r="Q657" s="174">
        <v>16</v>
      </c>
      <c r="R657" s="291">
        <f>300/N657</f>
        <v>6</v>
      </c>
      <c r="S657" s="165"/>
      <c r="T657" s="129" t="s">
        <v>517</v>
      </c>
      <c r="U657" s="147" t="s">
        <v>35</v>
      </c>
      <c r="V657" s="129"/>
      <c r="W657" s="163" t="s">
        <v>54</v>
      </c>
      <c r="X657" s="215"/>
      <c r="Y657" s="216">
        <v>0</v>
      </c>
      <c r="Z657" s="216">
        <v>0</v>
      </c>
      <c r="AA657" s="263"/>
      <c r="AB657" s="305"/>
    </row>
    <row r="658" spans="1:29" ht="36" hidden="1" x14ac:dyDescent="0.25">
      <c r="A658" s="131">
        <v>1</v>
      </c>
      <c r="B658" s="136">
        <v>1207061</v>
      </c>
      <c r="C658" s="128" t="s">
        <v>657</v>
      </c>
      <c r="D658" s="129" t="s">
        <v>816</v>
      </c>
      <c r="E658" s="147" t="s">
        <v>38</v>
      </c>
      <c r="F658" s="129" t="s">
        <v>1861</v>
      </c>
      <c r="G658" s="147" t="s">
        <v>34</v>
      </c>
      <c r="H658" s="191">
        <f t="shared" si="11"/>
        <v>22</v>
      </c>
      <c r="I658" s="222" t="s">
        <v>2234</v>
      </c>
      <c r="J658" s="148">
        <v>30</v>
      </c>
      <c r="K658" s="147">
        <v>5</v>
      </c>
      <c r="L658" s="147">
        <v>1</v>
      </c>
      <c r="M658" s="147">
        <v>6</v>
      </c>
      <c r="N658" s="289">
        <v>50</v>
      </c>
      <c r="O658" s="196"/>
      <c r="P658" s="180"/>
      <c r="Q658" s="174">
        <v>16</v>
      </c>
      <c r="R658" s="291">
        <f>300/N658</f>
        <v>6</v>
      </c>
      <c r="S658" s="165"/>
      <c r="T658" s="129" t="s">
        <v>517</v>
      </c>
      <c r="U658" s="147" t="s">
        <v>35</v>
      </c>
      <c r="V658" s="129"/>
      <c r="W658" s="163" t="s">
        <v>54</v>
      </c>
      <c r="X658" s="215"/>
      <c r="Y658" s="216">
        <v>0</v>
      </c>
      <c r="Z658" s="216">
        <v>0</v>
      </c>
      <c r="AA658" s="263"/>
      <c r="AB658" s="305"/>
    </row>
    <row r="659" spans="1:29" hidden="1" x14ac:dyDescent="0.25">
      <c r="A659" s="131">
        <v>1</v>
      </c>
      <c r="B659" s="136">
        <v>1207062</v>
      </c>
      <c r="C659" s="128" t="s">
        <v>657</v>
      </c>
      <c r="D659" s="129" t="s">
        <v>817</v>
      </c>
      <c r="E659" s="147" t="s">
        <v>38</v>
      </c>
      <c r="F659" s="129" t="s">
        <v>819</v>
      </c>
      <c r="G659" s="147" t="s">
        <v>34</v>
      </c>
      <c r="H659" s="191">
        <f t="shared" si="11"/>
        <v>16.05</v>
      </c>
      <c r="I659" s="225"/>
      <c r="J659" s="149"/>
      <c r="K659" s="147">
        <v>12</v>
      </c>
      <c r="L659" s="147">
        <v>1</v>
      </c>
      <c r="M659" s="147">
        <v>13</v>
      </c>
      <c r="N659" s="289"/>
      <c r="O659" s="196"/>
      <c r="P659" s="180"/>
      <c r="Q659" s="174">
        <v>16</v>
      </c>
      <c r="R659" s="284">
        <v>0.05</v>
      </c>
      <c r="S659" s="168"/>
      <c r="T659" s="129"/>
      <c r="U659" s="147" t="s">
        <v>37</v>
      </c>
      <c r="V659" s="129"/>
      <c r="W659" s="163" t="s">
        <v>54</v>
      </c>
      <c r="X659" s="215"/>
      <c r="Y659" s="216">
        <v>0</v>
      </c>
      <c r="Z659" s="216">
        <v>0</v>
      </c>
      <c r="AA659" s="263"/>
      <c r="AB659" s="155"/>
      <c r="AC659" s="212"/>
    </row>
    <row r="660" spans="1:29" hidden="1" x14ac:dyDescent="0.25">
      <c r="A660" s="131">
        <v>1</v>
      </c>
      <c r="B660" s="136">
        <v>1207063</v>
      </c>
      <c r="C660" s="128" t="s">
        <v>657</v>
      </c>
      <c r="D660" s="129" t="s">
        <v>820</v>
      </c>
      <c r="E660" s="147" t="s">
        <v>38</v>
      </c>
      <c r="F660" s="129" t="s">
        <v>74</v>
      </c>
      <c r="G660" s="147" t="s">
        <v>34</v>
      </c>
      <c r="H660" s="191">
        <f t="shared" si="11"/>
        <v>16.05</v>
      </c>
      <c r="I660" s="225"/>
      <c r="J660" s="149"/>
      <c r="K660" s="147">
        <v>12</v>
      </c>
      <c r="L660" s="147">
        <v>1</v>
      </c>
      <c r="M660" s="147">
        <v>13</v>
      </c>
      <c r="N660" s="289"/>
      <c r="O660" s="196"/>
      <c r="P660" s="180"/>
      <c r="Q660" s="174">
        <v>16</v>
      </c>
      <c r="R660" s="284">
        <v>0.05</v>
      </c>
      <c r="S660" s="168"/>
      <c r="T660" s="129"/>
      <c r="U660" s="147" t="s">
        <v>37</v>
      </c>
      <c r="V660" s="129"/>
      <c r="W660" s="163" t="s">
        <v>54</v>
      </c>
      <c r="X660" s="215"/>
      <c r="Y660" s="216">
        <v>0</v>
      </c>
      <c r="Z660" s="216">
        <v>0</v>
      </c>
      <c r="AA660" s="263"/>
      <c r="AB660" s="155"/>
      <c r="AC660" s="212"/>
    </row>
    <row r="661" spans="1:29" s="182" customFormat="1" hidden="1" x14ac:dyDescent="0.25">
      <c r="A661" s="131">
        <v>1</v>
      </c>
      <c r="B661" s="136">
        <v>1207064</v>
      </c>
      <c r="C661" s="128" t="s">
        <v>657</v>
      </c>
      <c r="D661" s="129" t="s">
        <v>822</v>
      </c>
      <c r="E661" s="147" t="s">
        <v>38</v>
      </c>
      <c r="F661" s="138" t="s">
        <v>57</v>
      </c>
      <c r="G661" s="147" t="s">
        <v>34</v>
      </c>
      <c r="H661" s="191">
        <f t="shared" si="11"/>
        <v>16.05</v>
      </c>
      <c r="I661" s="225"/>
      <c r="J661" s="149"/>
      <c r="K661" s="147">
        <v>12</v>
      </c>
      <c r="L661" s="147">
        <v>1</v>
      </c>
      <c r="M661" s="147">
        <v>13</v>
      </c>
      <c r="N661" s="289"/>
      <c r="O661" s="196"/>
      <c r="P661" s="180"/>
      <c r="Q661" s="174">
        <v>16</v>
      </c>
      <c r="R661" s="284">
        <v>0.05</v>
      </c>
      <c r="S661" s="168"/>
      <c r="T661" s="138" t="s">
        <v>57</v>
      </c>
      <c r="U661" s="147" t="s">
        <v>37</v>
      </c>
      <c r="V661" s="129"/>
      <c r="W661" s="163" t="s">
        <v>54</v>
      </c>
      <c r="X661" s="215"/>
      <c r="Y661" s="216">
        <v>0</v>
      </c>
      <c r="Z661" s="216">
        <v>0</v>
      </c>
      <c r="AA661" s="263"/>
      <c r="AB661" s="155"/>
      <c r="AC661" s="212"/>
    </row>
    <row r="662" spans="1:29" s="182" customFormat="1" x14ac:dyDescent="0.25">
      <c r="A662" s="131">
        <v>1</v>
      </c>
      <c r="B662" s="136">
        <v>1207065</v>
      </c>
      <c r="C662" s="128" t="s">
        <v>657</v>
      </c>
      <c r="D662" s="129" t="s">
        <v>1524</v>
      </c>
      <c r="E662" s="147" t="s">
        <v>38</v>
      </c>
      <c r="F662" s="138" t="s">
        <v>1503</v>
      </c>
      <c r="G662" s="147" t="s">
        <v>34</v>
      </c>
      <c r="H662" s="191">
        <f t="shared" si="11"/>
        <v>12.945</v>
      </c>
      <c r="I662" s="222" t="s">
        <v>2084</v>
      </c>
      <c r="J662" s="146">
        <v>90</v>
      </c>
      <c r="K662" s="147">
        <v>9</v>
      </c>
      <c r="L662" s="147">
        <v>1</v>
      </c>
      <c r="M662" s="147">
        <v>10</v>
      </c>
      <c r="N662" s="289">
        <v>50</v>
      </c>
      <c r="O662" s="196"/>
      <c r="P662" s="180">
        <v>44978</v>
      </c>
      <c r="Q662" s="174">
        <v>12.9</v>
      </c>
      <c r="R662" s="205">
        <v>4.4999999999999998E-2</v>
      </c>
      <c r="S662" s="168"/>
      <c r="T662" s="129" t="s">
        <v>2091</v>
      </c>
      <c r="U662" s="147" t="s">
        <v>37</v>
      </c>
      <c r="V662" s="129"/>
      <c r="W662" s="147" t="s">
        <v>2213</v>
      </c>
      <c r="X662" s="215" t="s">
        <v>1009</v>
      </c>
      <c r="Y662" s="216">
        <v>0</v>
      </c>
      <c r="Z662" s="216">
        <v>0</v>
      </c>
      <c r="AA662" s="263"/>
      <c r="AB662" s="305"/>
      <c r="AC662" s="214"/>
    </row>
    <row r="663" spans="1:29" s="182" customFormat="1" hidden="1" x14ac:dyDescent="0.25">
      <c r="A663" s="131">
        <v>1</v>
      </c>
      <c r="B663" s="136">
        <v>1207070</v>
      </c>
      <c r="C663" s="128" t="s">
        <v>657</v>
      </c>
      <c r="D663" s="129" t="s">
        <v>823</v>
      </c>
      <c r="E663" s="147" t="s">
        <v>38</v>
      </c>
      <c r="F663" s="129" t="s">
        <v>824</v>
      </c>
      <c r="G663" s="147" t="s">
        <v>34</v>
      </c>
      <c r="H663" s="191">
        <f t="shared" si="11"/>
        <v>16.05</v>
      </c>
      <c r="I663" s="225"/>
      <c r="J663" s="149"/>
      <c r="K663" s="147"/>
      <c r="L663" s="147"/>
      <c r="M663" s="147">
        <v>4</v>
      </c>
      <c r="N663" s="289">
        <v>50</v>
      </c>
      <c r="O663" s="196"/>
      <c r="P663" s="180"/>
      <c r="Q663" s="174">
        <v>16</v>
      </c>
      <c r="R663" s="284">
        <v>0.05</v>
      </c>
      <c r="S663" s="165"/>
      <c r="T663" s="129"/>
      <c r="U663" s="147" t="s">
        <v>37</v>
      </c>
      <c r="V663" s="129"/>
      <c r="W663" s="163" t="s">
        <v>54</v>
      </c>
      <c r="X663" s="215"/>
      <c r="Y663" s="216">
        <v>0</v>
      </c>
      <c r="Z663" s="216">
        <v>0</v>
      </c>
      <c r="AA663" s="263"/>
      <c r="AB663" s="155"/>
      <c r="AC663" s="212"/>
    </row>
    <row r="664" spans="1:29" s="182" customFormat="1" hidden="1" x14ac:dyDescent="0.25">
      <c r="A664" s="131">
        <v>1</v>
      </c>
      <c r="B664" s="136">
        <v>1207071</v>
      </c>
      <c r="C664" s="128" t="s">
        <v>657</v>
      </c>
      <c r="D664" s="129" t="s">
        <v>826</v>
      </c>
      <c r="E664" s="147" t="s">
        <v>38</v>
      </c>
      <c r="F664" s="129" t="s">
        <v>824</v>
      </c>
      <c r="G664" s="147" t="s">
        <v>34</v>
      </c>
      <c r="H664" s="191">
        <f t="shared" si="11"/>
        <v>16.05</v>
      </c>
      <c r="I664" s="237"/>
      <c r="J664" s="149"/>
      <c r="K664" s="147"/>
      <c r="L664" s="147"/>
      <c r="M664" s="147">
        <v>4</v>
      </c>
      <c r="N664" s="289">
        <v>50</v>
      </c>
      <c r="O664" s="196"/>
      <c r="P664" s="180"/>
      <c r="Q664" s="174">
        <v>16</v>
      </c>
      <c r="R664" s="284">
        <v>0.05</v>
      </c>
      <c r="S664" s="165"/>
      <c r="T664" s="129" t="s">
        <v>242</v>
      </c>
      <c r="U664" s="147" t="s">
        <v>35</v>
      </c>
      <c r="V664" s="129"/>
      <c r="W664" s="147" t="s">
        <v>2214</v>
      </c>
      <c r="X664" s="215"/>
      <c r="Y664" s="216">
        <v>0</v>
      </c>
      <c r="Z664" s="216">
        <v>0</v>
      </c>
      <c r="AA664" s="263"/>
      <c r="AB664" s="155"/>
      <c r="AC664" s="212"/>
    </row>
    <row r="665" spans="1:29" s="182" customFormat="1" hidden="1" x14ac:dyDescent="0.25">
      <c r="A665" s="131">
        <v>1</v>
      </c>
      <c r="B665" s="136">
        <v>1207072</v>
      </c>
      <c r="C665" s="128" t="s">
        <v>657</v>
      </c>
      <c r="D665" s="129" t="s">
        <v>827</v>
      </c>
      <c r="E665" s="147" t="s">
        <v>38</v>
      </c>
      <c r="F665" s="129" t="s">
        <v>824</v>
      </c>
      <c r="G665" s="147" t="s">
        <v>34</v>
      </c>
      <c r="H665" s="191">
        <f t="shared" si="11"/>
        <v>16.05</v>
      </c>
      <c r="I665" s="237"/>
      <c r="J665" s="149"/>
      <c r="K665" s="147"/>
      <c r="L665" s="147"/>
      <c r="M665" s="147">
        <v>4</v>
      </c>
      <c r="N665" s="289">
        <v>50</v>
      </c>
      <c r="O665" s="196"/>
      <c r="P665" s="180"/>
      <c r="Q665" s="174">
        <v>16</v>
      </c>
      <c r="R665" s="284">
        <v>0.05</v>
      </c>
      <c r="S665" s="165"/>
      <c r="T665" s="129" t="s">
        <v>242</v>
      </c>
      <c r="U665" s="147" t="s">
        <v>35</v>
      </c>
      <c r="V665" s="129"/>
      <c r="W665" s="147" t="s">
        <v>2214</v>
      </c>
      <c r="X665" s="215"/>
      <c r="Y665" s="216">
        <v>0</v>
      </c>
      <c r="Z665" s="216">
        <v>0</v>
      </c>
      <c r="AA665" s="263"/>
      <c r="AB665" s="155"/>
      <c r="AC665" s="212"/>
    </row>
    <row r="666" spans="1:29" hidden="1" x14ac:dyDescent="0.25">
      <c r="A666" s="131">
        <v>1</v>
      </c>
      <c r="B666" s="136">
        <v>1207073</v>
      </c>
      <c r="C666" s="128" t="s">
        <v>657</v>
      </c>
      <c r="D666" s="129" t="s">
        <v>828</v>
      </c>
      <c r="E666" s="147" t="s">
        <v>38</v>
      </c>
      <c r="F666" s="129" t="s">
        <v>824</v>
      </c>
      <c r="G666" s="147" t="s">
        <v>34</v>
      </c>
      <c r="H666" s="191">
        <f t="shared" si="11"/>
        <v>45.63</v>
      </c>
      <c r="I666" s="134"/>
      <c r="J666" s="150"/>
      <c r="K666" s="147"/>
      <c r="L666" s="147"/>
      <c r="M666" s="147">
        <v>4</v>
      </c>
      <c r="N666" s="289">
        <v>50</v>
      </c>
      <c r="O666" s="196"/>
      <c r="P666" s="180"/>
      <c r="Q666" s="174">
        <v>45.63</v>
      </c>
      <c r="R666" s="205"/>
      <c r="S666" s="168" t="s">
        <v>35</v>
      </c>
      <c r="T666" s="129" t="s">
        <v>36</v>
      </c>
      <c r="U666" s="147" t="s">
        <v>37</v>
      </c>
      <c r="V666" s="129"/>
      <c r="W666" s="147" t="s">
        <v>2214</v>
      </c>
      <c r="X666" s="215"/>
      <c r="Y666" s="216">
        <v>0</v>
      </c>
      <c r="Z666" s="216">
        <v>0</v>
      </c>
      <c r="AA666" s="263"/>
      <c r="AB666" s="155"/>
      <c r="AC666" s="212"/>
    </row>
    <row r="667" spans="1:29" s="182" customFormat="1" hidden="1" x14ac:dyDescent="0.25">
      <c r="A667" s="131">
        <v>1</v>
      </c>
      <c r="B667" s="136">
        <v>1207074</v>
      </c>
      <c r="C667" s="128" t="s">
        <v>657</v>
      </c>
      <c r="D667" s="129" t="s">
        <v>829</v>
      </c>
      <c r="E667" s="147" t="s">
        <v>38</v>
      </c>
      <c r="F667" s="129" t="s">
        <v>824</v>
      </c>
      <c r="G667" s="147" t="s">
        <v>34</v>
      </c>
      <c r="H667" s="191">
        <f t="shared" si="11"/>
        <v>37.953200000000002</v>
      </c>
      <c r="I667" s="134"/>
      <c r="J667" s="150"/>
      <c r="K667" s="147"/>
      <c r="L667" s="147"/>
      <c r="M667" s="147">
        <v>4</v>
      </c>
      <c r="N667" s="289">
        <v>25</v>
      </c>
      <c r="O667" s="196"/>
      <c r="P667" s="180"/>
      <c r="Q667" s="174">
        <v>37.18</v>
      </c>
      <c r="R667" s="205">
        <v>0.7732</v>
      </c>
      <c r="S667" s="165"/>
      <c r="T667" s="129" t="s">
        <v>36</v>
      </c>
      <c r="U667" s="147" t="s">
        <v>37</v>
      </c>
      <c r="V667" s="129"/>
      <c r="W667" s="147" t="s">
        <v>2214</v>
      </c>
      <c r="X667" s="215"/>
      <c r="Y667" s="216">
        <v>0</v>
      </c>
      <c r="Z667" s="216">
        <v>0</v>
      </c>
      <c r="AA667" s="263"/>
      <c r="AB667" s="155"/>
      <c r="AC667" s="212"/>
    </row>
    <row r="668" spans="1:29" hidden="1" x14ac:dyDescent="0.25">
      <c r="A668" s="131">
        <v>1</v>
      </c>
      <c r="B668" s="136">
        <v>1207075</v>
      </c>
      <c r="C668" s="128" t="s">
        <v>657</v>
      </c>
      <c r="D668" s="129" t="s">
        <v>830</v>
      </c>
      <c r="E668" s="147" t="s">
        <v>38</v>
      </c>
      <c r="F668" s="129" t="s">
        <v>824</v>
      </c>
      <c r="G668" s="147" t="s">
        <v>34</v>
      </c>
      <c r="H668" s="191">
        <f t="shared" si="11"/>
        <v>16.05</v>
      </c>
      <c r="I668" s="225"/>
      <c r="J668" s="149"/>
      <c r="K668" s="147"/>
      <c r="L668" s="147"/>
      <c r="M668" s="147">
        <v>4</v>
      </c>
      <c r="N668" s="289">
        <v>50</v>
      </c>
      <c r="O668" s="196"/>
      <c r="P668" s="180"/>
      <c r="Q668" s="174">
        <v>16</v>
      </c>
      <c r="R668" s="284">
        <v>0.05</v>
      </c>
      <c r="S668" s="165"/>
      <c r="T668" s="129" t="s">
        <v>36</v>
      </c>
      <c r="U668" s="147" t="s">
        <v>37</v>
      </c>
      <c r="V668" s="129"/>
      <c r="W668" s="163" t="s">
        <v>54</v>
      </c>
      <c r="X668" s="215"/>
      <c r="Y668" s="216">
        <v>0</v>
      </c>
      <c r="Z668" s="216">
        <v>0</v>
      </c>
      <c r="AA668" s="263"/>
      <c r="AB668" s="155"/>
      <c r="AC668" s="212"/>
    </row>
    <row r="669" spans="1:29" x14ac:dyDescent="0.25">
      <c r="A669" s="131">
        <v>1</v>
      </c>
      <c r="B669" s="136">
        <v>1207080</v>
      </c>
      <c r="C669" s="128" t="s">
        <v>657</v>
      </c>
      <c r="D669" s="129" t="s">
        <v>831</v>
      </c>
      <c r="E669" s="147" t="s">
        <v>38</v>
      </c>
      <c r="F669" s="129" t="s">
        <v>1793</v>
      </c>
      <c r="G669" s="147" t="s">
        <v>34</v>
      </c>
      <c r="H669" s="191">
        <f t="shared" si="11"/>
        <v>7.12</v>
      </c>
      <c r="I669" s="222" t="s">
        <v>2084</v>
      </c>
      <c r="J669" s="146">
        <v>0</v>
      </c>
      <c r="K669" s="147">
        <v>3</v>
      </c>
      <c r="L669" s="147">
        <v>1</v>
      </c>
      <c r="M669" s="147">
        <v>4</v>
      </c>
      <c r="N669" s="289">
        <v>250</v>
      </c>
      <c r="O669" s="174">
        <f>5.57+1.25</f>
        <v>6.82</v>
      </c>
      <c r="P669" s="180">
        <v>46122</v>
      </c>
      <c r="Q669" s="174">
        <v>5.87</v>
      </c>
      <c r="R669" s="205">
        <f>300/N669+0.05</f>
        <v>1.25</v>
      </c>
      <c r="S669" s="165"/>
      <c r="T669" s="129" t="s">
        <v>358</v>
      </c>
      <c r="U669" s="147" t="s">
        <v>37</v>
      </c>
      <c r="V669" s="129"/>
      <c r="W669" s="147" t="s">
        <v>2213</v>
      </c>
      <c r="X669" s="215" t="s">
        <v>1009</v>
      </c>
      <c r="Y669" s="216">
        <v>54.432299999999998</v>
      </c>
      <c r="Z669" s="216">
        <v>74.844412500000004</v>
      </c>
      <c r="AA669" s="263"/>
      <c r="AB669" s="305"/>
    </row>
    <row r="670" spans="1:29" hidden="1" x14ac:dyDescent="0.25">
      <c r="A670" s="131">
        <v>1</v>
      </c>
      <c r="B670" s="136">
        <v>1207081</v>
      </c>
      <c r="C670" s="128" t="s">
        <v>657</v>
      </c>
      <c r="D670" s="129" t="s">
        <v>835</v>
      </c>
      <c r="E670" s="147" t="s">
        <v>38</v>
      </c>
      <c r="F670" s="129" t="s">
        <v>836</v>
      </c>
      <c r="G670" s="147" t="s">
        <v>34</v>
      </c>
      <c r="H670" s="191">
        <f t="shared" si="11"/>
        <v>15.123199999999999</v>
      </c>
      <c r="I670" s="134" t="s">
        <v>2084</v>
      </c>
      <c r="J670" s="150"/>
      <c r="K670" s="147"/>
      <c r="L670" s="147"/>
      <c r="M670" s="147">
        <v>4</v>
      </c>
      <c r="N670" s="289">
        <v>50</v>
      </c>
      <c r="O670" s="196"/>
      <c r="P670" s="180"/>
      <c r="Q670" s="174">
        <v>14.35</v>
      </c>
      <c r="R670" s="205">
        <v>0.7732</v>
      </c>
      <c r="S670" s="165" t="s">
        <v>35</v>
      </c>
      <c r="T670" s="129" t="s">
        <v>358</v>
      </c>
      <c r="U670" s="147" t="s">
        <v>37</v>
      </c>
      <c r="V670" s="129"/>
      <c r="W670" s="147" t="s">
        <v>2214</v>
      </c>
      <c r="X670" s="215"/>
      <c r="Y670" s="216">
        <v>0</v>
      </c>
      <c r="Z670" s="216">
        <v>0</v>
      </c>
      <c r="AA670" s="263"/>
      <c r="AB670" s="155"/>
      <c r="AC670" s="212"/>
    </row>
    <row r="671" spans="1:29" hidden="1" x14ac:dyDescent="0.25">
      <c r="A671" s="131">
        <v>1</v>
      </c>
      <c r="B671" s="156">
        <v>1207082</v>
      </c>
      <c r="C671" s="128" t="s">
        <v>657</v>
      </c>
      <c r="D671" s="129" t="s">
        <v>1634</v>
      </c>
      <c r="E671" s="147" t="s">
        <v>38</v>
      </c>
      <c r="F671" s="129" t="s">
        <v>1625</v>
      </c>
      <c r="G671" s="147" t="s">
        <v>34</v>
      </c>
      <c r="H671" s="191">
        <f t="shared" si="11"/>
        <v>16.05</v>
      </c>
      <c r="I671" s="181" t="s">
        <v>2218</v>
      </c>
      <c r="J671" s="150"/>
      <c r="K671" s="147">
        <v>11</v>
      </c>
      <c r="L671" s="147">
        <v>1</v>
      </c>
      <c r="M671" s="147">
        <v>12</v>
      </c>
      <c r="N671" s="289"/>
      <c r="O671" s="196"/>
      <c r="P671" s="180"/>
      <c r="Q671" s="174">
        <v>16</v>
      </c>
      <c r="R671" s="284">
        <v>0.05</v>
      </c>
      <c r="S671" s="165"/>
      <c r="T671" s="129" t="s">
        <v>1625</v>
      </c>
      <c r="U671" s="147" t="s">
        <v>37</v>
      </c>
      <c r="V671" s="129"/>
      <c r="W671" s="163" t="s">
        <v>2531</v>
      </c>
      <c r="X671" s="215"/>
      <c r="Y671" s="216">
        <v>0</v>
      </c>
      <c r="Z671" s="216">
        <v>0</v>
      </c>
      <c r="AA671" s="263"/>
      <c r="AB671" s="155"/>
      <c r="AC671" s="212"/>
    </row>
    <row r="672" spans="1:29" hidden="1" x14ac:dyDescent="0.25">
      <c r="A672" s="131">
        <v>1</v>
      </c>
      <c r="B672" s="136">
        <v>1208001</v>
      </c>
      <c r="C672" s="128" t="s">
        <v>567</v>
      </c>
      <c r="D672" s="127" t="s">
        <v>840</v>
      </c>
      <c r="E672" s="147" t="s">
        <v>38</v>
      </c>
      <c r="F672" s="129" t="s">
        <v>684</v>
      </c>
      <c r="G672" s="147" t="s">
        <v>1731</v>
      </c>
      <c r="H672" s="191">
        <f t="shared" si="11"/>
        <v>0</v>
      </c>
      <c r="I672" s="134" t="s">
        <v>2084</v>
      </c>
      <c r="J672" s="146">
        <v>0</v>
      </c>
      <c r="K672" s="147">
        <v>9</v>
      </c>
      <c r="L672" s="147">
        <v>1</v>
      </c>
      <c r="M672" s="147">
        <v>10</v>
      </c>
      <c r="N672" s="289"/>
      <c r="O672" s="196"/>
      <c r="P672" s="180"/>
      <c r="Q672" s="174"/>
      <c r="R672" s="206">
        <v>0</v>
      </c>
      <c r="S672" s="168"/>
      <c r="T672" s="129" t="s">
        <v>36</v>
      </c>
      <c r="U672" s="147" t="s">
        <v>37</v>
      </c>
      <c r="V672" s="129"/>
      <c r="W672" s="163" t="s">
        <v>54</v>
      </c>
      <c r="X672" s="215"/>
      <c r="Y672" s="216">
        <v>0</v>
      </c>
      <c r="Z672" s="216">
        <v>0</v>
      </c>
      <c r="AA672" s="263"/>
      <c r="AB672" s="305"/>
    </row>
    <row r="673" spans="1:29" hidden="1" x14ac:dyDescent="0.25">
      <c r="A673" s="131">
        <v>1</v>
      </c>
      <c r="B673" s="136">
        <v>1209001</v>
      </c>
      <c r="C673" s="128" t="s">
        <v>657</v>
      </c>
      <c r="D673" s="127" t="s">
        <v>841</v>
      </c>
      <c r="E673" s="147" t="s">
        <v>38</v>
      </c>
      <c r="F673" s="129" t="s">
        <v>382</v>
      </c>
      <c r="G673" s="147" t="s">
        <v>34</v>
      </c>
      <c r="H673" s="191">
        <f t="shared" si="11"/>
        <v>16.05</v>
      </c>
      <c r="I673" s="225"/>
      <c r="J673" s="149"/>
      <c r="K673" s="147"/>
      <c r="L673" s="147"/>
      <c r="M673" s="147">
        <v>4</v>
      </c>
      <c r="N673" s="289"/>
      <c r="O673" s="196"/>
      <c r="P673" s="180"/>
      <c r="Q673" s="174">
        <v>16</v>
      </c>
      <c r="R673" s="284">
        <v>0.05</v>
      </c>
      <c r="S673" s="168"/>
      <c r="T673" s="129" t="s">
        <v>382</v>
      </c>
      <c r="U673" s="147" t="s">
        <v>37</v>
      </c>
      <c r="V673" s="129"/>
      <c r="W673" s="163" t="s">
        <v>2531</v>
      </c>
      <c r="X673" s="215"/>
      <c r="Y673" s="216">
        <v>0</v>
      </c>
      <c r="Z673" s="216">
        <v>0</v>
      </c>
      <c r="AA673" s="263"/>
      <c r="AB673" s="155"/>
      <c r="AC673" s="212"/>
    </row>
    <row r="674" spans="1:29" ht="24" x14ac:dyDescent="0.25">
      <c r="A674" s="131">
        <v>1</v>
      </c>
      <c r="B674" s="156">
        <v>1209002</v>
      </c>
      <c r="C674" s="128" t="s">
        <v>657</v>
      </c>
      <c r="D674" s="127" t="s">
        <v>842</v>
      </c>
      <c r="E674" s="147" t="s">
        <v>38</v>
      </c>
      <c r="F674" s="129" t="s">
        <v>1792</v>
      </c>
      <c r="G674" s="147" t="s">
        <v>34</v>
      </c>
      <c r="H674" s="191">
        <f t="shared" si="11"/>
        <v>52.385920348362511</v>
      </c>
      <c r="I674" s="222" t="s">
        <v>2228</v>
      </c>
      <c r="J674" s="146">
        <v>30</v>
      </c>
      <c r="K674" s="147">
        <v>5</v>
      </c>
      <c r="L674" s="147">
        <v>1</v>
      </c>
      <c r="M674" s="147">
        <v>6</v>
      </c>
      <c r="N674" s="289">
        <v>55.115000000000002</v>
      </c>
      <c r="O674" s="195">
        <v>40.39</v>
      </c>
      <c r="P674" s="180">
        <v>44811</v>
      </c>
      <c r="Q674" s="174">
        <v>52.385920348362511</v>
      </c>
      <c r="R674" s="205">
        <v>0</v>
      </c>
      <c r="S674" s="165"/>
      <c r="T674" s="129" t="s">
        <v>36</v>
      </c>
      <c r="U674" s="147" t="s">
        <v>37</v>
      </c>
      <c r="V674" s="129"/>
      <c r="W674" s="147" t="s">
        <v>2213</v>
      </c>
      <c r="X674" s="215" t="s">
        <v>1906</v>
      </c>
      <c r="Y674" s="216">
        <v>2.7499999999999996</v>
      </c>
      <c r="Z674" s="216">
        <v>3.4999999999999996</v>
      </c>
      <c r="AA674" s="263"/>
      <c r="AB674" s="305"/>
    </row>
    <row r="675" spans="1:29" ht="36" hidden="1" x14ac:dyDescent="0.25">
      <c r="A675" s="131">
        <v>1</v>
      </c>
      <c r="B675" s="136">
        <v>1209003</v>
      </c>
      <c r="C675" s="128" t="s">
        <v>657</v>
      </c>
      <c r="D675" s="127" t="s">
        <v>844</v>
      </c>
      <c r="E675" s="147" t="s">
        <v>38</v>
      </c>
      <c r="F675" s="129" t="s">
        <v>1861</v>
      </c>
      <c r="G675" s="147" t="s">
        <v>34</v>
      </c>
      <c r="H675" s="191">
        <f t="shared" si="11"/>
        <v>22</v>
      </c>
      <c r="I675" s="222" t="s">
        <v>2234</v>
      </c>
      <c r="J675" s="148">
        <v>30</v>
      </c>
      <c r="K675" s="147">
        <v>5</v>
      </c>
      <c r="L675" s="147">
        <v>1</v>
      </c>
      <c r="M675" s="147">
        <v>6</v>
      </c>
      <c r="N675" s="289">
        <v>50</v>
      </c>
      <c r="O675" s="196"/>
      <c r="P675" s="180"/>
      <c r="Q675" s="174">
        <v>16</v>
      </c>
      <c r="R675" s="291">
        <f>300/N675</f>
        <v>6</v>
      </c>
      <c r="S675" s="168"/>
      <c r="T675" s="129" t="s">
        <v>102</v>
      </c>
      <c r="U675" s="147" t="s">
        <v>35</v>
      </c>
      <c r="V675" s="129"/>
      <c r="W675" s="163" t="s">
        <v>54</v>
      </c>
      <c r="X675" s="215"/>
      <c r="Y675" s="216">
        <v>0</v>
      </c>
      <c r="Z675" s="216">
        <v>0</v>
      </c>
      <c r="AA675" s="263"/>
      <c r="AB675" s="305"/>
    </row>
    <row r="676" spans="1:29" hidden="1" x14ac:dyDescent="0.25">
      <c r="A676" s="131">
        <v>1</v>
      </c>
      <c r="B676" s="136">
        <v>1209004</v>
      </c>
      <c r="C676" s="128" t="s">
        <v>657</v>
      </c>
      <c r="D676" s="127" t="s">
        <v>847</v>
      </c>
      <c r="E676" s="147" t="s">
        <v>38</v>
      </c>
      <c r="F676" s="129" t="s">
        <v>36</v>
      </c>
      <c r="G676" s="147" t="s">
        <v>34</v>
      </c>
      <c r="H676" s="191">
        <f t="shared" si="11"/>
        <v>2.0499999999999998</v>
      </c>
      <c r="I676" s="181" t="s">
        <v>2218</v>
      </c>
      <c r="J676" s="150"/>
      <c r="K676" s="147"/>
      <c r="L676" s="147"/>
      <c r="M676" s="147">
        <v>4</v>
      </c>
      <c r="N676" s="289"/>
      <c r="O676" s="196"/>
      <c r="P676" s="180"/>
      <c r="Q676" s="174">
        <v>2.0499999999999998</v>
      </c>
      <c r="R676" s="205">
        <v>0</v>
      </c>
      <c r="S676" s="168"/>
      <c r="T676" s="129" t="s">
        <v>36</v>
      </c>
      <c r="U676" s="147" t="s">
        <v>37</v>
      </c>
      <c r="V676" s="129"/>
      <c r="W676" s="163" t="s">
        <v>2531</v>
      </c>
      <c r="X676" s="215"/>
      <c r="Y676" s="216">
        <v>0</v>
      </c>
      <c r="Z676" s="216">
        <v>0</v>
      </c>
      <c r="AA676" s="263"/>
      <c r="AB676" s="305"/>
    </row>
    <row r="677" spans="1:29" hidden="1" x14ac:dyDescent="0.25">
      <c r="A677" s="131">
        <v>1</v>
      </c>
      <c r="B677" s="136">
        <v>1209005</v>
      </c>
      <c r="C677" s="128" t="s">
        <v>657</v>
      </c>
      <c r="D677" s="127" t="s">
        <v>848</v>
      </c>
      <c r="E677" s="147" t="s">
        <v>38</v>
      </c>
      <c r="F677" s="129" t="s">
        <v>329</v>
      </c>
      <c r="G677" s="147" t="s">
        <v>34</v>
      </c>
      <c r="H677" s="191">
        <f t="shared" si="11"/>
        <v>8.0300000000000011</v>
      </c>
      <c r="I677" s="181" t="s">
        <v>2218</v>
      </c>
      <c r="J677" s="150"/>
      <c r="K677" s="147">
        <v>2</v>
      </c>
      <c r="L677" s="147">
        <v>2</v>
      </c>
      <c r="M677" s="147">
        <v>4</v>
      </c>
      <c r="N677" s="289"/>
      <c r="O677" s="196"/>
      <c r="P677" s="180"/>
      <c r="Q677" s="174">
        <v>7.98</v>
      </c>
      <c r="R677" s="205">
        <v>0.05</v>
      </c>
      <c r="S677" s="165"/>
      <c r="T677" s="128" t="s">
        <v>329</v>
      </c>
      <c r="U677" s="147" t="s">
        <v>35</v>
      </c>
      <c r="V677" s="129" t="s">
        <v>1603</v>
      </c>
      <c r="W677" s="177" t="s">
        <v>2531</v>
      </c>
      <c r="X677" s="215"/>
      <c r="Y677" s="216">
        <v>0</v>
      </c>
      <c r="Z677" s="216">
        <v>0</v>
      </c>
      <c r="AA677" s="263"/>
      <c r="AB677" s="155"/>
      <c r="AC677" s="212"/>
    </row>
    <row r="678" spans="1:29" ht="24" x14ac:dyDescent="0.25">
      <c r="A678" s="131">
        <v>1</v>
      </c>
      <c r="B678" s="136">
        <v>1209006</v>
      </c>
      <c r="C678" s="128" t="s">
        <v>657</v>
      </c>
      <c r="D678" s="127" t="s">
        <v>849</v>
      </c>
      <c r="E678" s="147" t="s">
        <v>38</v>
      </c>
      <c r="F678" s="129" t="s">
        <v>1792</v>
      </c>
      <c r="G678" s="147" t="s">
        <v>34</v>
      </c>
      <c r="H678" s="191">
        <f t="shared" si="11"/>
        <v>7.42</v>
      </c>
      <c r="I678" s="222" t="s">
        <v>2228</v>
      </c>
      <c r="J678" s="146">
        <v>30</v>
      </c>
      <c r="K678" s="147">
        <v>4</v>
      </c>
      <c r="L678" s="147">
        <v>1</v>
      </c>
      <c r="M678" s="147">
        <v>5</v>
      </c>
      <c r="N678" s="289">
        <v>110</v>
      </c>
      <c r="O678" s="195">
        <v>7.42</v>
      </c>
      <c r="P678" s="180">
        <v>45133</v>
      </c>
      <c r="Q678" s="174">
        <v>7.42</v>
      </c>
      <c r="R678" s="205">
        <v>0</v>
      </c>
      <c r="S678" s="165"/>
      <c r="T678" s="128" t="s">
        <v>2450</v>
      </c>
      <c r="U678" s="147" t="s">
        <v>37</v>
      </c>
      <c r="V678" s="129"/>
      <c r="W678" s="147" t="s">
        <v>2213</v>
      </c>
      <c r="X678" s="215" t="s">
        <v>1906</v>
      </c>
      <c r="Y678" s="216">
        <v>53.459999999999987</v>
      </c>
      <c r="Z678" s="216">
        <v>73.507499999999979</v>
      </c>
      <c r="AA678" s="263"/>
      <c r="AB678" s="305"/>
    </row>
    <row r="679" spans="1:29" s="182" customFormat="1" ht="24" x14ac:dyDescent="0.25">
      <c r="A679" s="131">
        <v>1</v>
      </c>
      <c r="B679" s="136">
        <v>1209007</v>
      </c>
      <c r="C679" s="128" t="s">
        <v>657</v>
      </c>
      <c r="D679" s="127" t="s">
        <v>853</v>
      </c>
      <c r="E679" s="147" t="s">
        <v>38</v>
      </c>
      <c r="F679" s="129" t="s">
        <v>1792</v>
      </c>
      <c r="G679" s="147" t="s">
        <v>34</v>
      </c>
      <c r="H679" s="191">
        <f t="shared" si="11"/>
        <v>15.21</v>
      </c>
      <c r="I679" s="222" t="s">
        <v>2228</v>
      </c>
      <c r="J679" s="146">
        <v>30</v>
      </c>
      <c r="K679" s="147">
        <v>4</v>
      </c>
      <c r="L679" s="147">
        <v>1</v>
      </c>
      <c r="M679" s="147">
        <v>5</v>
      </c>
      <c r="N679" s="289">
        <v>55</v>
      </c>
      <c r="O679" s="195">
        <v>15.21</v>
      </c>
      <c r="P679" s="180">
        <v>45133</v>
      </c>
      <c r="Q679" s="174">
        <v>15.21</v>
      </c>
      <c r="R679" s="205">
        <v>0</v>
      </c>
      <c r="S679" s="165"/>
      <c r="T679" s="128" t="s">
        <v>2450</v>
      </c>
      <c r="U679" s="147" t="s">
        <v>37</v>
      </c>
      <c r="V679" s="129"/>
      <c r="W679" s="147" t="s">
        <v>2213</v>
      </c>
      <c r="X679" s="215" t="s">
        <v>1906</v>
      </c>
      <c r="Y679" s="216">
        <v>8.8666666666666671</v>
      </c>
      <c r="Z679" s="216">
        <v>12.191666666666666</v>
      </c>
      <c r="AA679" s="263"/>
      <c r="AB679" s="305"/>
      <c r="AC679" s="214"/>
    </row>
    <row r="680" spans="1:29" s="182" customFormat="1" ht="24" x14ac:dyDescent="0.25">
      <c r="A680" s="131">
        <v>1</v>
      </c>
      <c r="B680" s="136">
        <v>1209008</v>
      </c>
      <c r="C680" s="128" t="s">
        <v>657</v>
      </c>
      <c r="D680" s="127" t="s">
        <v>2311</v>
      </c>
      <c r="E680" s="147" t="s">
        <v>38</v>
      </c>
      <c r="F680" s="129" t="s">
        <v>1792</v>
      </c>
      <c r="G680" s="147" t="s">
        <v>34</v>
      </c>
      <c r="H680" s="191">
        <f t="shared" si="11"/>
        <v>20.556999999999999</v>
      </c>
      <c r="I680" s="222" t="s">
        <v>2228</v>
      </c>
      <c r="J680" s="146">
        <v>30</v>
      </c>
      <c r="K680" s="147">
        <v>4</v>
      </c>
      <c r="L680" s="147">
        <v>1</v>
      </c>
      <c r="M680" s="147">
        <v>5</v>
      </c>
      <c r="N680" s="289">
        <v>55</v>
      </c>
      <c r="O680" s="174">
        <v>18.07</v>
      </c>
      <c r="P680" s="180">
        <v>45869</v>
      </c>
      <c r="Q680" s="272">
        <v>20.556999999999999</v>
      </c>
      <c r="R680" s="205">
        <v>0</v>
      </c>
      <c r="S680" s="165"/>
      <c r="T680" s="128" t="s">
        <v>2450</v>
      </c>
      <c r="U680" s="147" t="s">
        <v>37</v>
      </c>
      <c r="V680" s="129"/>
      <c r="W680" s="147" t="s">
        <v>2213</v>
      </c>
      <c r="X680" s="215" t="s">
        <v>1906</v>
      </c>
      <c r="Y680" s="216">
        <v>0</v>
      </c>
      <c r="Z680" s="216">
        <v>0</v>
      </c>
      <c r="AA680" s="263"/>
      <c r="AB680" s="305"/>
      <c r="AC680" s="214"/>
    </row>
    <row r="681" spans="1:29" s="182" customFormat="1" ht="24" x14ac:dyDescent="0.25">
      <c r="A681" s="131">
        <v>1</v>
      </c>
      <c r="B681" s="136">
        <v>1209009</v>
      </c>
      <c r="C681" s="128" t="s">
        <v>657</v>
      </c>
      <c r="D681" s="318" t="s">
        <v>2577</v>
      </c>
      <c r="E681" s="147" t="s">
        <v>38</v>
      </c>
      <c r="F681" s="129" t="s">
        <v>1792</v>
      </c>
      <c r="G681" s="147" t="s">
        <v>34</v>
      </c>
      <c r="H681" s="191">
        <f t="shared" si="11"/>
        <v>28.776195228159299</v>
      </c>
      <c r="I681" s="222" t="s">
        <v>2228</v>
      </c>
      <c r="J681" s="146">
        <v>30</v>
      </c>
      <c r="K681" s="147">
        <v>5</v>
      </c>
      <c r="L681" s="147">
        <v>1</v>
      </c>
      <c r="M681" s="147">
        <v>6</v>
      </c>
      <c r="N681" s="289">
        <f>25*2.2046</f>
        <v>55.115000000000002</v>
      </c>
      <c r="O681" s="195"/>
      <c r="P681" s="180">
        <v>46076</v>
      </c>
      <c r="Q681" s="272">
        <f>63.44/2.2046</f>
        <v>28.776195228159299</v>
      </c>
      <c r="R681" s="205">
        <v>0</v>
      </c>
      <c r="S681" s="165"/>
      <c r="T681" s="128" t="s">
        <v>2450</v>
      </c>
      <c r="U681" s="147" t="s">
        <v>37</v>
      </c>
      <c r="V681" s="129"/>
      <c r="W681" s="147" t="s">
        <v>2213</v>
      </c>
      <c r="X681" s="217" t="s">
        <v>1906</v>
      </c>
      <c r="Y681" s="216">
        <v>0</v>
      </c>
      <c r="Z681" s="216">
        <v>0</v>
      </c>
      <c r="AA681" s="263"/>
      <c r="AB681" s="305"/>
      <c r="AC681" s="214"/>
    </row>
    <row r="682" spans="1:29" s="182" customFormat="1" hidden="1" x14ac:dyDescent="0.25">
      <c r="A682" s="131">
        <v>1</v>
      </c>
      <c r="B682" s="136">
        <v>1209010</v>
      </c>
      <c r="C682" s="128" t="s">
        <v>657</v>
      </c>
      <c r="D682" s="127" t="s">
        <v>856</v>
      </c>
      <c r="E682" s="147" t="s">
        <v>38</v>
      </c>
      <c r="F682" s="129" t="s">
        <v>1640</v>
      </c>
      <c r="G682" s="147" t="s">
        <v>34</v>
      </c>
      <c r="H682" s="191">
        <f t="shared" si="11"/>
        <v>8.73</v>
      </c>
      <c r="I682" s="134"/>
      <c r="J682" s="150"/>
      <c r="K682" s="147"/>
      <c r="L682" s="147"/>
      <c r="M682" s="147">
        <v>16</v>
      </c>
      <c r="N682" s="289">
        <v>55</v>
      </c>
      <c r="O682" s="196">
        <v>3.27</v>
      </c>
      <c r="P682" s="180">
        <v>45049</v>
      </c>
      <c r="Q682" s="174">
        <v>8.73</v>
      </c>
      <c r="R682" s="205">
        <v>0</v>
      </c>
      <c r="S682" s="165"/>
      <c r="T682" s="129" t="s">
        <v>102</v>
      </c>
      <c r="U682" s="147" t="s">
        <v>35</v>
      </c>
      <c r="V682" s="129"/>
      <c r="W682" s="163" t="s">
        <v>54</v>
      </c>
      <c r="X682" s="215"/>
      <c r="Y682" s="216">
        <v>0</v>
      </c>
      <c r="Z682" s="216">
        <v>0</v>
      </c>
      <c r="AA682" s="263"/>
      <c r="AB682" s="155"/>
      <c r="AC682" s="212"/>
    </row>
    <row r="683" spans="1:29" s="182" customFormat="1" ht="36" x14ac:dyDescent="0.25">
      <c r="A683" s="131">
        <v>1</v>
      </c>
      <c r="B683" s="136">
        <v>1209011</v>
      </c>
      <c r="C683" s="128" t="s">
        <v>657</v>
      </c>
      <c r="D683" s="127" t="s">
        <v>2130</v>
      </c>
      <c r="E683" s="147" t="s">
        <v>38</v>
      </c>
      <c r="F683" s="129" t="s">
        <v>1861</v>
      </c>
      <c r="G683" s="147" t="s">
        <v>34</v>
      </c>
      <c r="H683" s="191">
        <f t="shared" si="11"/>
        <v>19.740000000000002</v>
      </c>
      <c r="I683" s="222" t="s">
        <v>2234</v>
      </c>
      <c r="J683" s="148">
        <v>30</v>
      </c>
      <c r="K683" s="147">
        <v>5</v>
      </c>
      <c r="L683" s="147">
        <v>1</v>
      </c>
      <c r="M683" s="147">
        <v>6</v>
      </c>
      <c r="N683" s="289">
        <v>50</v>
      </c>
      <c r="O683" s="174">
        <v>18.5</v>
      </c>
      <c r="P683" s="180">
        <v>46120</v>
      </c>
      <c r="Q683" s="174">
        <v>13.74</v>
      </c>
      <c r="R683" s="291">
        <f>300/N683</f>
        <v>6</v>
      </c>
      <c r="S683" s="165"/>
      <c r="T683" s="128" t="s">
        <v>2091</v>
      </c>
      <c r="U683" s="147" t="s">
        <v>37</v>
      </c>
      <c r="V683" s="129"/>
      <c r="W683" s="147" t="s">
        <v>2213</v>
      </c>
      <c r="X683" s="215" t="s">
        <v>1989</v>
      </c>
      <c r="Y683" s="216">
        <v>2.1999999999999997</v>
      </c>
      <c r="Z683" s="216">
        <v>3.0249999999999995</v>
      </c>
      <c r="AA683" s="263"/>
      <c r="AB683" s="305"/>
      <c r="AC683" s="214"/>
    </row>
    <row r="684" spans="1:29" s="182" customFormat="1" ht="36" x14ac:dyDescent="0.25">
      <c r="A684" s="131">
        <v>1</v>
      </c>
      <c r="B684" s="136">
        <v>1209012</v>
      </c>
      <c r="C684" s="128" t="s">
        <v>657</v>
      </c>
      <c r="D684" s="127" t="s">
        <v>1493</v>
      </c>
      <c r="E684" s="147" t="s">
        <v>38</v>
      </c>
      <c r="F684" s="129" t="s">
        <v>1861</v>
      </c>
      <c r="G684" s="147" t="s">
        <v>34</v>
      </c>
      <c r="H684" s="191">
        <f t="shared" si="11"/>
        <v>17.59</v>
      </c>
      <c r="I684" s="222" t="s">
        <v>2234</v>
      </c>
      <c r="J684" s="148">
        <v>30</v>
      </c>
      <c r="K684" s="147">
        <v>5</v>
      </c>
      <c r="L684" s="147">
        <v>1</v>
      </c>
      <c r="M684" s="147">
        <v>6</v>
      </c>
      <c r="N684" s="289">
        <v>100</v>
      </c>
      <c r="O684" s="174">
        <v>18.62</v>
      </c>
      <c r="P684" s="180">
        <v>46150</v>
      </c>
      <c r="Q684" s="174">
        <v>14.59</v>
      </c>
      <c r="R684" s="291">
        <f>300/N684</f>
        <v>3</v>
      </c>
      <c r="S684" s="165"/>
      <c r="T684" s="128" t="s">
        <v>2091</v>
      </c>
      <c r="U684" s="147" t="s">
        <v>37</v>
      </c>
      <c r="V684" s="129"/>
      <c r="W684" s="147" t="s">
        <v>2213</v>
      </c>
      <c r="X684" s="215" t="s">
        <v>1989</v>
      </c>
      <c r="Y684" s="216">
        <v>0</v>
      </c>
      <c r="Z684" s="216">
        <v>0</v>
      </c>
      <c r="AA684" s="263"/>
      <c r="AB684" s="305"/>
      <c r="AC684" s="214"/>
    </row>
    <row r="685" spans="1:29" s="182" customFormat="1" ht="36" x14ac:dyDescent="0.25">
      <c r="A685" s="131">
        <v>1</v>
      </c>
      <c r="B685" s="136">
        <v>1209013</v>
      </c>
      <c r="C685" s="128" t="s">
        <v>657</v>
      </c>
      <c r="D685" s="127" t="s">
        <v>1971</v>
      </c>
      <c r="E685" s="147" t="s">
        <v>38</v>
      </c>
      <c r="F685" s="129" t="s">
        <v>1861</v>
      </c>
      <c r="G685" s="147" t="s">
        <v>34</v>
      </c>
      <c r="H685" s="191">
        <f t="shared" si="11"/>
        <v>24.91</v>
      </c>
      <c r="I685" s="222" t="s">
        <v>2234</v>
      </c>
      <c r="J685" s="148">
        <v>30</v>
      </c>
      <c r="K685" s="147">
        <v>5</v>
      </c>
      <c r="L685" s="147">
        <v>1</v>
      </c>
      <c r="M685" s="147">
        <v>6</v>
      </c>
      <c r="N685" s="289">
        <v>50</v>
      </c>
      <c r="O685" s="195">
        <v>18.66</v>
      </c>
      <c r="P685" s="180">
        <v>45258</v>
      </c>
      <c r="Q685" s="174">
        <v>18.91</v>
      </c>
      <c r="R685" s="291">
        <f>300/N685</f>
        <v>6</v>
      </c>
      <c r="S685" s="165"/>
      <c r="T685" s="128" t="s">
        <v>2091</v>
      </c>
      <c r="U685" s="147" t="s">
        <v>37</v>
      </c>
      <c r="V685" s="129"/>
      <c r="W685" s="147" t="s">
        <v>2213</v>
      </c>
      <c r="X685" s="215" t="s">
        <v>1989</v>
      </c>
      <c r="Y685" s="216">
        <v>5.6503499999999995</v>
      </c>
      <c r="Z685" s="216">
        <v>7.5337999999999994</v>
      </c>
      <c r="AA685" s="263"/>
      <c r="AB685" s="305"/>
      <c r="AC685" s="214"/>
    </row>
    <row r="686" spans="1:29" s="182" customFormat="1" ht="36" x14ac:dyDescent="0.25">
      <c r="A686" s="131">
        <v>1</v>
      </c>
      <c r="B686" s="136">
        <v>1209014</v>
      </c>
      <c r="C686" s="128" t="s">
        <v>657</v>
      </c>
      <c r="D686" s="127" t="s">
        <v>858</v>
      </c>
      <c r="E686" s="147" t="s">
        <v>38</v>
      </c>
      <c r="F686" s="129" t="s">
        <v>1861</v>
      </c>
      <c r="G686" s="147" t="s">
        <v>34</v>
      </c>
      <c r="H686" s="191">
        <f t="shared" si="11"/>
        <v>16.2</v>
      </c>
      <c r="I686" s="222" t="s">
        <v>2234</v>
      </c>
      <c r="J686" s="148">
        <v>30</v>
      </c>
      <c r="K686" s="147">
        <v>5</v>
      </c>
      <c r="L686" s="147">
        <v>1</v>
      </c>
      <c r="M686" s="147">
        <v>6</v>
      </c>
      <c r="N686" s="289">
        <v>50</v>
      </c>
      <c r="O686" s="195"/>
      <c r="P686" s="180">
        <v>45338</v>
      </c>
      <c r="Q686" s="174">
        <v>10.199999999999999</v>
      </c>
      <c r="R686" s="291">
        <f>300/N686</f>
        <v>6</v>
      </c>
      <c r="S686" s="165"/>
      <c r="T686" s="128" t="s">
        <v>2091</v>
      </c>
      <c r="U686" s="147" t="s">
        <v>37</v>
      </c>
      <c r="V686" s="129"/>
      <c r="W686" s="147" t="s">
        <v>2213</v>
      </c>
      <c r="X686" s="215" t="s">
        <v>1989</v>
      </c>
      <c r="Y686" s="216">
        <v>4.0783500000000004</v>
      </c>
      <c r="Z686" s="216">
        <v>5.4378000000000002</v>
      </c>
      <c r="AA686" s="263"/>
      <c r="AB686" s="305"/>
      <c r="AC686" s="214"/>
    </row>
    <row r="687" spans="1:29" s="182" customFormat="1" ht="24" x14ac:dyDescent="0.25">
      <c r="A687" s="131">
        <v>1</v>
      </c>
      <c r="B687" s="136">
        <v>1209015</v>
      </c>
      <c r="C687" s="128" t="s">
        <v>657</v>
      </c>
      <c r="D687" s="127" t="s">
        <v>1516</v>
      </c>
      <c r="E687" s="147" t="s">
        <v>38</v>
      </c>
      <c r="F687" s="129" t="s">
        <v>1792</v>
      </c>
      <c r="G687" s="147" t="s">
        <v>34</v>
      </c>
      <c r="H687" s="191">
        <f t="shared" si="11"/>
        <v>9.4</v>
      </c>
      <c r="I687" s="222" t="s">
        <v>2228</v>
      </c>
      <c r="J687" s="146">
        <v>30</v>
      </c>
      <c r="K687" s="147">
        <v>4</v>
      </c>
      <c r="L687" s="147">
        <v>1</v>
      </c>
      <c r="M687" s="147">
        <v>5</v>
      </c>
      <c r="N687" s="289">
        <v>220.46</v>
      </c>
      <c r="O687" s="195">
        <v>9.39</v>
      </c>
      <c r="P687" s="180">
        <v>45133</v>
      </c>
      <c r="Q687" s="174">
        <v>9.4</v>
      </c>
      <c r="R687" s="205">
        <v>0</v>
      </c>
      <c r="S687" s="165"/>
      <c r="T687" s="128" t="s">
        <v>2450</v>
      </c>
      <c r="U687" s="147" t="s">
        <v>37</v>
      </c>
      <c r="V687" s="129"/>
      <c r="W687" s="147" t="s">
        <v>2213</v>
      </c>
      <c r="X687" s="215" t="s">
        <v>1906</v>
      </c>
      <c r="Y687" s="216">
        <v>66.422749999999979</v>
      </c>
      <c r="Z687" s="216">
        <v>91.331281249999975</v>
      </c>
      <c r="AA687" s="263"/>
      <c r="AB687" s="305"/>
      <c r="AC687" s="214"/>
    </row>
    <row r="688" spans="1:29" s="182" customFormat="1" ht="24" hidden="1" x14ac:dyDescent="0.25">
      <c r="A688" s="131">
        <v>1</v>
      </c>
      <c r="B688" s="136">
        <v>1209016</v>
      </c>
      <c r="C688" s="128" t="s">
        <v>657</v>
      </c>
      <c r="D688" s="127" t="s">
        <v>1573</v>
      </c>
      <c r="E688" s="147" t="s">
        <v>38</v>
      </c>
      <c r="F688" s="129" t="s">
        <v>1792</v>
      </c>
      <c r="G688" s="147" t="s">
        <v>34</v>
      </c>
      <c r="H688" s="191">
        <f t="shared" si="11"/>
        <v>7.4298999999999999</v>
      </c>
      <c r="I688" s="222" t="s">
        <v>2228</v>
      </c>
      <c r="J688" s="146">
        <v>30</v>
      </c>
      <c r="K688" s="147">
        <v>7</v>
      </c>
      <c r="L688" s="147">
        <v>1</v>
      </c>
      <c r="M688" s="147">
        <v>8</v>
      </c>
      <c r="N688" s="289">
        <v>50</v>
      </c>
      <c r="O688" s="196"/>
      <c r="P688" s="180">
        <v>44686</v>
      </c>
      <c r="Q688" s="174">
        <v>7.4298999999999999</v>
      </c>
      <c r="R688" s="206">
        <v>0</v>
      </c>
      <c r="S688" s="165"/>
      <c r="T688" s="128" t="s">
        <v>284</v>
      </c>
      <c r="U688" s="147" t="s">
        <v>37</v>
      </c>
      <c r="V688" s="129"/>
      <c r="W688" s="147" t="s">
        <v>2214</v>
      </c>
      <c r="X688" s="215" t="s">
        <v>1906</v>
      </c>
      <c r="Y688" s="216">
        <v>0</v>
      </c>
      <c r="Z688" s="216">
        <v>0</v>
      </c>
      <c r="AA688" s="263"/>
      <c r="AB688" s="305"/>
      <c r="AC688" s="214"/>
    </row>
    <row r="689" spans="1:29" s="182" customFormat="1" ht="24" hidden="1" x14ac:dyDescent="0.25">
      <c r="A689" s="131">
        <v>1</v>
      </c>
      <c r="B689" s="136">
        <v>1209017</v>
      </c>
      <c r="C689" s="128" t="s">
        <v>657</v>
      </c>
      <c r="D689" s="127" t="s">
        <v>1584</v>
      </c>
      <c r="E689" s="147" t="s">
        <v>38</v>
      </c>
      <c r="F689" s="129" t="s">
        <v>1585</v>
      </c>
      <c r="G689" s="147" t="s">
        <v>34</v>
      </c>
      <c r="H689" s="191">
        <f t="shared" si="11"/>
        <v>16.05</v>
      </c>
      <c r="I689" s="134"/>
      <c r="J689" s="150"/>
      <c r="K689" s="147"/>
      <c r="L689" s="147"/>
      <c r="M689" s="147">
        <v>2</v>
      </c>
      <c r="N689" s="289"/>
      <c r="O689" s="196"/>
      <c r="P689" s="180"/>
      <c r="Q689" s="174">
        <v>16</v>
      </c>
      <c r="R689" s="284">
        <v>0.05</v>
      </c>
      <c r="S689" s="165" t="s">
        <v>35</v>
      </c>
      <c r="T689" s="128" t="s">
        <v>1588</v>
      </c>
      <c r="U689" s="147" t="s">
        <v>37</v>
      </c>
      <c r="V689" s="129"/>
      <c r="W689" s="147" t="s">
        <v>2214</v>
      </c>
      <c r="X689" s="215"/>
      <c r="Y689" s="216">
        <v>0</v>
      </c>
      <c r="Z689" s="216">
        <v>0</v>
      </c>
      <c r="AA689" s="263"/>
      <c r="AB689" s="155"/>
      <c r="AC689" s="212"/>
    </row>
    <row r="690" spans="1:29" s="182" customFormat="1" ht="24" hidden="1" x14ac:dyDescent="0.25">
      <c r="A690" s="131">
        <v>1</v>
      </c>
      <c r="B690" s="136">
        <v>1209018</v>
      </c>
      <c r="C690" s="128" t="s">
        <v>657</v>
      </c>
      <c r="D690" s="127" t="s">
        <v>1586</v>
      </c>
      <c r="E690" s="147" t="s">
        <v>38</v>
      </c>
      <c r="F690" s="129" t="s">
        <v>1585</v>
      </c>
      <c r="G690" s="147" t="s">
        <v>34</v>
      </c>
      <c r="H690" s="191">
        <f t="shared" si="11"/>
        <v>16.05</v>
      </c>
      <c r="I690" s="134"/>
      <c r="J690" s="150"/>
      <c r="K690" s="147"/>
      <c r="L690" s="147"/>
      <c r="M690" s="147">
        <v>2</v>
      </c>
      <c r="N690" s="289"/>
      <c r="O690" s="196"/>
      <c r="P690" s="180"/>
      <c r="Q690" s="174">
        <v>16</v>
      </c>
      <c r="R690" s="284">
        <v>0.05</v>
      </c>
      <c r="S690" s="165" t="s">
        <v>35</v>
      </c>
      <c r="T690" s="128" t="s">
        <v>1588</v>
      </c>
      <c r="U690" s="147" t="s">
        <v>37</v>
      </c>
      <c r="V690" s="129"/>
      <c r="W690" s="147" t="s">
        <v>2214</v>
      </c>
      <c r="X690" s="215"/>
      <c r="Y690" s="216">
        <v>0</v>
      </c>
      <c r="Z690" s="216">
        <v>0</v>
      </c>
      <c r="AA690" s="263"/>
      <c r="AB690" s="155"/>
      <c r="AC690" s="212"/>
    </row>
    <row r="691" spans="1:29" s="182" customFormat="1" hidden="1" x14ac:dyDescent="0.25">
      <c r="A691" s="131">
        <v>1</v>
      </c>
      <c r="B691" s="136">
        <v>1209019</v>
      </c>
      <c r="C691" s="128" t="s">
        <v>657</v>
      </c>
      <c r="D691" s="127" t="s">
        <v>1629</v>
      </c>
      <c r="E691" s="147" t="s">
        <v>38</v>
      </c>
      <c r="F691" s="129" t="s">
        <v>1625</v>
      </c>
      <c r="G691" s="147" t="s">
        <v>34</v>
      </c>
      <c r="H691" s="191">
        <f t="shared" si="11"/>
        <v>16.05</v>
      </c>
      <c r="I691" s="181" t="s">
        <v>2218</v>
      </c>
      <c r="J691" s="150"/>
      <c r="K691" s="147">
        <v>11</v>
      </c>
      <c r="L691" s="147">
        <v>1</v>
      </c>
      <c r="M691" s="147">
        <v>12</v>
      </c>
      <c r="N691" s="289"/>
      <c r="O691" s="196"/>
      <c r="P691" s="180"/>
      <c r="Q691" s="174">
        <v>16</v>
      </c>
      <c r="R691" s="284">
        <v>0.05</v>
      </c>
      <c r="S691" s="165"/>
      <c r="T691" s="129" t="s">
        <v>1625</v>
      </c>
      <c r="U691" s="147" t="s">
        <v>37</v>
      </c>
      <c r="V691" s="129"/>
      <c r="W691" s="163" t="s">
        <v>2531</v>
      </c>
      <c r="X691" s="215"/>
      <c r="Y691" s="216">
        <v>0</v>
      </c>
      <c r="Z691" s="216">
        <v>0</v>
      </c>
      <c r="AA691" s="263"/>
      <c r="AB691" s="155"/>
      <c r="AC691" s="212"/>
    </row>
    <row r="692" spans="1:29" s="182" customFormat="1" hidden="1" x14ac:dyDescent="0.25">
      <c r="A692" s="131">
        <v>1</v>
      </c>
      <c r="B692" s="136">
        <v>1209020</v>
      </c>
      <c r="C692" s="128" t="s">
        <v>657</v>
      </c>
      <c r="D692" s="127" t="s">
        <v>1630</v>
      </c>
      <c r="E692" s="147" t="s">
        <v>38</v>
      </c>
      <c r="F692" s="129" t="s">
        <v>1625</v>
      </c>
      <c r="G692" s="147" t="s">
        <v>34</v>
      </c>
      <c r="H692" s="191">
        <f t="shared" si="11"/>
        <v>16.05</v>
      </c>
      <c r="I692" s="181" t="s">
        <v>2218</v>
      </c>
      <c r="J692" s="150"/>
      <c r="K692" s="147">
        <v>11</v>
      </c>
      <c r="L692" s="147">
        <v>1</v>
      </c>
      <c r="M692" s="147">
        <v>12</v>
      </c>
      <c r="N692" s="289"/>
      <c r="O692" s="196"/>
      <c r="P692" s="180"/>
      <c r="Q692" s="174">
        <v>16</v>
      </c>
      <c r="R692" s="284">
        <v>0.05</v>
      </c>
      <c r="S692" s="165"/>
      <c r="T692" s="129" t="s">
        <v>1625</v>
      </c>
      <c r="U692" s="147" t="s">
        <v>37</v>
      </c>
      <c r="V692" s="129"/>
      <c r="W692" s="163" t="s">
        <v>2531</v>
      </c>
      <c r="X692" s="215"/>
      <c r="Y692" s="216">
        <v>0</v>
      </c>
      <c r="Z692" s="216">
        <v>0</v>
      </c>
      <c r="AA692" s="263"/>
      <c r="AB692" s="155"/>
      <c r="AC692" s="212"/>
    </row>
    <row r="693" spans="1:29" s="182" customFormat="1" hidden="1" x14ac:dyDescent="0.25">
      <c r="A693" s="131">
        <v>1</v>
      </c>
      <c r="B693" s="136">
        <v>1209021</v>
      </c>
      <c r="C693" s="128" t="s">
        <v>657</v>
      </c>
      <c r="D693" s="127" t="s">
        <v>1633</v>
      </c>
      <c r="E693" s="147" t="s">
        <v>38</v>
      </c>
      <c r="F693" s="129" t="s">
        <v>1625</v>
      </c>
      <c r="G693" s="147" t="s">
        <v>34</v>
      </c>
      <c r="H693" s="191">
        <f t="shared" si="11"/>
        <v>16.05</v>
      </c>
      <c r="I693" s="181" t="s">
        <v>2218</v>
      </c>
      <c r="J693" s="150"/>
      <c r="K693" s="147">
        <v>11</v>
      </c>
      <c r="L693" s="147">
        <v>1</v>
      </c>
      <c r="M693" s="147">
        <v>12</v>
      </c>
      <c r="N693" s="289"/>
      <c r="O693" s="196"/>
      <c r="P693" s="180"/>
      <c r="Q693" s="174">
        <v>16</v>
      </c>
      <c r="R693" s="284">
        <v>0.05</v>
      </c>
      <c r="S693" s="165"/>
      <c r="T693" s="129" t="s">
        <v>1625</v>
      </c>
      <c r="U693" s="147" t="s">
        <v>37</v>
      </c>
      <c r="V693" s="129"/>
      <c r="W693" s="163" t="s">
        <v>2531</v>
      </c>
      <c r="X693" s="215"/>
      <c r="Y693" s="216">
        <v>0</v>
      </c>
      <c r="Z693" s="216">
        <v>0</v>
      </c>
      <c r="AA693" s="263"/>
      <c r="AB693" s="155"/>
      <c r="AC693" s="212"/>
    </row>
    <row r="694" spans="1:29" s="182" customFormat="1" ht="24" hidden="1" x14ac:dyDescent="0.25">
      <c r="A694" s="131">
        <v>1</v>
      </c>
      <c r="B694" s="136">
        <v>1209022</v>
      </c>
      <c r="C694" s="128" t="s">
        <v>657</v>
      </c>
      <c r="D694" s="127" t="s">
        <v>1689</v>
      </c>
      <c r="E694" s="147" t="s">
        <v>38</v>
      </c>
      <c r="F694" s="129" t="s">
        <v>1792</v>
      </c>
      <c r="G694" s="147" t="s">
        <v>34</v>
      </c>
      <c r="H694" s="191">
        <f t="shared" si="11"/>
        <v>7.0860000000000003</v>
      </c>
      <c r="I694" s="222" t="s">
        <v>2228</v>
      </c>
      <c r="J694" s="146">
        <v>30</v>
      </c>
      <c r="K694" s="147">
        <v>7</v>
      </c>
      <c r="L694" s="147">
        <v>1</v>
      </c>
      <c r="M694" s="147">
        <v>8</v>
      </c>
      <c r="N694" s="289" t="s">
        <v>11</v>
      </c>
      <c r="O694" s="196"/>
      <c r="P694" s="180"/>
      <c r="Q694" s="174">
        <v>7.0860000000000003</v>
      </c>
      <c r="R694" s="206">
        <v>0</v>
      </c>
      <c r="S694" s="165"/>
      <c r="T694" s="128" t="s">
        <v>1650</v>
      </c>
      <c r="U694" s="147" t="s">
        <v>37</v>
      </c>
      <c r="V694" s="129"/>
      <c r="W694" s="177" t="s">
        <v>54</v>
      </c>
      <c r="X694" s="215" t="s">
        <v>1906</v>
      </c>
      <c r="Y694" s="216">
        <v>0</v>
      </c>
      <c r="Z694" s="216">
        <v>0</v>
      </c>
      <c r="AA694" s="263"/>
      <c r="AB694" s="305"/>
      <c r="AC694" s="214"/>
    </row>
    <row r="695" spans="1:29" s="182" customFormat="1" hidden="1" x14ac:dyDescent="0.25">
      <c r="A695" s="131">
        <v>1</v>
      </c>
      <c r="B695" s="136">
        <v>1209023</v>
      </c>
      <c r="C695" s="128" t="s">
        <v>657</v>
      </c>
      <c r="D695" s="127" t="s">
        <v>1646</v>
      </c>
      <c r="E695" s="147" t="s">
        <v>38</v>
      </c>
      <c r="F695" s="129" t="s">
        <v>1643</v>
      </c>
      <c r="G695" s="147" t="s">
        <v>34</v>
      </c>
      <c r="H695" s="191">
        <f t="shared" si="11"/>
        <v>16.05</v>
      </c>
      <c r="I695" s="134"/>
      <c r="J695" s="150"/>
      <c r="K695" s="147"/>
      <c r="L695" s="147"/>
      <c r="M695" s="147">
        <v>2</v>
      </c>
      <c r="N695" s="289" t="s">
        <v>1673</v>
      </c>
      <c r="O695" s="196"/>
      <c r="P695" s="180"/>
      <c r="Q695" s="174">
        <v>16</v>
      </c>
      <c r="R695" s="284">
        <v>0.05</v>
      </c>
      <c r="S695" s="165" t="s">
        <v>35</v>
      </c>
      <c r="T695" s="128" t="s">
        <v>1650</v>
      </c>
      <c r="U695" s="147" t="s">
        <v>37</v>
      </c>
      <c r="V695" s="129"/>
      <c r="W695" s="177" t="s">
        <v>54</v>
      </c>
      <c r="X695" s="215"/>
      <c r="Y695" s="216">
        <v>0</v>
      </c>
      <c r="Z695" s="216">
        <v>0</v>
      </c>
      <c r="AA695" s="263"/>
      <c r="AB695" s="155"/>
      <c r="AC695" s="212"/>
    </row>
    <row r="696" spans="1:29" s="214" customFormat="1" ht="24" x14ac:dyDescent="0.25">
      <c r="A696" s="131"/>
      <c r="B696" s="136">
        <v>1209024</v>
      </c>
      <c r="C696" s="128" t="s">
        <v>657</v>
      </c>
      <c r="D696" s="127" t="s">
        <v>1667</v>
      </c>
      <c r="E696" s="147" t="s">
        <v>38</v>
      </c>
      <c r="F696" s="129" t="s">
        <v>1792</v>
      </c>
      <c r="G696" s="147" t="s">
        <v>34</v>
      </c>
      <c r="H696" s="191">
        <f t="shared" si="11"/>
        <v>15.47</v>
      </c>
      <c r="I696" s="222" t="s">
        <v>2228</v>
      </c>
      <c r="J696" s="146">
        <v>30</v>
      </c>
      <c r="K696" s="147">
        <v>7</v>
      </c>
      <c r="L696" s="147">
        <v>1</v>
      </c>
      <c r="M696" s="147">
        <v>8</v>
      </c>
      <c r="N696" s="289" t="s">
        <v>1670</v>
      </c>
      <c r="O696" s="195"/>
      <c r="P696" s="180">
        <v>45050</v>
      </c>
      <c r="Q696" s="174">
        <v>15.47</v>
      </c>
      <c r="R696" s="205">
        <v>0</v>
      </c>
      <c r="S696" s="165"/>
      <c r="T696" s="128" t="s">
        <v>2450</v>
      </c>
      <c r="U696" s="147" t="s">
        <v>37</v>
      </c>
      <c r="V696" s="129"/>
      <c r="W696" s="147" t="s">
        <v>2213</v>
      </c>
      <c r="X696" s="215" t="s">
        <v>1906</v>
      </c>
      <c r="Y696" s="216">
        <v>0</v>
      </c>
      <c r="Z696" s="216">
        <v>0</v>
      </c>
      <c r="AA696" s="263"/>
      <c r="AB696" s="305"/>
    </row>
    <row r="697" spans="1:29" ht="24" hidden="1" x14ac:dyDescent="0.25">
      <c r="B697" s="136">
        <v>1209025</v>
      </c>
      <c r="C697" s="128" t="s">
        <v>657</v>
      </c>
      <c r="D697" s="127" t="s">
        <v>1740</v>
      </c>
      <c r="E697" s="147" t="s">
        <v>38</v>
      </c>
      <c r="F697" s="129" t="s">
        <v>1792</v>
      </c>
      <c r="G697" s="147" t="s">
        <v>34</v>
      </c>
      <c r="H697" s="191">
        <f t="shared" si="11"/>
        <v>8.16</v>
      </c>
      <c r="I697" s="222" t="s">
        <v>2228</v>
      </c>
      <c r="J697" s="146">
        <v>30</v>
      </c>
      <c r="K697" s="147">
        <v>4</v>
      </c>
      <c r="L697" s="147">
        <v>1</v>
      </c>
      <c r="M697" s="147">
        <v>5</v>
      </c>
      <c r="N697" s="289">
        <v>220.46</v>
      </c>
      <c r="O697" s="195"/>
      <c r="P697" s="180">
        <v>45085</v>
      </c>
      <c r="Q697" s="174">
        <v>8.16</v>
      </c>
      <c r="R697" s="205">
        <v>0</v>
      </c>
      <c r="S697" s="165"/>
      <c r="T697" s="129" t="s">
        <v>1681</v>
      </c>
      <c r="U697" s="147" t="s">
        <v>37</v>
      </c>
      <c r="V697" s="129"/>
      <c r="W697" s="177" t="s">
        <v>54</v>
      </c>
      <c r="X697" s="215" t="s">
        <v>1906</v>
      </c>
      <c r="Y697" s="216">
        <v>0</v>
      </c>
      <c r="Z697" s="216">
        <v>0</v>
      </c>
      <c r="AA697" s="263"/>
      <c r="AB697" s="305"/>
    </row>
    <row r="698" spans="1:29" s="182" customFormat="1" ht="24" x14ac:dyDescent="0.25">
      <c r="A698" s="131"/>
      <c r="B698" s="136">
        <v>1209026</v>
      </c>
      <c r="C698" s="127" t="s">
        <v>657</v>
      </c>
      <c r="D698" s="127" t="s">
        <v>1786</v>
      </c>
      <c r="E698" s="147" t="s">
        <v>38</v>
      </c>
      <c r="F698" s="129" t="s">
        <v>1792</v>
      </c>
      <c r="G698" s="147" t="s">
        <v>34</v>
      </c>
      <c r="H698" s="191">
        <f t="shared" si="11"/>
        <v>3.5017690283951732</v>
      </c>
      <c r="I698" s="222" t="s">
        <v>2228</v>
      </c>
      <c r="J698" s="146">
        <v>30</v>
      </c>
      <c r="K698" s="147">
        <v>4</v>
      </c>
      <c r="L698" s="147">
        <v>1</v>
      </c>
      <c r="M698" s="147">
        <v>5</v>
      </c>
      <c r="N698" s="289">
        <v>1102.3</v>
      </c>
      <c r="O698" s="195"/>
      <c r="P698" s="180">
        <v>45148</v>
      </c>
      <c r="Q698" s="174">
        <v>3.5017690283951732</v>
      </c>
      <c r="R698" s="205">
        <v>0</v>
      </c>
      <c r="S698" s="165"/>
      <c r="T698" s="129" t="s">
        <v>1711</v>
      </c>
      <c r="U698" s="147" t="s">
        <v>37</v>
      </c>
      <c r="V698" s="129"/>
      <c r="W698" s="147" t="s">
        <v>2213</v>
      </c>
      <c r="X698" s="215" t="s">
        <v>1906</v>
      </c>
      <c r="Y698" s="216">
        <v>247.1875</v>
      </c>
      <c r="Z698" s="216">
        <v>395.5</v>
      </c>
      <c r="AA698" s="263"/>
      <c r="AB698" s="305"/>
      <c r="AC698" s="214"/>
    </row>
    <row r="699" spans="1:29" s="182" customFormat="1" ht="36" x14ac:dyDescent="0.25">
      <c r="A699" s="131"/>
      <c r="B699" s="129">
        <v>1209027</v>
      </c>
      <c r="C699" s="127" t="s">
        <v>657</v>
      </c>
      <c r="D699" s="129" t="s">
        <v>1867</v>
      </c>
      <c r="E699" s="147" t="s">
        <v>38</v>
      </c>
      <c r="F699" s="129" t="s">
        <v>1861</v>
      </c>
      <c r="G699" s="147" t="s">
        <v>34</v>
      </c>
      <c r="H699" s="191">
        <f t="shared" si="11"/>
        <v>26.17</v>
      </c>
      <c r="I699" s="222" t="s">
        <v>2234</v>
      </c>
      <c r="J699" s="148">
        <v>30</v>
      </c>
      <c r="K699" s="147">
        <v>5</v>
      </c>
      <c r="L699" s="147">
        <v>1</v>
      </c>
      <c r="M699" s="147">
        <v>6</v>
      </c>
      <c r="N699" s="289">
        <v>50</v>
      </c>
      <c r="O699" s="198"/>
      <c r="P699" s="180">
        <v>45712</v>
      </c>
      <c r="Q699" s="176">
        <v>20.170000000000002</v>
      </c>
      <c r="R699" s="291">
        <f>300/N699</f>
        <v>6</v>
      </c>
      <c r="S699" s="165"/>
      <c r="T699" s="128" t="s">
        <v>2450</v>
      </c>
      <c r="U699" s="147" t="s">
        <v>37</v>
      </c>
      <c r="V699" s="129"/>
      <c r="W699" s="147" t="s">
        <v>2213</v>
      </c>
      <c r="X699" s="215" t="s">
        <v>1989</v>
      </c>
      <c r="Y699" s="216">
        <v>1.02</v>
      </c>
      <c r="Z699" s="216">
        <v>1.36</v>
      </c>
      <c r="AA699" s="263"/>
      <c r="AB699" s="305"/>
      <c r="AC699" s="214"/>
    </row>
    <row r="700" spans="1:29" s="182" customFormat="1" ht="36" hidden="1" x14ac:dyDescent="0.25">
      <c r="A700" s="131"/>
      <c r="B700" s="136">
        <v>1209028</v>
      </c>
      <c r="C700" s="127" t="s">
        <v>657</v>
      </c>
      <c r="D700" s="127" t="s">
        <v>1969</v>
      </c>
      <c r="E700" s="147" t="s">
        <v>38</v>
      </c>
      <c r="F700" s="129" t="s">
        <v>1861</v>
      </c>
      <c r="G700" s="147" t="s">
        <v>34</v>
      </c>
      <c r="H700" s="191">
        <f t="shared" si="11"/>
        <v>5.51</v>
      </c>
      <c r="I700" s="222" t="s">
        <v>2234</v>
      </c>
      <c r="J700" s="146">
        <v>30</v>
      </c>
      <c r="K700" s="147">
        <v>4</v>
      </c>
      <c r="L700" s="147">
        <v>1</v>
      </c>
      <c r="M700" s="147">
        <v>5</v>
      </c>
      <c r="N700" s="289">
        <v>500</v>
      </c>
      <c r="O700" s="196">
        <v>7.1</v>
      </c>
      <c r="P700" s="180">
        <v>45447</v>
      </c>
      <c r="Q700" s="174">
        <v>4.91</v>
      </c>
      <c r="R700" s="291">
        <f>300/N700</f>
        <v>0.6</v>
      </c>
      <c r="S700" s="147"/>
      <c r="T700" s="129" t="s">
        <v>468</v>
      </c>
      <c r="U700" s="147" t="s">
        <v>37</v>
      </c>
      <c r="V700" s="129"/>
      <c r="W700" s="177" t="s">
        <v>54</v>
      </c>
      <c r="X700" s="215"/>
      <c r="Y700" s="216">
        <v>0</v>
      </c>
      <c r="Z700" s="216">
        <v>0</v>
      </c>
      <c r="AA700" s="263"/>
      <c r="AB700" s="305"/>
      <c r="AC700" s="214"/>
    </row>
    <row r="701" spans="1:29" x14ac:dyDescent="0.25">
      <c r="B701" s="136">
        <v>1209029</v>
      </c>
      <c r="C701" s="127" t="s">
        <v>657</v>
      </c>
      <c r="D701" s="127" t="s">
        <v>1923</v>
      </c>
      <c r="E701" s="147" t="s">
        <v>38</v>
      </c>
      <c r="F701" s="129" t="s">
        <v>1870</v>
      </c>
      <c r="G701" s="147" t="s">
        <v>34</v>
      </c>
      <c r="H701" s="191">
        <f t="shared" si="11"/>
        <v>0.03</v>
      </c>
      <c r="I701" s="181" t="s">
        <v>2218</v>
      </c>
      <c r="J701" s="150"/>
      <c r="K701" s="147">
        <v>1</v>
      </c>
      <c r="L701" s="147">
        <v>1</v>
      </c>
      <c r="M701" s="147">
        <v>2</v>
      </c>
      <c r="N701" s="289"/>
      <c r="O701" s="195"/>
      <c r="P701" s="180"/>
      <c r="Q701" s="174">
        <v>0.03</v>
      </c>
      <c r="R701" s="205"/>
      <c r="S701" s="147"/>
      <c r="T701" s="129" t="s">
        <v>1870</v>
      </c>
      <c r="U701" s="147" t="s">
        <v>37</v>
      </c>
      <c r="V701" s="129"/>
      <c r="W701" s="147" t="s">
        <v>2459</v>
      </c>
      <c r="X701" s="215" t="s">
        <v>1009</v>
      </c>
      <c r="Y701" s="216">
        <v>5.3054999999999994</v>
      </c>
      <c r="Z701" s="216">
        <v>10.610999999999999</v>
      </c>
      <c r="AA701" s="263"/>
      <c r="AB701" s="155"/>
      <c r="AC701" s="212"/>
    </row>
    <row r="702" spans="1:29" x14ac:dyDescent="0.25">
      <c r="B702" s="136">
        <v>1209030</v>
      </c>
      <c r="C702" s="127" t="s">
        <v>657</v>
      </c>
      <c r="D702" s="127" t="s">
        <v>1924</v>
      </c>
      <c r="E702" s="147" t="s">
        <v>38</v>
      </c>
      <c r="F702" s="129" t="s">
        <v>1870</v>
      </c>
      <c r="G702" s="147" t="s">
        <v>34</v>
      </c>
      <c r="H702" s="191">
        <f t="shared" si="11"/>
        <v>0.03</v>
      </c>
      <c r="I702" s="181" t="s">
        <v>2218</v>
      </c>
      <c r="J702" s="150"/>
      <c r="K702" s="147">
        <v>1</v>
      </c>
      <c r="L702" s="147">
        <v>1</v>
      </c>
      <c r="M702" s="147">
        <v>2</v>
      </c>
      <c r="N702" s="289"/>
      <c r="O702" s="195"/>
      <c r="P702" s="180"/>
      <c r="Q702" s="174">
        <v>0.03</v>
      </c>
      <c r="R702" s="205"/>
      <c r="S702" s="147"/>
      <c r="T702" s="129" t="s">
        <v>1870</v>
      </c>
      <c r="U702" s="147" t="s">
        <v>37</v>
      </c>
      <c r="V702" s="129"/>
      <c r="W702" s="147" t="s">
        <v>2459</v>
      </c>
      <c r="X702" s="215" t="s">
        <v>1009</v>
      </c>
      <c r="Y702" s="216">
        <v>0.64680000000000004</v>
      </c>
      <c r="Z702" s="216">
        <v>1.2936000000000001</v>
      </c>
      <c r="AA702" s="263"/>
      <c r="AB702" s="155"/>
      <c r="AC702" s="212"/>
    </row>
    <row r="703" spans="1:29" ht="36" x14ac:dyDescent="0.25">
      <c r="B703" s="136">
        <v>1209031</v>
      </c>
      <c r="C703" s="127" t="s">
        <v>657</v>
      </c>
      <c r="D703" s="127" t="s">
        <v>1925</v>
      </c>
      <c r="E703" s="147" t="s">
        <v>38</v>
      </c>
      <c r="F703" s="129" t="s">
        <v>1861</v>
      </c>
      <c r="G703" s="147" t="s">
        <v>34</v>
      </c>
      <c r="H703" s="191">
        <f t="shared" si="11"/>
        <v>26.47</v>
      </c>
      <c r="I703" s="222" t="s">
        <v>2234</v>
      </c>
      <c r="J703" s="146">
        <v>30</v>
      </c>
      <c r="K703" s="147">
        <v>5</v>
      </c>
      <c r="L703" s="147">
        <v>1</v>
      </c>
      <c r="M703" s="147">
        <v>6</v>
      </c>
      <c r="N703" s="289">
        <v>50</v>
      </c>
      <c r="O703" s="195"/>
      <c r="P703" s="180">
        <v>45456</v>
      </c>
      <c r="Q703" s="174">
        <v>20.47</v>
      </c>
      <c r="R703" s="291">
        <f>300/N703</f>
        <v>6</v>
      </c>
      <c r="S703" s="147"/>
      <c r="T703" s="129" t="s">
        <v>2450</v>
      </c>
      <c r="U703" s="147" t="s">
        <v>37</v>
      </c>
      <c r="V703" s="129"/>
      <c r="W703" s="147" t="s">
        <v>2492</v>
      </c>
      <c r="X703" s="215" t="s">
        <v>1989</v>
      </c>
      <c r="Y703" s="216">
        <v>1.6080312499999998</v>
      </c>
      <c r="Z703" s="216">
        <v>2.2971874999999997</v>
      </c>
      <c r="AA703" s="263"/>
      <c r="AB703" s="305"/>
    </row>
    <row r="704" spans="1:29" s="182" customFormat="1" ht="48" hidden="1" x14ac:dyDescent="0.25">
      <c r="A704" s="131"/>
      <c r="B704" s="136">
        <v>1209032</v>
      </c>
      <c r="C704" s="127" t="s">
        <v>657</v>
      </c>
      <c r="D704" s="127" t="s">
        <v>1972</v>
      </c>
      <c r="E704" s="147" t="s">
        <v>38</v>
      </c>
      <c r="F704" s="129" t="s">
        <v>1792</v>
      </c>
      <c r="G704" s="147" t="s">
        <v>34</v>
      </c>
      <c r="H704" s="191">
        <f t="shared" si="11"/>
        <v>16.302277057062504</v>
      </c>
      <c r="I704" s="222" t="s">
        <v>2229</v>
      </c>
      <c r="J704" s="146">
        <v>30</v>
      </c>
      <c r="K704" s="147">
        <v>4</v>
      </c>
      <c r="L704" s="147">
        <v>1</v>
      </c>
      <c r="M704" s="147">
        <v>5</v>
      </c>
      <c r="N704" s="289">
        <v>55.115000000000002</v>
      </c>
      <c r="O704" s="195"/>
      <c r="P704" s="180">
        <v>45511</v>
      </c>
      <c r="Q704" s="174">
        <v>16.302277057062504</v>
      </c>
      <c r="R704" s="206">
        <v>0</v>
      </c>
      <c r="S704" s="165"/>
      <c r="T704" s="129" t="s">
        <v>468</v>
      </c>
      <c r="U704" s="147" t="s">
        <v>37</v>
      </c>
      <c r="V704" s="129"/>
      <c r="W704" s="177" t="s">
        <v>54</v>
      </c>
      <c r="X704" s="215" t="s">
        <v>1906</v>
      </c>
      <c r="Y704" s="216">
        <v>0</v>
      </c>
      <c r="Z704" s="216">
        <v>0</v>
      </c>
      <c r="AA704" s="263"/>
      <c r="AB704" s="305"/>
      <c r="AC704" s="214"/>
    </row>
    <row r="705" spans="1:29" s="182" customFormat="1" ht="48" hidden="1" x14ac:dyDescent="0.25">
      <c r="A705" s="131"/>
      <c r="B705" s="136">
        <v>1209033</v>
      </c>
      <c r="C705" s="127" t="s">
        <v>657</v>
      </c>
      <c r="D705" s="127" t="s">
        <v>1973</v>
      </c>
      <c r="E705" s="147" t="s">
        <v>38</v>
      </c>
      <c r="F705" s="129" t="s">
        <v>1792</v>
      </c>
      <c r="G705" s="147" t="s">
        <v>34</v>
      </c>
      <c r="H705" s="191">
        <f t="shared" si="11"/>
        <v>19.767758323505397</v>
      </c>
      <c r="I705" s="222" t="s">
        <v>2229</v>
      </c>
      <c r="J705" s="146">
        <v>30</v>
      </c>
      <c r="K705" s="147">
        <v>4</v>
      </c>
      <c r="L705" s="147">
        <v>1</v>
      </c>
      <c r="M705" s="147">
        <v>5</v>
      </c>
      <c r="N705" s="289">
        <v>55.115000000000002</v>
      </c>
      <c r="O705" s="195"/>
      <c r="P705" s="180">
        <v>45511</v>
      </c>
      <c r="Q705" s="174">
        <v>19.767758323505397</v>
      </c>
      <c r="R705" s="206">
        <v>0</v>
      </c>
      <c r="S705" s="165"/>
      <c r="T705" s="129" t="s">
        <v>468</v>
      </c>
      <c r="U705" s="147" t="s">
        <v>37</v>
      </c>
      <c r="V705" s="129"/>
      <c r="W705" s="177" t="s">
        <v>54</v>
      </c>
      <c r="X705" s="215" t="s">
        <v>1906</v>
      </c>
      <c r="Y705" s="216">
        <v>0</v>
      </c>
      <c r="Z705" s="216">
        <v>0</v>
      </c>
      <c r="AA705" s="263"/>
      <c r="AB705" s="305"/>
      <c r="AC705" s="214"/>
    </row>
    <row r="706" spans="1:29" s="182" customFormat="1" ht="36" x14ac:dyDescent="0.25">
      <c r="A706" s="131"/>
      <c r="B706" s="136">
        <v>1209034</v>
      </c>
      <c r="C706" s="127" t="s">
        <v>657</v>
      </c>
      <c r="D706" s="127" t="s">
        <v>1983</v>
      </c>
      <c r="E706" s="147" t="s">
        <v>38</v>
      </c>
      <c r="F706" s="136" t="s">
        <v>1982</v>
      </c>
      <c r="G706" s="147" t="s">
        <v>34</v>
      </c>
      <c r="H706" s="191">
        <f t="shared" si="11"/>
        <v>11.339925610087997</v>
      </c>
      <c r="I706" s="222" t="s">
        <v>2228</v>
      </c>
      <c r="J706" s="146">
        <v>0</v>
      </c>
      <c r="K706" s="147">
        <v>5</v>
      </c>
      <c r="L706" s="147">
        <v>1</v>
      </c>
      <c r="M706" s="147">
        <v>6</v>
      </c>
      <c r="N706" s="289">
        <v>55</v>
      </c>
      <c r="O706" s="174">
        <v>11.339925610087997</v>
      </c>
      <c r="P706" s="180">
        <v>46078</v>
      </c>
      <c r="Q706" s="174">
        <v>11.339925610087997</v>
      </c>
      <c r="R706" s="205">
        <v>0</v>
      </c>
      <c r="S706" s="147" t="s">
        <v>35</v>
      </c>
      <c r="T706" s="129" t="s">
        <v>2211</v>
      </c>
      <c r="U706" s="147" t="s">
        <v>37</v>
      </c>
      <c r="V706" s="147">
        <v>3500337</v>
      </c>
      <c r="W706" s="147" t="s">
        <v>2215</v>
      </c>
      <c r="X706" s="215" t="s">
        <v>1906</v>
      </c>
      <c r="Y706" s="216">
        <v>82.854198000000025</v>
      </c>
      <c r="Z706" s="216">
        <v>110.47226400000002</v>
      </c>
      <c r="AA706" s="263"/>
      <c r="AB706" s="305"/>
      <c r="AC706" s="214"/>
    </row>
    <row r="707" spans="1:29" s="182" customFormat="1" ht="36" x14ac:dyDescent="0.25">
      <c r="A707" s="131"/>
      <c r="B707" s="136">
        <v>1209035</v>
      </c>
      <c r="C707" s="127" t="s">
        <v>657</v>
      </c>
      <c r="D707" s="127" t="s">
        <v>1994</v>
      </c>
      <c r="E707" s="147" t="s">
        <v>38</v>
      </c>
      <c r="F707" s="129" t="s">
        <v>1792</v>
      </c>
      <c r="G707" s="147" t="s">
        <v>34</v>
      </c>
      <c r="H707" s="191">
        <f t="shared" ref="H707:H770" si="12">Q707+R707</f>
        <v>20.443617889866641</v>
      </c>
      <c r="I707" s="222" t="s">
        <v>2230</v>
      </c>
      <c r="J707" s="146">
        <v>30</v>
      </c>
      <c r="K707" s="147">
        <v>4</v>
      </c>
      <c r="L707" s="147">
        <v>1</v>
      </c>
      <c r="M707" s="147">
        <v>5</v>
      </c>
      <c r="N707" s="289">
        <v>55.115000000000002</v>
      </c>
      <c r="O707" s="195"/>
      <c r="P707" s="180">
        <v>45579</v>
      </c>
      <c r="Q707" s="174">
        <v>20.443617889866641</v>
      </c>
      <c r="R707" s="205">
        <v>0</v>
      </c>
      <c r="S707" s="165"/>
      <c r="T707" s="129" t="s">
        <v>1870</v>
      </c>
      <c r="U707" s="147" t="s">
        <v>37</v>
      </c>
      <c r="V707" s="129">
        <v>3500353</v>
      </c>
      <c r="W707" s="147" t="s">
        <v>2213</v>
      </c>
      <c r="X707" s="215" t="s">
        <v>1906</v>
      </c>
      <c r="Y707" s="216">
        <v>0</v>
      </c>
      <c r="Z707" s="216">
        <v>0</v>
      </c>
      <c r="AA707" s="263"/>
      <c r="AB707" s="305"/>
      <c r="AC707" s="214"/>
    </row>
    <row r="708" spans="1:29" s="182" customFormat="1" ht="36" x14ac:dyDescent="0.25">
      <c r="A708" s="131"/>
      <c r="B708" s="136">
        <v>1209036</v>
      </c>
      <c r="C708" s="127" t="s">
        <v>657</v>
      </c>
      <c r="D708" s="127" t="s">
        <v>2016</v>
      </c>
      <c r="E708" s="147" t="s">
        <v>38</v>
      </c>
      <c r="F708" s="129" t="s">
        <v>1792</v>
      </c>
      <c r="G708" s="147" t="s">
        <v>34</v>
      </c>
      <c r="H708" s="191">
        <f t="shared" si="12"/>
        <v>8.8451419758686374</v>
      </c>
      <c r="I708" s="222" t="s">
        <v>2445</v>
      </c>
      <c r="J708" s="146">
        <v>30</v>
      </c>
      <c r="K708" s="147">
        <v>5</v>
      </c>
      <c r="L708" s="147">
        <v>1</v>
      </c>
      <c r="M708" s="147">
        <v>6</v>
      </c>
      <c r="N708" s="289">
        <f>250*2.2046</f>
        <v>551.15</v>
      </c>
      <c r="O708" s="195">
        <f>17.96/2.2046</f>
        <v>8.146602558287217</v>
      </c>
      <c r="P708" s="180">
        <v>45975</v>
      </c>
      <c r="Q708" s="174">
        <f>19.5/2.2046</f>
        <v>8.8451419758686374</v>
      </c>
      <c r="R708" s="205">
        <v>0</v>
      </c>
      <c r="S708" s="147"/>
      <c r="T708" s="129" t="s">
        <v>2091</v>
      </c>
      <c r="U708" s="147" t="s">
        <v>37</v>
      </c>
      <c r="V708" s="129"/>
      <c r="W708" s="147" t="s">
        <v>2213</v>
      </c>
      <c r="X708" s="215" t="s">
        <v>1009</v>
      </c>
      <c r="Y708" s="216">
        <v>0</v>
      </c>
      <c r="Z708" s="216">
        <v>0</v>
      </c>
      <c r="AA708" s="263"/>
      <c r="AB708" s="305"/>
      <c r="AC708" s="214"/>
    </row>
    <row r="709" spans="1:29" s="182" customFormat="1" ht="48" x14ac:dyDescent="0.25">
      <c r="A709" s="131"/>
      <c r="B709" s="136">
        <v>1209037</v>
      </c>
      <c r="C709" s="127" t="s">
        <v>657</v>
      </c>
      <c r="D709" s="128" t="s">
        <v>2674</v>
      </c>
      <c r="E709" s="147" t="s">
        <v>38</v>
      </c>
      <c r="F709" s="129" t="s">
        <v>1792</v>
      </c>
      <c r="G709" s="147" t="s">
        <v>34</v>
      </c>
      <c r="H709" s="191">
        <f t="shared" si="12"/>
        <v>27.973328494965074</v>
      </c>
      <c r="I709" s="222" t="s">
        <v>2671</v>
      </c>
      <c r="J709" s="146">
        <v>30</v>
      </c>
      <c r="K709" s="147">
        <v>5</v>
      </c>
      <c r="L709" s="147">
        <v>1</v>
      </c>
      <c r="M709" s="147">
        <v>6</v>
      </c>
      <c r="N709" s="289">
        <f>25*2.2046</f>
        <v>55.115000000000002</v>
      </c>
      <c r="O709" s="272">
        <f>25.83/2.2046</f>
        <v>11.716411140342919</v>
      </c>
      <c r="P709" s="180">
        <v>46077</v>
      </c>
      <c r="Q709" s="272">
        <f>61.67/2.2046</f>
        <v>27.973328494965074</v>
      </c>
      <c r="R709" s="205">
        <v>0</v>
      </c>
      <c r="S709" s="147"/>
      <c r="T709" s="129" t="s">
        <v>2091</v>
      </c>
      <c r="U709" s="147" t="s">
        <v>37</v>
      </c>
      <c r="V709" s="129"/>
      <c r="W709" s="147" t="s">
        <v>2213</v>
      </c>
      <c r="X709" s="215" t="s">
        <v>1009</v>
      </c>
      <c r="Y709" s="216">
        <v>0</v>
      </c>
      <c r="Z709" s="216">
        <v>0</v>
      </c>
      <c r="AA709" s="263"/>
      <c r="AB709" s="305"/>
      <c r="AC709" s="214"/>
    </row>
    <row r="710" spans="1:29" s="182" customFormat="1" ht="36" x14ac:dyDescent="0.25">
      <c r="A710" s="131"/>
      <c r="B710" s="136">
        <v>1209038</v>
      </c>
      <c r="C710" s="127" t="s">
        <v>657</v>
      </c>
      <c r="D710" s="127" t="s">
        <v>2023</v>
      </c>
      <c r="E710" s="147" t="s">
        <v>38</v>
      </c>
      <c r="F710" s="129" t="s">
        <v>1792</v>
      </c>
      <c r="G710" s="147" t="s">
        <v>34</v>
      </c>
      <c r="H710" s="191">
        <f t="shared" si="12"/>
        <v>21.024222081103147</v>
      </c>
      <c r="I710" s="222" t="s">
        <v>2231</v>
      </c>
      <c r="J710" s="146">
        <v>30</v>
      </c>
      <c r="K710" s="147">
        <v>4</v>
      </c>
      <c r="L710" s="147">
        <v>1</v>
      </c>
      <c r="M710" s="147">
        <v>5</v>
      </c>
      <c r="N710" s="289">
        <v>55.115000000000002</v>
      </c>
      <c r="O710" s="195"/>
      <c r="P710" s="180">
        <v>45643</v>
      </c>
      <c r="Q710" s="174">
        <v>21.024222081103147</v>
      </c>
      <c r="R710" s="205">
        <v>0</v>
      </c>
      <c r="S710" s="147"/>
      <c r="T710" s="129" t="s">
        <v>1870</v>
      </c>
      <c r="U710" s="147" t="s">
        <v>37</v>
      </c>
      <c r="V710" s="129"/>
      <c r="W710" s="147" t="s">
        <v>2213</v>
      </c>
      <c r="X710" s="215" t="s">
        <v>1906</v>
      </c>
      <c r="Y710" s="216"/>
      <c r="Z710" s="216"/>
      <c r="AA710" s="263"/>
      <c r="AB710" s="305"/>
      <c r="AC710" s="214"/>
    </row>
    <row r="711" spans="1:29" s="182" customFormat="1" x14ac:dyDescent="0.25">
      <c r="A711" s="131"/>
      <c r="B711" s="136">
        <v>1209039</v>
      </c>
      <c r="C711" s="127" t="s">
        <v>657</v>
      </c>
      <c r="D711" s="127" t="s">
        <v>2050</v>
      </c>
      <c r="E711" s="147" t="s">
        <v>38</v>
      </c>
      <c r="F711" s="129" t="s">
        <v>2060</v>
      </c>
      <c r="G711" s="147" t="s">
        <v>34</v>
      </c>
      <c r="H711" s="191">
        <f t="shared" si="12"/>
        <v>13.700000000000001</v>
      </c>
      <c r="I711" s="222" t="s">
        <v>2084</v>
      </c>
      <c r="J711" s="146">
        <v>30</v>
      </c>
      <c r="K711" s="147">
        <v>3</v>
      </c>
      <c r="L711" s="147">
        <v>1</v>
      </c>
      <c r="M711" s="147">
        <v>4</v>
      </c>
      <c r="N711" s="289">
        <v>50</v>
      </c>
      <c r="O711" s="195"/>
      <c r="P711" s="180">
        <v>45708</v>
      </c>
      <c r="Q711" s="174">
        <v>13.65</v>
      </c>
      <c r="R711" s="284">
        <v>0.05</v>
      </c>
      <c r="S711" s="147"/>
      <c r="T711" s="129" t="s">
        <v>358</v>
      </c>
      <c r="U711" s="147" t="s">
        <v>37</v>
      </c>
      <c r="V711" s="129"/>
      <c r="W711" s="147" t="s">
        <v>2215</v>
      </c>
      <c r="X711" s="215" t="s">
        <v>1009</v>
      </c>
      <c r="Y711" s="216"/>
      <c r="Z711" s="216"/>
      <c r="AA711" s="263"/>
      <c r="AB711" s="305"/>
      <c r="AC711" s="214"/>
    </row>
    <row r="712" spans="1:29" s="182" customFormat="1" x14ac:dyDescent="0.25">
      <c r="A712" s="131"/>
      <c r="B712" s="136">
        <v>1210000</v>
      </c>
      <c r="C712" s="127" t="s">
        <v>657</v>
      </c>
      <c r="D712" s="127" t="s">
        <v>2051</v>
      </c>
      <c r="E712" s="147" t="s">
        <v>38</v>
      </c>
      <c r="F712" s="129" t="s">
        <v>2060</v>
      </c>
      <c r="G712" s="147" t="s">
        <v>34</v>
      </c>
      <c r="H712" s="191">
        <f t="shared" si="12"/>
        <v>12.49</v>
      </c>
      <c r="I712" s="222" t="s">
        <v>2084</v>
      </c>
      <c r="J712" s="146">
        <v>30</v>
      </c>
      <c r="K712" s="147">
        <v>3</v>
      </c>
      <c r="L712" s="147">
        <v>1</v>
      </c>
      <c r="M712" s="147">
        <v>4</v>
      </c>
      <c r="N712" s="289">
        <v>50</v>
      </c>
      <c r="O712" s="195"/>
      <c r="P712" s="180">
        <v>45708</v>
      </c>
      <c r="Q712" s="174">
        <v>12.44</v>
      </c>
      <c r="R712" s="284">
        <v>0.05</v>
      </c>
      <c r="S712" s="147"/>
      <c r="T712" s="129" t="s">
        <v>358</v>
      </c>
      <c r="U712" s="147" t="s">
        <v>37</v>
      </c>
      <c r="V712" s="129"/>
      <c r="W712" s="147" t="s">
        <v>2213</v>
      </c>
      <c r="X712" s="215" t="s">
        <v>1009</v>
      </c>
      <c r="Y712" s="216"/>
      <c r="Z712" s="216"/>
      <c r="AA712" s="263"/>
      <c r="AB712" s="305"/>
      <c r="AC712" s="214"/>
    </row>
    <row r="713" spans="1:29" s="182" customFormat="1" x14ac:dyDescent="0.25">
      <c r="A713" s="131"/>
      <c r="B713" s="136">
        <v>1210001</v>
      </c>
      <c r="C713" s="127" t="s">
        <v>657</v>
      </c>
      <c r="D713" s="127" t="s">
        <v>2054</v>
      </c>
      <c r="E713" s="147" t="s">
        <v>38</v>
      </c>
      <c r="F713" s="129" t="s">
        <v>2060</v>
      </c>
      <c r="G713" s="147" t="s">
        <v>34</v>
      </c>
      <c r="H713" s="191">
        <f t="shared" si="12"/>
        <v>14.100000000000001</v>
      </c>
      <c r="I713" s="222" t="s">
        <v>2084</v>
      </c>
      <c r="J713" s="146">
        <v>30</v>
      </c>
      <c r="K713" s="147">
        <v>3</v>
      </c>
      <c r="L713" s="147">
        <v>1</v>
      </c>
      <c r="M713" s="147">
        <v>4</v>
      </c>
      <c r="N713" s="289">
        <v>50</v>
      </c>
      <c r="O713" s="195"/>
      <c r="P713" s="180">
        <v>45708</v>
      </c>
      <c r="Q713" s="174">
        <v>14.05</v>
      </c>
      <c r="R713" s="284">
        <v>0.05</v>
      </c>
      <c r="S713" s="147"/>
      <c r="T713" s="129" t="s">
        <v>358</v>
      </c>
      <c r="U713" s="147" t="s">
        <v>37</v>
      </c>
      <c r="V713" s="129"/>
      <c r="W713" s="147" t="s">
        <v>2215</v>
      </c>
      <c r="X713" s="215" t="s">
        <v>1009</v>
      </c>
      <c r="Y713" s="216"/>
      <c r="Z713" s="216"/>
      <c r="AA713" s="263"/>
      <c r="AB713" s="305"/>
      <c r="AC713" s="214"/>
    </row>
    <row r="714" spans="1:29" s="182" customFormat="1" x14ac:dyDescent="0.25">
      <c r="A714" s="131"/>
      <c r="B714" s="136">
        <v>1210002</v>
      </c>
      <c r="C714" s="127" t="s">
        <v>657</v>
      </c>
      <c r="D714" s="127" t="s">
        <v>2055</v>
      </c>
      <c r="E714" s="147" t="s">
        <v>38</v>
      </c>
      <c r="F714" s="129" t="s">
        <v>2060</v>
      </c>
      <c r="G714" s="147" t="s">
        <v>34</v>
      </c>
      <c r="H714" s="191">
        <f t="shared" si="12"/>
        <v>13.65</v>
      </c>
      <c r="I714" s="222" t="s">
        <v>2084</v>
      </c>
      <c r="J714" s="146">
        <v>30</v>
      </c>
      <c r="K714" s="147">
        <v>3</v>
      </c>
      <c r="L714" s="147">
        <v>1</v>
      </c>
      <c r="M714" s="147">
        <v>4</v>
      </c>
      <c r="N714" s="289">
        <v>250</v>
      </c>
      <c r="O714" s="195">
        <v>20.13</v>
      </c>
      <c r="P714" s="180">
        <v>4.28</v>
      </c>
      <c r="Q714" s="174">
        <v>13.6</v>
      </c>
      <c r="R714" s="284">
        <v>0.05</v>
      </c>
      <c r="S714" s="147"/>
      <c r="T714" s="129" t="s">
        <v>358</v>
      </c>
      <c r="U714" s="147" t="s">
        <v>37</v>
      </c>
      <c r="V714" s="129"/>
      <c r="W714" s="147" t="s">
        <v>2213</v>
      </c>
      <c r="X714" s="217" t="s">
        <v>1009</v>
      </c>
      <c r="Y714" s="230"/>
      <c r="Z714" s="230"/>
      <c r="AA714" s="263"/>
      <c r="AB714" s="305"/>
      <c r="AC714" s="214"/>
    </row>
    <row r="715" spans="1:29" s="182" customFormat="1" x14ac:dyDescent="0.25">
      <c r="A715" s="131"/>
      <c r="B715" s="136">
        <v>1210003</v>
      </c>
      <c r="C715" s="127" t="s">
        <v>657</v>
      </c>
      <c r="D715" s="127" t="s">
        <v>2056</v>
      </c>
      <c r="E715" s="147" t="s">
        <v>38</v>
      </c>
      <c r="F715" s="129" t="s">
        <v>2060</v>
      </c>
      <c r="G715" s="147" t="s">
        <v>34</v>
      </c>
      <c r="H715" s="191">
        <f t="shared" si="12"/>
        <v>13.64</v>
      </c>
      <c r="I715" s="222" t="s">
        <v>2084</v>
      </c>
      <c r="J715" s="146">
        <v>30</v>
      </c>
      <c r="K715" s="147">
        <v>3</v>
      </c>
      <c r="L715" s="147">
        <v>1</v>
      </c>
      <c r="M715" s="147">
        <v>4</v>
      </c>
      <c r="N715" s="289">
        <v>50</v>
      </c>
      <c r="O715" s="195"/>
      <c r="P715" s="180">
        <v>45708</v>
      </c>
      <c r="Q715" s="174">
        <v>13.59</v>
      </c>
      <c r="R715" s="284">
        <v>0.05</v>
      </c>
      <c r="S715" s="147"/>
      <c r="T715" s="129" t="s">
        <v>358</v>
      </c>
      <c r="U715" s="147" t="s">
        <v>37</v>
      </c>
      <c r="V715" s="129"/>
      <c r="W715" s="147" t="s">
        <v>2215</v>
      </c>
      <c r="X715" s="215" t="s">
        <v>1009</v>
      </c>
      <c r="Y715" s="216"/>
      <c r="Z715" s="216"/>
      <c r="AA715" s="263"/>
      <c r="AB715" s="305"/>
      <c r="AC715" s="214"/>
    </row>
    <row r="716" spans="1:29" s="182" customFormat="1" x14ac:dyDescent="0.25">
      <c r="A716" s="131"/>
      <c r="B716" s="136">
        <v>1210004</v>
      </c>
      <c r="C716" s="127" t="s">
        <v>657</v>
      </c>
      <c r="D716" s="127" t="s">
        <v>2057</v>
      </c>
      <c r="E716" s="147" t="s">
        <v>38</v>
      </c>
      <c r="F716" s="129" t="s">
        <v>2060</v>
      </c>
      <c r="G716" s="147" t="s">
        <v>34</v>
      </c>
      <c r="H716" s="191">
        <f t="shared" si="12"/>
        <v>14.31</v>
      </c>
      <c r="I716" s="222" t="s">
        <v>2084</v>
      </c>
      <c r="J716" s="146">
        <v>30</v>
      </c>
      <c r="K716" s="147">
        <v>3</v>
      </c>
      <c r="L716" s="147">
        <v>1</v>
      </c>
      <c r="M716" s="147">
        <v>4</v>
      </c>
      <c r="N716" s="289">
        <v>50</v>
      </c>
      <c r="O716" s="195"/>
      <c r="P716" s="180">
        <v>45708</v>
      </c>
      <c r="Q716" s="174">
        <v>14.26</v>
      </c>
      <c r="R716" s="284">
        <v>0.05</v>
      </c>
      <c r="S716" s="147"/>
      <c r="T716" s="129" t="s">
        <v>358</v>
      </c>
      <c r="U716" s="147" t="s">
        <v>37</v>
      </c>
      <c r="V716" s="129"/>
      <c r="W716" s="147" t="s">
        <v>2215</v>
      </c>
      <c r="X716" s="215" t="s">
        <v>1009</v>
      </c>
      <c r="Y716" s="216"/>
      <c r="Z716" s="216"/>
      <c r="AA716" s="263"/>
      <c r="AB716" s="305"/>
      <c r="AC716" s="214"/>
    </row>
    <row r="717" spans="1:29" s="182" customFormat="1" x14ac:dyDescent="0.25">
      <c r="A717" s="131"/>
      <c r="B717" s="136">
        <v>1210005</v>
      </c>
      <c r="C717" s="127" t="s">
        <v>657</v>
      </c>
      <c r="D717" s="127" t="s">
        <v>2058</v>
      </c>
      <c r="E717" s="147" t="s">
        <v>38</v>
      </c>
      <c r="F717" s="129" t="s">
        <v>2060</v>
      </c>
      <c r="G717" s="147" t="s">
        <v>34</v>
      </c>
      <c r="H717" s="191">
        <f t="shared" si="12"/>
        <v>15.530000000000001</v>
      </c>
      <c r="I717" s="222" t="s">
        <v>2084</v>
      </c>
      <c r="J717" s="146">
        <v>30</v>
      </c>
      <c r="K717" s="147">
        <v>3</v>
      </c>
      <c r="L717" s="147">
        <v>1</v>
      </c>
      <c r="M717" s="147">
        <v>4</v>
      </c>
      <c r="N717" s="289">
        <v>50</v>
      </c>
      <c r="O717" s="195"/>
      <c r="P717" s="180">
        <v>45708</v>
      </c>
      <c r="Q717" s="174">
        <v>15.48</v>
      </c>
      <c r="R717" s="284">
        <v>0.05</v>
      </c>
      <c r="S717" s="147"/>
      <c r="T717" s="129" t="s">
        <v>358</v>
      </c>
      <c r="U717" s="147" t="s">
        <v>37</v>
      </c>
      <c r="V717" s="129"/>
      <c r="W717" s="147" t="s">
        <v>2215</v>
      </c>
      <c r="X717" s="215" t="s">
        <v>1009</v>
      </c>
      <c r="Y717" s="216"/>
      <c r="Z717" s="216"/>
      <c r="AA717" s="263"/>
      <c r="AB717" s="305"/>
      <c r="AC717" s="214"/>
    </row>
    <row r="718" spans="1:29" x14ac:dyDescent="0.25">
      <c r="B718" s="136">
        <v>1210006</v>
      </c>
      <c r="C718" s="127" t="s">
        <v>657</v>
      </c>
      <c r="D718" s="127" t="s">
        <v>2059</v>
      </c>
      <c r="E718" s="147" t="s">
        <v>38</v>
      </c>
      <c r="F718" s="129" t="s">
        <v>2060</v>
      </c>
      <c r="G718" s="147" t="s">
        <v>34</v>
      </c>
      <c r="H718" s="191">
        <f t="shared" si="12"/>
        <v>13.510000000000002</v>
      </c>
      <c r="I718" s="222" t="s">
        <v>2084</v>
      </c>
      <c r="J718" s="146">
        <v>30</v>
      </c>
      <c r="K718" s="147">
        <v>3</v>
      </c>
      <c r="L718" s="147">
        <v>1</v>
      </c>
      <c r="M718" s="147">
        <v>4</v>
      </c>
      <c r="N718" s="289">
        <v>50</v>
      </c>
      <c r="O718" s="195"/>
      <c r="P718" s="180">
        <v>45708</v>
      </c>
      <c r="Q718" s="174">
        <v>13.46</v>
      </c>
      <c r="R718" s="284">
        <v>0.05</v>
      </c>
      <c r="S718" s="147"/>
      <c r="T718" s="129" t="s">
        <v>358</v>
      </c>
      <c r="U718" s="147" t="s">
        <v>37</v>
      </c>
      <c r="V718" s="129"/>
      <c r="W718" s="147" t="s">
        <v>2215</v>
      </c>
      <c r="X718" s="215" t="s">
        <v>1009</v>
      </c>
      <c r="Y718" s="216"/>
      <c r="Z718" s="216"/>
      <c r="AA718" s="263"/>
      <c r="AB718" s="305"/>
    </row>
    <row r="719" spans="1:29" x14ac:dyDescent="0.25">
      <c r="B719" s="136">
        <v>1210007</v>
      </c>
      <c r="C719" s="127" t="s">
        <v>657</v>
      </c>
      <c r="D719" s="127" t="s">
        <v>2052</v>
      </c>
      <c r="E719" s="147" t="s">
        <v>38</v>
      </c>
      <c r="F719" s="129" t="s">
        <v>2060</v>
      </c>
      <c r="G719" s="147" t="s">
        <v>34</v>
      </c>
      <c r="H719" s="191">
        <f t="shared" si="12"/>
        <v>13.22</v>
      </c>
      <c r="I719" s="222" t="s">
        <v>2084</v>
      </c>
      <c r="J719" s="146">
        <v>30</v>
      </c>
      <c r="K719" s="147">
        <v>3</v>
      </c>
      <c r="L719" s="147">
        <v>1</v>
      </c>
      <c r="M719" s="147">
        <v>4</v>
      </c>
      <c r="N719" s="289">
        <v>50</v>
      </c>
      <c r="O719" s="195"/>
      <c r="P719" s="180">
        <v>45708</v>
      </c>
      <c r="Q719" s="174">
        <v>13.17</v>
      </c>
      <c r="R719" s="284">
        <v>0.05</v>
      </c>
      <c r="S719" s="147"/>
      <c r="T719" s="129" t="s">
        <v>358</v>
      </c>
      <c r="U719" s="147" t="s">
        <v>37</v>
      </c>
      <c r="V719" s="129"/>
      <c r="W719" s="147" t="s">
        <v>2215</v>
      </c>
      <c r="X719" s="215" t="s">
        <v>1009</v>
      </c>
      <c r="Y719" s="216"/>
      <c r="Z719" s="216"/>
      <c r="AA719" s="263"/>
      <c r="AB719" s="305"/>
    </row>
    <row r="720" spans="1:29" s="182" customFormat="1" x14ac:dyDescent="0.25">
      <c r="A720" s="131"/>
      <c r="B720" s="136">
        <v>1210008</v>
      </c>
      <c r="C720" s="127" t="s">
        <v>657</v>
      </c>
      <c r="D720" s="127" t="s">
        <v>2053</v>
      </c>
      <c r="E720" s="147" t="s">
        <v>38</v>
      </c>
      <c r="F720" s="129" t="s">
        <v>2060</v>
      </c>
      <c r="G720" s="147" t="s">
        <v>34</v>
      </c>
      <c r="H720" s="191">
        <f t="shared" si="12"/>
        <v>11.770000000000001</v>
      </c>
      <c r="I720" s="222" t="s">
        <v>2084</v>
      </c>
      <c r="J720" s="146">
        <v>30</v>
      </c>
      <c r="K720" s="147">
        <v>3</v>
      </c>
      <c r="L720" s="147">
        <v>1</v>
      </c>
      <c r="M720" s="147">
        <v>4</v>
      </c>
      <c r="N720" s="289">
        <v>50</v>
      </c>
      <c r="O720" s="195"/>
      <c r="P720" s="180">
        <v>45708</v>
      </c>
      <c r="Q720" s="174">
        <v>11.72</v>
      </c>
      <c r="R720" s="284">
        <v>0.05</v>
      </c>
      <c r="S720" s="147"/>
      <c r="T720" s="129" t="s">
        <v>358</v>
      </c>
      <c r="U720" s="147" t="s">
        <v>37</v>
      </c>
      <c r="V720" s="129"/>
      <c r="W720" s="147" t="s">
        <v>2215</v>
      </c>
      <c r="X720" s="215" t="s">
        <v>1009</v>
      </c>
      <c r="Y720" s="216"/>
      <c r="Z720" s="216"/>
      <c r="AA720" s="263"/>
      <c r="AB720" s="305"/>
      <c r="AC720" s="214"/>
    </row>
    <row r="721" spans="1:29 16384:16384" s="182" customFormat="1" x14ac:dyDescent="0.25">
      <c r="A721" s="131"/>
      <c r="B721" s="136">
        <v>1210009</v>
      </c>
      <c r="C721" s="127" t="s">
        <v>657</v>
      </c>
      <c r="D721" s="127" t="s">
        <v>2121</v>
      </c>
      <c r="E721" s="147" t="s">
        <v>38</v>
      </c>
      <c r="F721" s="129" t="s">
        <v>2067</v>
      </c>
      <c r="G721" s="147" t="s">
        <v>34</v>
      </c>
      <c r="H721" s="191">
        <f t="shared" si="12"/>
        <v>12.57</v>
      </c>
      <c r="I721" s="222" t="s">
        <v>2084</v>
      </c>
      <c r="J721" s="146"/>
      <c r="K721" s="147">
        <v>3</v>
      </c>
      <c r="L721" s="147">
        <v>1</v>
      </c>
      <c r="M721" s="147">
        <v>4</v>
      </c>
      <c r="N721" s="289">
        <v>500</v>
      </c>
      <c r="O721" s="174">
        <f>11.81+0.05</f>
        <v>11.860000000000001</v>
      </c>
      <c r="P721" s="180">
        <v>46139</v>
      </c>
      <c r="Q721" s="174">
        <v>12.52</v>
      </c>
      <c r="R721" s="205">
        <v>0.05</v>
      </c>
      <c r="S721" s="147"/>
      <c r="T721" s="129" t="s">
        <v>358</v>
      </c>
      <c r="U721" s="147" t="s">
        <v>37</v>
      </c>
      <c r="V721" s="129"/>
      <c r="W721" s="147" t="s">
        <v>2213</v>
      </c>
      <c r="X721" s="215" t="s">
        <v>1009</v>
      </c>
      <c r="Y721" s="216"/>
      <c r="Z721" s="216"/>
      <c r="AA721" s="263"/>
      <c r="AB721" s="305"/>
      <c r="AC721" s="214"/>
    </row>
    <row r="722" spans="1:29 16384:16384" s="182" customFormat="1" x14ac:dyDescent="0.25">
      <c r="A722" s="131"/>
      <c r="B722" s="136">
        <v>1210010</v>
      </c>
      <c r="C722" s="127" t="s">
        <v>657</v>
      </c>
      <c r="D722" s="127" t="s">
        <v>2131</v>
      </c>
      <c r="E722" s="147" t="s">
        <v>38</v>
      </c>
      <c r="F722" s="129" t="s">
        <v>2132</v>
      </c>
      <c r="G722" s="147" t="s">
        <v>34</v>
      </c>
      <c r="H722" s="191">
        <f t="shared" si="12"/>
        <v>6.28</v>
      </c>
      <c r="I722" s="222" t="s">
        <v>2084</v>
      </c>
      <c r="J722" s="146">
        <v>30</v>
      </c>
      <c r="K722" s="147">
        <v>3</v>
      </c>
      <c r="L722" s="147">
        <v>1</v>
      </c>
      <c r="M722" s="147">
        <v>4</v>
      </c>
      <c r="N722" s="289">
        <v>250</v>
      </c>
      <c r="O722" s="195">
        <v>28.71</v>
      </c>
      <c r="P722" s="180">
        <v>45819</v>
      </c>
      <c r="Q722" s="174">
        <v>6.23</v>
      </c>
      <c r="R722" s="205">
        <v>0.05</v>
      </c>
      <c r="S722" s="147"/>
      <c r="T722" s="129" t="s">
        <v>358</v>
      </c>
      <c r="U722" s="147" t="s">
        <v>37</v>
      </c>
      <c r="V722" s="129"/>
      <c r="W722" s="147" t="s">
        <v>2213</v>
      </c>
      <c r="X722" s="215" t="s">
        <v>1009</v>
      </c>
      <c r="Y722" s="216"/>
      <c r="Z722" s="216"/>
      <c r="AA722" s="263"/>
      <c r="AB722" s="305"/>
      <c r="AC722" s="214"/>
    </row>
    <row r="723" spans="1:29 16384:16384" s="182" customFormat="1" x14ac:dyDescent="0.25">
      <c r="A723" s="131"/>
      <c r="B723" s="136">
        <v>1210011</v>
      </c>
      <c r="C723" s="127" t="s">
        <v>657</v>
      </c>
      <c r="D723" s="127" t="s">
        <v>2108</v>
      </c>
      <c r="E723" s="147" t="s">
        <v>38</v>
      </c>
      <c r="F723" s="129" t="s">
        <v>2067</v>
      </c>
      <c r="G723" s="147" t="s">
        <v>34</v>
      </c>
      <c r="H723" s="191">
        <f t="shared" si="12"/>
        <v>6.96</v>
      </c>
      <c r="I723" s="222" t="s">
        <v>2084</v>
      </c>
      <c r="J723" s="146"/>
      <c r="K723" s="147"/>
      <c r="L723" s="147">
        <v>1</v>
      </c>
      <c r="M723" s="147">
        <v>4</v>
      </c>
      <c r="N723" s="289">
        <v>10</v>
      </c>
      <c r="O723" s="195"/>
      <c r="P723" s="180">
        <v>45747</v>
      </c>
      <c r="Q723" s="174">
        <v>6.91</v>
      </c>
      <c r="R723" s="205">
        <v>0.05</v>
      </c>
      <c r="S723" s="147"/>
      <c r="T723" s="129" t="s">
        <v>358</v>
      </c>
      <c r="U723" s="147" t="s">
        <v>37</v>
      </c>
      <c r="V723" s="129"/>
      <c r="W723" s="147" t="s">
        <v>2215</v>
      </c>
      <c r="X723" s="215" t="s">
        <v>1009</v>
      </c>
      <c r="Y723" s="216"/>
      <c r="Z723" s="216"/>
      <c r="AA723" s="263"/>
      <c r="AB723" s="305"/>
      <c r="AC723" s="214"/>
    </row>
    <row r="724" spans="1:29 16384:16384" s="182" customFormat="1" ht="24" x14ac:dyDescent="0.25">
      <c r="A724" s="131"/>
      <c r="B724" s="136">
        <v>1210012</v>
      </c>
      <c r="C724" s="127" t="s">
        <v>657</v>
      </c>
      <c r="D724" s="127" t="s">
        <v>2109</v>
      </c>
      <c r="E724" s="147" t="s">
        <v>38</v>
      </c>
      <c r="F724" s="129" t="s">
        <v>2049</v>
      </c>
      <c r="G724" s="147" t="s">
        <v>34</v>
      </c>
      <c r="H724" s="191">
        <f t="shared" si="12"/>
        <v>15.530000000000001</v>
      </c>
      <c r="I724" s="222" t="s">
        <v>2461</v>
      </c>
      <c r="J724" s="146"/>
      <c r="K724" s="147"/>
      <c r="L724" s="147">
        <v>1</v>
      </c>
      <c r="M724" s="147">
        <v>4</v>
      </c>
      <c r="N724" s="289">
        <v>10000</v>
      </c>
      <c r="O724" s="195"/>
      <c r="P724" s="180">
        <v>45747</v>
      </c>
      <c r="Q724" s="174">
        <v>15.48</v>
      </c>
      <c r="R724" s="284">
        <v>0.05</v>
      </c>
      <c r="S724" s="147"/>
      <c r="T724" s="129" t="s">
        <v>358</v>
      </c>
      <c r="U724" s="147" t="s">
        <v>37</v>
      </c>
      <c r="V724" s="129"/>
      <c r="W724" s="147" t="s">
        <v>2460</v>
      </c>
      <c r="X724" s="215" t="s">
        <v>1009</v>
      </c>
      <c r="Y724" s="216"/>
      <c r="Z724" s="216"/>
      <c r="AA724" s="263"/>
      <c r="AB724" s="155"/>
      <c r="AC724" s="212"/>
    </row>
    <row r="725" spans="1:29 16384:16384" s="182" customFormat="1" ht="24" x14ac:dyDescent="0.25">
      <c r="A725" s="131"/>
      <c r="B725" s="136">
        <v>1210013</v>
      </c>
      <c r="C725" s="127" t="s">
        <v>657</v>
      </c>
      <c r="D725" s="127" t="s">
        <v>2110</v>
      </c>
      <c r="E725" s="147" t="s">
        <v>38</v>
      </c>
      <c r="F725" s="129" t="s">
        <v>2049</v>
      </c>
      <c r="G725" s="147" t="s">
        <v>34</v>
      </c>
      <c r="H725" s="191">
        <f t="shared" si="12"/>
        <v>15.530000000000001</v>
      </c>
      <c r="I725" s="222" t="s">
        <v>2461</v>
      </c>
      <c r="J725" s="146"/>
      <c r="K725" s="147"/>
      <c r="L725" s="147">
        <v>1</v>
      </c>
      <c r="M725" s="147">
        <v>4</v>
      </c>
      <c r="N725" s="289">
        <v>5000</v>
      </c>
      <c r="O725" s="195"/>
      <c r="P725" s="180">
        <v>45747</v>
      </c>
      <c r="Q725" s="174">
        <v>15.48</v>
      </c>
      <c r="R725" s="284">
        <v>0.05</v>
      </c>
      <c r="S725" s="147"/>
      <c r="T725" s="129" t="s">
        <v>358</v>
      </c>
      <c r="U725" s="147" t="s">
        <v>37</v>
      </c>
      <c r="V725" s="129"/>
      <c r="W725" s="147" t="s">
        <v>2460</v>
      </c>
      <c r="X725" s="215" t="s">
        <v>1009</v>
      </c>
      <c r="Y725" s="216"/>
      <c r="Z725" s="216"/>
      <c r="AA725" s="263"/>
      <c r="AB725" s="155"/>
      <c r="AC725" s="212"/>
    </row>
    <row r="726" spans="1:29 16384:16384" s="182" customFormat="1" x14ac:dyDescent="0.25">
      <c r="A726" s="131"/>
      <c r="B726" s="136">
        <v>1210014</v>
      </c>
      <c r="C726" s="127" t="s">
        <v>657</v>
      </c>
      <c r="D726" s="127" t="s">
        <v>2111</v>
      </c>
      <c r="E726" s="147" t="s">
        <v>38</v>
      </c>
      <c r="F726" s="129" t="s">
        <v>2060</v>
      </c>
      <c r="G726" s="147" t="s">
        <v>34</v>
      </c>
      <c r="H726" s="191">
        <f t="shared" si="12"/>
        <v>8.98</v>
      </c>
      <c r="I726" s="222" t="s">
        <v>2084</v>
      </c>
      <c r="J726" s="146">
        <v>30</v>
      </c>
      <c r="K726" s="147"/>
      <c r="L726" s="147">
        <v>1</v>
      </c>
      <c r="M726" s="147">
        <v>4</v>
      </c>
      <c r="N726" s="289">
        <v>50</v>
      </c>
      <c r="O726" s="195"/>
      <c r="P726" s="180">
        <v>45747</v>
      </c>
      <c r="Q726" s="174">
        <v>8.93</v>
      </c>
      <c r="R726" s="284">
        <v>0.05</v>
      </c>
      <c r="S726" s="147"/>
      <c r="T726" s="129" t="s">
        <v>358</v>
      </c>
      <c r="U726" s="147" t="s">
        <v>37</v>
      </c>
      <c r="V726" s="129"/>
      <c r="W726" s="147" t="s">
        <v>2215</v>
      </c>
      <c r="X726" s="215" t="s">
        <v>1009</v>
      </c>
      <c r="Y726" s="216"/>
      <c r="Z726" s="216"/>
      <c r="AA726" s="263"/>
      <c r="AB726" s="305"/>
      <c r="AC726" s="214"/>
    </row>
    <row r="727" spans="1:29 16384:16384" s="182" customFormat="1" ht="12" customHeight="1" x14ac:dyDescent="0.25">
      <c r="A727" s="131"/>
      <c r="B727" s="136">
        <v>1210015</v>
      </c>
      <c r="C727" s="127" t="s">
        <v>657</v>
      </c>
      <c r="D727" s="127" t="s">
        <v>2112</v>
      </c>
      <c r="E727" s="147" t="s">
        <v>38</v>
      </c>
      <c r="F727" s="129" t="s">
        <v>2060</v>
      </c>
      <c r="G727" s="147" t="s">
        <v>34</v>
      </c>
      <c r="H727" s="191">
        <f t="shared" si="12"/>
        <v>15.530000000000001</v>
      </c>
      <c r="I727" s="222" t="s">
        <v>2084</v>
      </c>
      <c r="J727" s="146">
        <v>30</v>
      </c>
      <c r="K727" s="147"/>
      <c r="L727" s="147">
        <v>1</v>
      </c>
      <c r="M727" s="147">
        <v>4</v>
      </c>
      <c r="N727" s="289">
        <v>8</v>
      </c>
      <c r="O727" s="195"/>
      <c r="P727" s="180">
        <v>45747</v>
      </c>
      <c r="Q727" s="174">
        <v>15.48</v>
      </c>
      <c r="R727" s="284">
        <v>0.05</v>
      </c>
      <c r="S727" s="147"/>
      <c r="T727" s="129" t="s">
        <v>358</v>
      </c>
      <c r="U727" s="147" t="s">
        <v>37</v>
      </c>
      <c r="V727" s="129"/>
      <c r="W727" s="147" t="s">
        <v>2215</v>
      </c>
      <c r="X727" s="215" t="s">
        <v>1009</v>
      </c>
      <c r="Y727" s="216"/>
      <c r="Z727" s="216"/>
      <c r="AA727" s="263"/>
      <c r="AB727" s="305"/>
      <c r="AC727" s="214"/>
    </row>
    <row r="728" spans="1:29 16384:16384" s="182" customFormat="1" ht="24" x14ac:dyDescent="0.25">
      <c r="A728" s="131"/>
      <c r="B728" s="136">
        <v>1210016</v>
      </c>
      <c r="C728" s="127" t="s">
        <v>657</v>
      </c>
      <c r="D728" s="127" t="s">
        <v>2126</v>
      </c>
      <c r="E728" s="147" t="s">
        <v>38</v>
      </c>
      <c r="F728" s="129" t="s">
        <v>2049</v>
      </c>
      <c r="G728" s="147" t="s">
        <v>34</v>
      </c>
      <c r="H728" s="191">
        <f t="shared" si="12"/>
        <v>15.530000000000001</v>
      </c>
      <c r="I728" s="222" t="s">
        <v>2461</v>
      </c>
      <c r="J728" s="146"/>
      <c r="K728" s="147"/>
      <c r="L728" s="147">
        <v>1</v>
      </c>
      <c r="M728" s="147">
        <v>4</v>
      </c>
      <c r="N728" s="289">
        <v>10</v>
      </c>
      <c r="O728" s="195"/>
      <c r="P728" s="180">
        <v>45747</v>
      </c>
      <c r="Q728" s="174">
        <v>15.48</v>
      </c>
      <c r="R728" s="284">
        <v>0.05</v>
      </c>
      <c r="S728" s="147"/>
      <c r="T728" s="129" t="s">
        <v>358</v>
      </c>
      <c r="U728" s="147" t="s">
        <v>37</v>
      </c>
      <c r="V728" s="129"/>
      <c r="W728" s="147" t="s">
        <v>2460</v>
      </c>
      <c r="X728" s="215" t="s">
        <v>1009</v>
      </c>
      <c r="Y728" s="216"/>
      <c r="Z728" s="216"/>
      <c r="AA728" s="263"/>
      <c r="AB728" s="155"/>
      <c r="AC728" s="212"/>
    </row>
    <row r="729" spans="1:29 16384:16384" s="182" customFormat="1" ht="24" x14ac:dyDescent="0.25">
      <c r="A729" s="131"/>
      <c r="B729" s="136">
        <v>1210017</v>
      </c>
      <c r="C729" s="127" t="s">
        <v>657</v>
      </c>
      <c r="D729" s="127" t="s">
        <v>2113</v>
      </c>
      <c r="E729" s="147" t="s">
        <v>38</v>
      </c>
      <c r="F729" s="129" t="s">
        <v>2049</v>
      </c>
      <c r="G729" s="147" t="s">
        <v>34</v>
      </c>
      <c r="H729" s="191">
        <f t="shared" si="12"/>
        <v>15.530000000000001</v>
      </c>
      <c r="I729" s="222" t="s">
        <v>2461</v>
      </c>
      <c r="J729" s="146"/>
      <c r="K729" s="147"/>
      <c r="L729" s="147">
        <v>1</v>
      </c>
      <c r="M729" s="147">
        <v>4</v>
      </c>
      <c r="N729" s="289">
        <v>13</v>
      </c>
      <c r="O729" s="195"/>
      <c r="P729" s="180">
        <v>45747</v>
      </c>
      <c r="Q729" s="174">
        <v>15.48</v>
      </c>
      <c r="R729" s="284">
        <v>0.05</v>
      </c>
      <c r="S729" s="147"/>
      <c r="T729" s="129" t="s">
        <v>358</v>
      </c>
      <c r="U729" s="147" t="s">
        <v>37</v>
      </c>
      <c r="V729" s="129"/>
      <c r="W729" s="147" t="s">
        <v>2460</v>
      </c>
      <c r="X729" s="215" t="s">
        <v>1009</v>
      </c>
      <c r="Y729" s="216"/>
      <c r="Z729" s="216"/>
      <c r="AA729" s="263"/>
      <c r="AB729" s="155"/>
      <c r="AC729" s="212"/>
    </row>
    <row r="730" spans="1:29 16384:16384" s="182" customFormat="1" ht="24" x14ac:dyDescent="0.25">
      <c r="A730" s="131"/>
      <c r="B730" s="136">
        <v>1210018</v>
      </c>
      <c r="C730" s="127" t="s">
        <v>657</v>
      </c>
      <c r="D730" s="127" t="s">
        <v>2493</v>
      </c>
      <c r="E730" s="147" t="s">
        <v>38</v>
      </c>
      <c r="F730" s="129" t="s">
        <v>2049</v>
      </c>
      <c r="G730" s="147" t="s">
        <v>34</v>
      </c>
      <c r="H730" s="191">
        <f t="shared" si="12"/>
        <v>15.530000000000001</v>
      </c>
      <c r="I730" s="222" t="s">
        <v>2461</v>
      </c>
      <c r="J730" s="146"/>
      <c r="K730" s="147"/>
      <c r="L730" s="147">
        <v>1</v>
      </c>
      <c r="M730" s="147">
        <v>4</v>
      </c>
      <c r="N730" s="289">
        <v>11</v>
      </c>
      <c r="O730" s="195"/>
      <c r="P730" s="180">
        <v>45747</v>
      </c>
      <c r="Q730" s="174">
        <v>15.48</v>
      </c>
      <c r="R730" s="284">
        <v>0.05</v>
      </c>
      <c r="S730" s="147"/>
      <c r="T730" s="129" t="s">
        <v>358</v>
      </c>
      <c r="U730" s="147" t="s">
        <v>37</v>
      </c>
      <c r="V730" s="129"/>
      <c r="W730" s="147" t="s">
        <v>2460</v>
      </c>
      <c r="X730" s="215" t="s">
        <v>1009</v>
      </c>
      <c r="Y730" s="216"/>
      <c r="Z730" s="216"/>
      <c r="AA730" s="263"/>
      <c r="AB730" s="155"/>
      <c r="AC730" s="212"/>
    </row>
    <row r="731" spans="1:29 16384:16384" s="182" customFormat="1" ht="24" x14ac:dyDescent="0.25">
      <c r="A731" s="131"/>
      <c r="B731" s="136">
        <v>1210019</v>
      </c>
      <c r="C731" s="127" t="s">
        <v>657</v>
      </c>
      <c r="D731" s="301" t="s">
        <v>2115</v>
      </c>
      <c r="E731" s="147" t="s">
        <v>38</v>
      </c>
      <c r="F731" s="129" t="s">
        <v>1792</v>
      </c>
      <c r="G731" s="147" t="s">
        <v>34</v>
      </c>
      <c r="H731" s="191">
        <f t="shared" si="12"/>
        <v>26.431098611993104</v>
      </c>
      <c r="I731" s="222" t="s">
        <v>2228</v>
      </c>
      <c r="J731" s="146">
        <v>30</v>
      </c>
      <c r="K731" s="147">
        <v>5</v>
      </c>
      <c r="L731" s="147">
        <v>1</v>
      </c>
      <c r="M731" s="147">
        <v>6</v>
      </c>
      <c r="N731" s="289">
        <f>25*2.2046</f>
        <v>55.115000000000002</v>
      </c>
      <c r="O731" s="174">
        <v>23.709516465571987</v>
      </c>
      <c r="P731" s="180">
        <v>46118</v>
      </c>
      <c r="Q731" s="174">
        <f>58.27/2.2046</f>
        <v>26.431098611993104</v>
      </c>
      <c r="R731" s="205">
        <v>0</v>
      </c>
      <c r="S731" s="147"/>
      <c r="T731" s="129" t="s">
        <v>2450</v>
      </c>
      <c r="U731" s="147" t="s">
        <v>37</v>
      </c>
      <c r="V731" s="129"/>
      <c r="W731" s="147" t="s">
        <v>2215</v>
      </c>
      <c r="X731" s="215" t="s">
        <v>1906</v>
      </c>
      <c r="Y731" s="216"/>
      <c r="Z731" s="216"/>
      <c r="AA731" s="263"/>
      <c r="AB731" s="305"/>
      <c r="AC731" s="214"/>
    </row>
    <row r="732" spans="1:29 16384:16384" s="182" customFormat="1" ht="36" hidden="1" x14ac:dyDescent="0.25">
      <c r="A732" s="131"/>
      <c r="B732" s="136">
        <v>1210020</v>
      </c>
      <c r="C732" s="127" t="s">
        <v>657</v>
      </c>
      <c r="D732" s="127" t="s">
        <v>2122</v>
      </c>
      <c r="E732" s="147" t="s">
        <v>38</v>
      </c>
      <c r="F732" s="129" t="s">
        <v>2091</v>
      </c>
      <c r="G732" s="147" t="s">
        <v>34</v>
      </c>
      <c r="H732" s="191">
        <f t="shared" si="12"/>
        <v>11.308278145695365</v>
      </c>
      <c r="I732" s="222" t="s">
        <v>2269</v>
      </c>
      <c r="J732" s="146">
        <v>90</v>
      </c>
      <c r="K732" s="147">
        <v>11</v>
      </c>
      <c r="L732" s="147">
        <v>1</v>
      </c>
      <c r="M732" s="147">
        <v>12</v>
      </c>
      <c r="N732" s="289">
        <v>33.069000000000003</v>
      </c>
      <c r="O732" s="195"/>
      <c r="P732" s="180">
        <v>45777</v>
      </c>
      <c r="Q732" s="174">
        <v>11.258278145695364</v>
      </c>
      <c r="R732" s="205">
        <v>0.05</v>
      </c>
      <c r="S732" s="147"/>
      <c r="T732" s="129" t="s">
        <v>2091</v>
      </c>
      <c r="U732" s="147" t="s">
        <v>37</v>
      </c>
      <c r="V732" s="129"/>
      <c r="W732" s="147" t="s">
        <v>2214</v>
      </c>
      <c r="X732" s="215" t="s">
        <v>1009</v>
      </c>
      <c r="Y732" s="216"/>
      <c r="Z732" s="216"/>
      <c r="AA732" s="263"/>
      <c r="AB732" s="305"/>
      <c r="AC732" s="212"/>
    </row>
    <row r="733" spans="1:29 16384:16384" s="182" customFormat="1" ht="24" x14ac:dyDescent="0.25">
      <c r="A733" s="131"/>
      <c r="B733" s="136">
        <v>1210021</v>
      </c>
      <c r="C733" s="127" t="s">
        <v>657</v>
      </c>
      <c r="D733" s="127" t="s">
        <v>2532</v>
      </c>
      <c r="E733" s="147" t="s">
        <v>38</v>
      </c>
      <c r="F733" s="129" t="s">
        <v>1792</v>
      </c>
      <c r="G733" s="147" t="s">
        <v>34</v>
      </c>
      <c r="H733" s="191">
        <f t="shared" si="12"/>
        <v>26.440170552481174</v>
      </c>
      <c r="I733" s="222" t="s">
        <v>2228</v>
      </c>
      <c r="J733" s="146">
        <v>30</v>
      </c>
      <c r="K733" s="147">
        <v>4</v>
      </c>
      <c r="L733" s="147">
        <v>1</v>
      </c>
      <c r="M733" s="147">
        <v>5</v>
      </c>
      <c r="N733" s="289">
        <f>25*2.2046</f>
        <v>55.115000000000002</v>
      </c>
      <c r="O733" s="195"/>
      <c r="P733" s="180">
        <v>46062</v>
      </c>
      <c r="Q733" s="174">
        <f>58.29/2.2046</f>
        <v>26.440170552481174</v>
      </c>
      <c r="R733" s="205">
        <v>0</v>
      </c>
      <c r="S733" s="147"/>
      <c r="T733" s="129" t="s">
        <v>2450</v>
      </c>
      <c r="U733" s="147" t="s">
        <v>37</v>
      </c>
      <c r="V733" s="129"/>
      <c r="W733" s="147" t="s">
        <v>2213</v>
      </c>
      <c r="X733" s="215" t="s">
        <v>1906</v>
      </c>
      <c r="Y733" s="216"/>
      <c r="Z733" s="216"/>
      <c r="AA733" s="263"/>
      <c r="AB733" s="305"/>
      <c r="AC733" s="214"/>
    </row>
    <row r="734" spans="1:29 16384:16384" s="182" customFormat="1" ht="36" x14ac:dyDescent="0.25">
      <c r="A734" s="131"/>
      <c r="B734" s="136">
        <v>1210022</v>
      </c>
      <c r="C734" s="127" t="s">
        <v>657</v>
      </c>
      <c r="D734" s="127" t="s">
        <v>2163</v>
      </c>
      <c r="E734" s="147" t="s">
        <v>38</v>
      </c>
      <c r="F734" s="129" t="s">
        <v>2091</v>
      </c>
      <c r="G734" s="147" t="s">
        <v>34</v>
      </c>
      <c r="H734" s="191">
        <f t="shared" si="12"/>
        <v>10.85457679397623</v>
      </c>
      <c r="I734" s="222" t="s">
        <v>2270</v>
      </c>
      <c r="J734" s="146">
        <v>90</v>
      </c>
      <c r="K734" s="147">
        <v>11</v>
      </c>
      <c r="L734" s="147">
        <v>1</v>
      </c>
      <c r="M734" s="147">
        <v>12</v>
      </c>
      <c r="N734" s="289">
        <f>200*2.2046</f>
        <v>440.92</v>
      </c>
      <c r="O734" s="195"/>
      <c r="P734" s="180">
        <v>45966</v>
      </c>
      <c r="Q734" s="174">
        <f>23.93/2.2046</f>
        <v>10.85457679397623</v>
      </c>
      <c r="R734" s="205">
        <v>0</v>
      </c>
      <c r="S734" s="147"/>
      <c r="T734" s="129" t="s">
        <v>2091</v>
      </c>
      <c r="U734" s="147" t="s">
        <v>37</v>
      </c>
      <c r="V734" s="129"/>
      <c r="W734" s="147" t="s">
        <v>2215</v>
      </c>
      <c r="X734" s="215" t="s">
        <v>1009</v>
      </c>
      <c r="Y734" s="216"/>
      <c r="Z734" s="216"/>
      <c r="AA734" s="215"/>
      <c r="AB734" s="305"/>
      <c r="AC734" s="212"/>
    </row>
    <row r="735" spans="1:29 16384:16384" x14ac:dyDescent="0.25">
      <c r="A735" s="270"/>
      <c r="B735" s="136">
        <v>1210023</v>
      </c>
      <c r="C735" s="127" t="s">
        <v>657</v>
      </c>
      <c r="D735" s="129" t="s">
        <v>2236</v>
      </c>
      <c r="E735" s="147" t="s">
        <v>38</v>
      </c>
      <c r="F735" s="129" t="s">
        <v>2428</v>
      </c>
      <c r="G735" s="147" t="s">
        <v>34</v>
      </c>
      <c r="H735" s="191">
        <f t="shared" si="12"/>
        <v>4.2466999999999997</v>
      </c>
      <c r="I735" s="222" t="s">
        <v>2084</v>
      </c>
      <c r="J735" s="147">
        <v>30</v>
      </c>
      <c r="K735" s="147">
        <v>11</v>
      </c>
      <c r="L735" s="147">
        <v>1</v>
      </c>
      <c r="M735" s="147">
        <v>12</v>
      </c>
      <c r="N735" s="292">
        <v>150</v>
      </c>
      <c r="O735" s="180"/>
      <c r="P735" s="180">
        <v>45959</v>
      </c>
      <c r="Q735" s="284">
        <v>2.5299999999999998</v>
      </c>
      <c r="R735" s="282">
        <f>1.6667+0.05</f>
        <v>1.7167000000000001</v>
      </c>
      <c r="S735" s="129"/>
      <c r="T735" s="129" t="s">
        <v>358</v>
      </c>
      <c r="U735" s="147" t="s">
        <v>37</v>
      </c>
      <c r="V735" s="147"/>
      <c r="W735" s="147" t="s">
        <v>2213</v>
      </c>
      <c r="X735" s="215" t="s">
        <v>1009</v>
      </c>
      <c r="Y735" s="216"/>
      <c r="Z735" s="263"/>
      <c r="AA735" s="263"/>
      <c r="AB735" s="155"/>
      <c r="AC735" s="212"/>
      <c r="XFD735" s="271"/>
    </row>
    <row r="736" spans="1:29 16384:16384" x14ac:dyDescent="0.25">
      <c r="A736" s="270"/>
      <c r="B736" s="136">
        <v>1210024</v>
      </c>
      <c r="C736" s="127" t="s">
        <v>657</v>
      </c>
      <c r="D736" s="129" t="s">
        <v>2238</v>
      </c>
      <c r="E736" s="147" t="s">
        <v>38</v>
      </c>
      <c r="F736" s="129" t="s">
        <v>2060</v>
      </c>
      <c r="G736" s="147" t="s">
        <v>34</v>
      </c>
      <c r="H736" s="191">
        <f t="shared" si="12"/>
        <v>12.98</v>
      </c>
      <c r="I736" s="129" t="s">
        <v>2084</v>
      </c>
      <c r="J736" s="146">
        <v>30</v>
      </c>
      <c r="K736" s="147">
        <v>3</v>
      </c>
      <c r="L736" s="147">
        <v>1</v>
      </c>
      <c r="M736" s="179">
        <v>4</v>
      </c>
      <c r="N736" s="281">
        <v>50</v>
      </c>
      <c r="O736" s="180"/>
      <c r="P736" s="180">
        <v>0.32</v>
      </c>
      <c r="Q736" s="205">
        <v>12.93</v>
      </c>
      <c r="R736" s="282">
        <v>0.05</v>
      </c>
      <c r="S736" s="129"/>
      <c r="T736" s="129" t="s">
        <v>358</v>
      </c>
      <c r="U736" s="147" t="s">
        <v>37</v>
      </c>
      <c r="V736" s="147"/>
      <c r="W736" s="147" t="s">
        <v>2215</v>
      </c>
      <c r="X736" s="215" t="s">
        <v>1009</v>
      </c>
      <c r="Y736" s="216"/>
      <c r="Z736" s="263"/>
      <c r="AA736" s="263"/>
      <c r="AB736" s="155"/>
      <c r="AC736" s="212"/>
      <c r="XFD736" s="271"/>
    </row>
    <row r="737" spans="1:29 16382:16384" x14ac:dyDescent="0.25">
      <c r="B737" s="136">
        <v>1210025</v>
      </c>
      <c r="C737" s="128" t="s">
        <v>657</v>
      </c>
      <c r="D737" s="127" t="s">
        <v>2277</v>
      </c>
      <c r="E737" s="147" t="s">
        <v>38</v>
      </c>
      <c r="F737" s="129" t="s">
        <v>1611</v>
      </c>
      <c r="G737" s="147" t="s">
        <v>34</v>
      </c>
      <c r="H737" s="191">
        <f t="shared" si="12"/>
        <v>2.59</v>
      </c>
      <c r="I737" s="134" t="s">
        <v>2084</v>
      </c>
      <c r="J737" s="146">
        <v>0</v>
      </c>
      <c r="K737" s="147">
        <v>11</v>
      </c>
      <c r="L737" s="147">
        <v>1</v>
      </c>
      <c r="M737" s="147">
        <v>12</v>
      </c>
      <c r="N737" s="289">
        <v>1800</v>
      </c>
      <c r="O737" s="174">
        <f>1.64+1.4136</f>
        <v>3.0535999999999999</v>
      </c>
      <c r="P737" s="180">
        <v>46072</v>
      </c>
      <c r="Q737" s="174">
        <v>2.54</v>
      </c>
      <c r="R737" s="205">
        <v>0.05</v>
      </c>
      <c r="S737" s="147"/>
      <c r="T737" s="129" t="s">
        <v>358</v>
      </c>
      <c r="U737" s="147" t="s">
        <v>37</v>
      </c>
      <c r="V737" s="129"/>
      <c r="W737" s="147" t="s">
        <v>2213</v>
      </c>
      <c r="X737" s="215" t="s">
        <v>1009</v>
      </c>
      <c r="Y737" s="216"/>
      <c r="Z737" s="216"/>
      <c r="AA737" s="263"/>
      <c r="AB737" s="155"/>
      <c r="AC737" s="212"/>
    </row>
    <row r="738" spans="1:29 16382:16384" ht="36.6" customHeight="1" x14ac:dyDescent="0.25">
      <c r="B738" s="136">
        <v>1210026</v>
      </c>
      <c r="C738" s="128" t="s">
        <v>657</v>
      </c>
      <c r="D738" s="127" t="s">
        <v>2301</v>
      </c>
      <c r="E738" s="147" t="s">
        <v>38</v>
      </c>
      <c r="F738" s="129" t="s">
        <v>2091</v>
      </c>
      <c r="G738" s="147" t="s">
        <v>34</v>
      </c>
      <c r="H738" s="191">
        <f t="shared" si="12"/>
        <v>14.357357343735826</v>
      </c>
      <c r="I738" s="222" t="s">
        <v>2302</v>
      </c>
      <c r="J738" s="146">
        <v>90</v>
      </c>
      <c r="K738" s="147">
        <v>11</v>
      </c>
      <c r="L738" s="147">
        <v>1</v>
      </c>
      <c r="M738" s="147">
        <v>12</v>
      </c>
      <c r="N738" s="289">
        <f>3.7*2.2046</f>
        <v>8.157020000000001</v>
      </c>
      <c r="O738" s="195"/>
      <c r="P738" s="180">
        <v>45911</v>
      </c>
      <c r="Q738" s="174">
        <f>31.542/2.2046</f>
        <v>14.307357343735825</v>
      </c>
      <c r="R738" s="205">
        <v>0.05</v>
      </c>
      <c r="S738" s="147"/>
      <c r="T738" s="129" t="s">
        <v>2091</v>
      </c>
      <c r="U738" s="147" t="s">
        <v>37</v>
      </c>
      <c r="V738" s="129"/>
      <c r="W738" s="147" t="s">
        <v>2215</v>
      </c>
      <c r="X738" s="215" t="s">
        <v>1009</v>
      </c>
      <c r="Y738" s="216"/>
      <c r="Z738" s="216"/>
      <c r="AA738" s="263"/>
      <c r="AB738" s="305"/>
      <c r="AC738" s="212"/>
    </row>
    <row r="739" spans="1:29 16382:16384" ht="36.6" customHeight="1" x14ac:dyDescent="0.25">
      <c r="B739" s="136">
        <v>1210027</v>
      </c>
      <c r="C739" s="128" t="s">
        <v>657</v>
      </c>
      <c r="D739" s="127" t="s">
        <v>2433</v>
      </c>
      <c r="E739" s="147" t="s">
        <v>38</v>
      </c>
      <c r="F739" s="129" t="s">
        <v>2091</v>
      </c>
      <c r="G739" s="147" t="s">
        <v>34</v>
      </c>
      <c r="H739" s="191">
        <f t="shared" si="12"/>
        <v>25.079379479270614</v>
      </c>
      <c r="I739" s="222" t="s">
        <v>2432</v>
      </c>
      <c r="J739" s="146">
        <v>90</v>
      </c>
      <c r="K739" s="147">
        <v>11</v>
      </c>
      <c r="L739" s="147">
        <v>1</v>
      </c>
      <c r="M739" s="147">
        <v>12</v>
      </c>
      <c r="N739" s="289">
        <f>2*2.2046</f>
        <v>4.4092000000000002</v>
      </c>
      <c r="O739" s="195"/>
      <c r="P739" s="180">
        <v>45966</v>
      </c>
      <c r="Q739" s="174">
        <f>55.29/2.2046</f>
        <v>25.079379479270614</v>
      </c>
      <c r="R739" s="205">
        <v>0</v>
      </c>
      <c r="S739" s="147"/>
      <c r="T739" s="129" t="s">
        <v>2091</v>
      </c>
      <c r="U739" s="147" t="s">
        <v>37</v>
      </c>
      <c r="V739" s="129"/>
      <c r="W739" s="147" t="s">
        <v>2215</v>
      </c>
      <c r="X739" s="215"/>
      <c r="Y739" s="216"/>
      <c r="Z739" s="216"/>
      <c r="AA739" s="263"/>
      <c r="AB739" s="305"/>
      <c r="AC739" s="212"/>
    </row>
    <row r="740" spans="1:29 16382:16384" ht="36" x14ac:dyDescent="0.25">
      <c r="A740" s="270"/>
      <c r="B740" s="128">
        <v>1210028</v>
      </c>
      <c r="C740" s="128" t="s">
        <v>657</v>
      </c>
      <c r="D740" s="129" t="s">
        <v>2439</v>
      </c>
      <c r="E740" s="147" t="s">
        <v>38</v>
      </c>
      <c r="F740" s="129" t="s">
        <v>2091</v>
      </c>
      <c r="G740" s="147" t="s">
        <v>34</v>
      </c>
      <c r="H740" s="191">
        <f t="shared" si="12"/>
        <v>23.355710786537241</v>
      </c>
      <c r="I740" s="222" t="s">
        <v>2441</v>
      </c>
      <c r="J740" s="146">
        <v>90</v>
      </c>
      <c r="K740" s="147">
        <v>11</v>
      </c>
      <c r="L740" s="147">
        <v>1</v>
      </c>
      <c r="M740" s="147">
        <v>12</v>
      </c>
      <c r="N740" s="281">
        <f>25*2.2046</f>
        <v>55.115000000000002</v>
      </c>
      <c r="O740" s="180"/>
      <c r="P740" s="180">
        <v>45988</v>
      </c>
      <c r="Q740" s="205">
        <f>51.49/2.2046</f>
        <v>23.355710786537241</v>
      </c>
      <c r="R740" s="147">
        <v>0</v>
      </c>
      <c r="S740" s="129"/>
      <c r="T740" s="129" t="s">
        <v>2091</v>
      </c>
      <c r="U740" s="147" t="s">
        <v>37</v>
      </c>
      <c r="V740" s="147"/>
      <c r="W740" s="147" t="s">
        <v>2215</v>
      </c>
      <c r="X740" s="216"/>
      <c r="Y740" s="216"/>
      <c r="Z740" s="263"/>
      <c r="AA740" s="263"/>
      <c r="AB740" s="305"/>
      <c r="AC740" s="212"/>
      <c r="XFD740" s="271"/>
    </row>
    <row r="741" spans="1:29 16382:16384" ht="36" x14ac:dyDescent="0.25">
      <c r="A741" s="270"/>
      <c r="B741" s="128">
        <v>1210029</v>
      </c>
      <c r="C741" s="128" t="s">
        <v>657</v>
      </c>
      <c r="D741" s="129" t="s">
        <v>2440</v>
      </c>
      <c r="E741" s="147" t="s">
        <v>38</v>
      </c>
      <c r="F741" s="129" t="s">
        <v>2091</v>
      </c>
      <c r="G741" s="147" t="s">
        <v>34</v>
      </c>
      <c r="H741" s="191">
        <f t="shared" si="12"/>
        <v>56.817563276784902</v>
      </c>
      <c r="I741" s="222" t="s">
        <v>2442</v>
      </c>
      <c r="J741" s="146">
        <v>90</v>
      </c>
      <c r="K741" s="147">
        <v>11</v>
      </c>
      <c r="L741" s="147">
        <v>1</v>
      </c>
      <c r="M741" s="147">
        <v>12</v>
      </c>
      <c r="N741" s="281">
        <f>10*2.2046</f>
        <v>22.045999999999999</v>
      </c>
      <c r="O741" s="180"/>
      <c r="P741" s="180">
        <v>45988</v>
      </c>
      <c r="Q741" s="284">
        <f>125.26/2.2046</f>
        <v>56.817563276784902</v>
      </c>
      <c r="R741" s="282">
        <v>0</v>
      </c>
      <c r="S741" s="129"/>
      <c r="T741" s="129" t="s">
        <v>2091</v>
      </c>
      <c r="U741" s="147" t="s">
        <v>37</v>
      </c>
      <c r="V741" s="147"/>
      <c r="W741" s="147" t="s">
        <v>2215</v>
      </c>
      <c r="X741" s="216"/>
      <c r="Y741" s="216"/>
      <c r="Z741" s="263"/>
      <c r="AA741" s="263"/>
      <c r="AB741" s="305"/>
      <c r="AC741" s="212"/>
      <c r="XFD741" s="271"/>
    </row>
    <row r="742" spans="1:29 16382:16384" ht="36" x14ac:dyDescent="0.25">
      <c r="A742" s="270"/>
      <c r="B742" s="128">
        <v>1210030</v>
      </c>
      <c r="C742" s="128" t="s">
        <v>657</v>
      </c>
      <c r="D742" s="129" t="s">
        <v>2501</v>
      </c>
      <c r="E742" s="147" t="s">
        <v>38</v>
      </c>
      <c r="F742" s="129" t="s">
        <v>1792</v>
      </c>
      <c r="G742" s="147" t="s">
        <v>34</v>
      </c>
      <c r="H742" s="191">
        <f t="shared" si="12"/>
        <v>13.848317155039462</v>
      </c>
      <c r="I742" s="222" t="s">
        <v>2443</v>
      </c>
      <c r="J742" s="146">
        <v>30</v>
      </c>
      <c r="K742" s="147">
        <v>5</v>
      </c>
      <c r="L742" s="147">
        <v>1</v>
      </c>
      <c r="M742" s="147">
        <v>6</v>
      </c>
      <c r="N742" s="292">
        <f>250*2.2046</f>
        <v>551.15</v>
      </c>
      <c r="O742" s="282">
        <f>40.25/2.2046</f>
        <v>18.257280232241676</v>
      </c>
      <c r="P742" s="299">
        <v>46030</v>
      </c>
      <c r="Q742" s="282">
        <f>30.53/2.2046</f>
        <v>13.848317155039462</v>
      </c>
      <c r="R742" s="282">
        <v>0</v>
      </c>
      <c r="S742" s="282"/>
      <c r="T742" s="129" t="s">
        <v>2091</v>
      </c>
      <c r="U742" s="147" t="s">
        <v>37</v>
      </c>
      <c r="V742" s="147"/>
      <c r="W742" s="147" t="s">
        <v>2215</v>
      </c>
      <c r="X742" s="215" t="s">
        <v>1906</v>
      </c>
      <c r="Y742" s="216"/>
      <c r="Z742" s="263"/>
      <c r="AA742" s="263"/>
      <c r="AB742" s="305"/>
      <c r="AC742" s="212"/>
      <c r="XFD742" s="271"/>
    </row>
    <row r="743" spans="1:29 16382:16384" ht="36" x14ac:dyDescent="0.25">
      <c r="A743" s="270"/>
      <c r="B743" s="128">
        <v>1210031</v>
      </c>
      <c r="C743" s="128" t="s">
        <v>657</v>
      </c>
      <c r="D743" s="129" t="s">
        <v>2678</v>
      </c>
      <c r="E743" s="147" t="s">
        <v>38</v>
      </c>
      <c r="F743" s="129" t="s">
        <v>1792</v>
      </c>
      <c r="G743" s="147" t="s">
        <v>34</v>
      </c>
      <c r="H743" s="191">
        <f t="shared" si="12"/>
        <v>20.31207475278962</v>
      </c>
      <c r="I743" s="222" t="s">
        <v>2444</v>
      </c>
      <c r="J743" s="146">
        <v>30</v>
      </c>
      <c r="K743" s="147">
        <v>5</v>
      </c>
      <c r="L743" s="147">
        <v>1</v>
      </c>
      <c r="M743" s="147">
        <v>6</v>
      </c>
      <c r="N743" s="292">
        <f>250*2.2046</f>
        <v>551.15</v>
      </c>
      <c r="O743" s="282">
        <f>40.99/2.2046</f>
        <v>18.592942030300282</v>
      </c>
      <c r="P743" s="299">
        <v>46030</v>
      </c>
      <c r="Q743" s="282">
        <f>44.78/2.2046</f>
        <v>20.31207475278962</v>
      </c>
      <c r="R743" s="282">
        <v>0</v>
      </c>
      <c r="S743" s="290"/>
      <c r="T743" s="129" t="s">
        <v>2091</v>
      </c>
      <c r="U743" s="147" t="s">
        <v>37</v>
      </c>
      <c r="V743" s="147"/>
      <c r="W743" s="147" t="s">
        <v>2215</v>
      </c>
      <c r="X743" s="215" t="s">
        <v>1906</v>
      </c>
      <c r="Y743" s="216"/>
      <c r="Z743" s="263"/>
      <c r="AA743" s="263"/>
      <c r="AB743" s="305"/>
      <c r="AC743" s="212"/>
      <c r="XFD743" s="271"/>
    </row>
    <row r="744" spans="1:29 16382:16384" x14ac:dyDescent="0.25">
      <c r="B744" s="136">
        <v>1210032</v>
      </c>
      <c r="C744" s="128" t="s">
        <v>657</v>
      </c>
      <c r="D744" s="127" t="s">
        <v>2512</v>
      </c>
      <c r="E744" s="147" t="s">
        <v>38</v>
      </c>
      <c r="F744" s="129" t="s">
        <v>2060</v>
      </c>
      <c r="G744" s="147" t="s">
        <v>34</v>
      </c>
      <c r="H744" s="191">
        <f t="shared" si="12"/>
        <v>8.6100000000000012</v>
      </c>
      <c r="I744" s="134" t="s">
        <v>2084</v>
      </c>
      <c r="J744" s="146">
        <v>30</v>
      </c>
      <c r="K744" s="147">
        <v>3</v>
      </c>
      <c r="L744" s="147">
        <v>1</v>
      </c>
      <c r="M744" s="147">
        <v>4</v>
      </c>
      <c r="N744" s="289">
        <v>100</v>
      </c>
      <c r="O744" s="195"/>
      <c r="P744" s="180">
        <v>46042</v>
      </c>
      <c r="Q744" s="174">
        <v>8.56</v>
      </c>
      <c r="R744" s="284">
        <v>0.05</v>
      </c>
      <c r="S744" s="147"/>
      <c r="T744" s="129" t="s">
        <v>358</v>
      </c>
      <c r="U744" s="147" t="s">
        <v>37</v>
      </c>
      <c r="V744" s="129"/>
      <c r="W744" s="147" t="s">
        <v>2215</v>
      </c>
      <c r="X744" s="215" t="s">
        <v>1009</v>
      </c>
      <c r="Y744" s="216"/>
      <c r="Z744" s="216"/>
      <c r="AA744" s="263"/>
      <c r="AB744" s="155"/>
      <c r="AC744" s="212"/>
    </row>
    <row r="745" spans="1:29 16382:16384" ht="24" x14ac:dyDescent="0.25">
      <c r="A745" s="315"/>
      <c r="B745" s="136">
        <v>1210033</v>
      </c>
      <c r="C745" s="128" t="s">
        <v>657</v>
      </c>
      <c r="D745" s="129" t="s">
        <v>2578</v>
      </c>
      <c r="E745" s="147" t="s">
        <v>38</v>
      </c>
      <c r="F745" s="129" t="s">
        <v>1792</v>
      </c>
      <c r="G745" s="147" t="s">
        <v>34</v>
      </c>
      <c r="H745" s="191">
        <f t="shared" si="12"/>
        <v>29.987299283316698</v>
      </c>
      <c r="I745" s="222" t="s">
        <v>2228</v>
      </c>
      <c r="J745" s="146">
        <v>30</v>
      </c>
      <c r="K745" s="147">
        <v>5</v>
      </c>
      <c r="L745" s="147">
        <v>1</v>
      </c>
      <c r="M745" s="147">
        <v>6</v>
      </c>
      <c r="N745" s="281">
        <f>25*2.2046</f>
        <v>55.115000000000002</v>
      </c>
      <c r="O745" s="180"/>
      <c r="P745" s="174">
        <v>8.3333333333333329E-2</v>
      </c>
      <c r="Q745" s="284">
        <f>66.11/2.2046</f>
        <v>29.987299283316698</v>
      </c>
      <c r="R745" s="147">
        <v>0</v>
      </c>
      <c r="S745" s="129"/>
      <c r="T745" s="129" t="s">
        <v>2450</v>
      </c>
      <c r="U745" s="147" t="s">
        <v>37</v>
      </c>
      <c r="V745" s="147"/>
      <c r="W745" s="147" t="s">
        <v>2215</v>
      </c>
      <c r="X745" s="319" t="s">
        <v>1906</v>
      </c>
      <c r="Y745" s="216"/>
      <c r="Z745" s="263"/>
      <c r="AA745" s="263"/>
      <c r="AB745" s="263"/>
      <c r="AC745" s="212"/>
      <c r="XFD745" s="317"/>
    </row>
    <row r="746" spans="1:29 16382:16384" ht="36" x14ac:dyDescent="0.25">
      <c r="A746" s="315"/>
      <c r="B746" s="136">
        <v>1210034</v>
      </c>
      <c r="C746" s="128" t="s">
        <v>657</v>
      </c>
      <c r="D746" s="129" t="s">
        <v>2584</v>
      </c>
      <c r="E746" s="147" t="s">
        <v>38</v>
      </c>
      <c r="F746" s="129" t="s">
        <v>2091</v>
      </c>
      <c r="G746" s="147" t="s">
        <v>34</v>
      </c>
      <c r="H746" s="191">
        <f t="shared" si="12"/>
        <v>16.05</v>
      </c>
      <c r="I746" s="222" t="s">
        <v>2585</v>
      </c>
      <c r="J746" s="146">
        <v>90</v>
      </c>
      <c r="K746" s="147">
        <v>11</v>
      </c>
      <c r="L746" s="147">
        <v>1</v>
      </c>
      <c r="M746" s="147">
        <v>12</v>
      </c>
      <c r="N746" s="280"/>
      <c r="O746" s="174"/>
      <c r="P746" s="284"/>
      <c r="Q746" s="174">
        <v>16</v>
      </c>
      <c r="R746" s="284">
        <v>0.05</v>
      </c>
      <c r="S746" s="129"/>
      <c r="T746" s="129" t="s">
        <v>2091</v>
      </c>
      <c r="U746" s="147" t="s">
        <v>37</v>
      </c>
      <c r="V746" s="147"/>
      <c r="W746" s="147" t="s">
        <v>2215</v>
      </c>
      <c r="X746" s="216"/>
      <c r="Y746" s="263"/>
      <c r="Z746" s="263"/>
      <c r="AA746" s="263"/>
      <c r="AB746" s="305"/>
      <c r="AC746" s="212"/>
      <c r="XFC746" s="317"/>
      <c r="XFD746" s="317"/>
    </row>
    <row r="747" spans="1:29 16382:16384" ht="24" x14ac:dyDescent="0.25">
      <c r="B747" s="136">
        <v>1210035</v>
      </c>
      <c r="C747" s="128" t="s">
        <v>657</v>
      </c>
      <c r="D747" s="127" t="s">
        <v>2604</v>
      </c>
      <c r="E747" s="147" t="s">
        <v>38</v>
      </c>
      <c r="F747" s="129" t="s">
        <v>1792</v>
      </c>
      <c r="G747" s="147" t="s">
        <v>34</v>
      </c>
      <c r="H747" s="191">
        <f t="shared" si="12"/>
        <v>26.363059058332574</v>
      </c>
      <c r="I747" s="222" t="s">
        <v>2228</v>
      </c>
      <c r="J747" s="146">
        <v>30</v>
      </c>
      <c r="K747" s="147">
        <v>5</v>
      </c>
      <c r="L747" s="147">
        <v>1</v>
      </c>
      <c r="M747" s="147">
        <v>6</v>
      </c>
      <c r="N747" s="289">
        <f>25*2.2046</f>
        <v>55.115000000000002</v>
      </c>
      <c r="O747" s="195"/>
      <c r="P747" s="180">
        <v>46118</v>
      </c>
      <c r="Q747" s="174">
        <f>58.12/2.2046</f>
        <v>26.363059058332574</v>
      </c>
      <c r="R747" s="205">
        <v>0</v>
      </c>
      <c r="S747" s="147"/>
      <c r="T747" s="129" t="s">
        <v>2450</v>
      </c>
      <c r="U747" s="147" t="s">
        <v>37</v>
      </c>
      <c r="V747" s="129"/>
      <c r="W747" s="147" t="s">
        <v>2215</v>
      </c>
      <c r="X747" s="215" t="s">
        <v>1906</v>
      </c>
      <c r="Y747" s="216"/>
      <c r="Z747" s="216"/>
      <c r="AA747" s="263"/>
      <c r="AB747" s="155"/>
      <c r="AC747" s="212"/>
    </row>
    <row r="748" spans="1:29 16382:16384" ht="24" hidden="1" x14ac:dyDescent="0.25">
      <c r="B748" s="136">
        <v>1210036</v>
      </c>
      <c r="C748" s="128" t="s">
        <v>657</v>
      </c>
      <c r="D748" s="127" t="s">
        <v>2605</v>
      </c>
      <c r="E748" s="147" t="s">
        <v>38</v>
      </c>
      <c r="F748" s="129" t="s">
        <v>1792</v>
      </c>
      <c r="G748" s="147" t="s">
        <v>34</v>
      </c>
      <c r="H748" s="191">
        <f t="shared" si="12"/>
        <v>18.55</v>
      </c>
      <c r="I748" s="222" t="s">
        <v>2228</v>
      </c>
      <c r="J748" s="146">
        <v>30</v>
      </c>
      <c r="K748" s="147">
        <v>5</v>
      </c>
      <c r="L748" s="147">
        <v>1</v>
      </c>
      <c r="M748" s="147">
        <v>6</v>
      </c>
      <c r="N748" s="289"/>
      <c r="O748" s="195"/>
      <c r="P748" s="180"/>
      <c r="Q748" s="174">
        <v>18.5</v>
      </c>
      <c r="R748" s="205">
        <v>0.05</v>
      </c>
      <c r="S748" s="147"/>
      <c r="T748" s="129" t="s">
        <v>2450</v>
      </c>
      <c r="U748" s="147" t="s">
        <v>37</v>
      </c>
      <c r="V748" s="129"/>
      <c r="W748" s="147" t="s">
        <v>2214</v>
      </c>
      <c r="X748" s="215" t="s">
        <v>1906</v>
      </c>
      <c r="Y748" s="216"/>
      <c r="Z748" s="216"/>
      <c r="AA748" s="263"/>
      <c r="AB748" s="155"/>
      <c r="AC748" s="212"/>
    </row>
    <row r="749" spans="1:29 16382:16384" x14ac:dyDescent="0.25">
      <c r="A749" s="270"/>
      <c r="B749" s="136">
        <v>1210037</v>
      </c>
      <c r="C749" s="128" t="s">
        <v>657</v>
      </c>
      <c r="D749" s="129" t="s">
        <v>2664</v>
      </c>
      <c r="E749" s="147" t="s">
        <v>38</v>
      </c>
      <c r="F749" s="129" t="s">
        <v>2060</v>
      </c>
      <c r="G749" s="147" t="s">
        <v>34</v>
      </c>
      <c r="H749" s="191">
        <f t="shared" si="12"/>
        <v>4.09</v>
      </c>
      <c r="I749" s="134" t="s">
        <v>2084</v>
      </c>
      <c r="J749" s="146">
        <v>30</v>
      </c>
      <c r="K749" s="147">
        <v>3</v>
      </c>
      <c r="L749" s="147">
        <v>1</v>
      </c>
      <c r="M749" s="147">
        <v>4</v>
      </c>
      <c r="N749" s="147">
        <v>1000</v>
      </c>
      <c r="O749" s="290">
        <v>3.49</v>
      </c>
      <c r="P749" s="152">
        <v>46168</v>
      </c>
      <c r="Q749" s="290">
        <v>4.04</v>
      </c>
      <c r="R749" s="290">
        <v>0.05</v>
      </c>
      <c r="S749" s="129"/>
      <c r="T749" s="129" t="s">
        <v>358</v>
      </c>
      <c r="U749" s="147" t="s">
        <v>37</v>
      </c>
      <c r="V749" s="129"/>
      <c r="W749" s="147" t="s">
        <v>2215</v>
      </c>
      <c r="X749" s="215" t="s">
        <v>1009</v>
      </c>
      <c r="Y749" s="263"/>
      <c r="Z749" s="263"/>
      <c r="AA749" s="305"/>
      <c r="AB749" s="242"/>
      <c r="AC749" s="212"/>
      <c r="XFB749" s="317"/>
      <c r="XFC749" s="317"/>
      <c r="XFD749" s="271"/>
    </row>
    <row r="750" spans="1:29 16382:16384" ht="36" x14ac:dyDescent="0.25">
      <c r="B750" s="158">
        <v>1210038</v>
      </c>
      <c r="C750" s="128" t="s">
        <v>657</v>
      </c>
      <c r="D750" s="129" t="s">
        <v>2696</v>
      </c>
      <c r="E750" s="147" t="s">
        <v>38</v>
      </c>
      <c r="F750" s="129" t="s">
        <v>1792</v>
      </c>
      <c r="G750" s="147" t="s">
        <v>34</v>
      </c>
      <c r="H750" s="191">
        <f t="shared" si="12"/>
        <v>0</v>
      </c>
      <c r="I750" s="222" t="s">
        <v>2697</v>
      </c>
      <c r="J750" s="146">
        <v>30</v>
      </c>
      <c r="K750" s="147">
        <v>5</v>
      </c>
      <c r="L750" s="147">
        <v>1</v>
      </c>
      <c r="M750" s="147">
        <v>6</v>
      </c>
      <c r="N750" s="147"/>
      <c r="O750" s="290"/>
      <c r="P750" s="152"/>
      <c r="Q750" s="290"/>
      <c r="R750" s="290"/>
      <c r="S750" s="129"/>
      <c r="T750" s="129" t="s">
        <v>2339</v>
      </c>
      <c r="U750" s="147" t="s">
        <v>37</v>
      </c>
      <c r="V750" s="129"/>
      <c r="W750" s="147" t="s">
        <v>2213</v>
      </c>
      <c r="X750" s="215" t="s">
        <v>1906</v>
      </c>
      <c r="Y750" s="263"/>
      <c r="Z750" s="263"/>
      <c r="AA750" s="305"/>
      <c r="AB750" s="242"/>
      <c r="AC750" s="212"/>
      <c r="XFB750" s="317"/>
      <c r="XFC750" s="317"/>
      <c r="XFD750" s="271"/>
    </row>
    <row r="751" spans="1:29 16382:16384" s="182" customFormat="1" hidden="1" x14ac:dyDescent="0.25">
      <c r="A751" s="131">
        <v>1</v>
      </c>
      <c r="B751" s="136">
        <v>1301001</v>
      </c>
      <c r="C751" s="128" t="s">
        <v>600</v>
      </c>
      <c r="D751" s="127"/>
      <c r="E751" s="147" t="s">
        <v>38</v>
      </c>
      <c r="F751" s="138" t="s">
        <v>57</v>
      </c>
      <c r="G751" s="147" t="s">
        <v>34</v>
      </c>
      <c r="H751" s="191">
        <f t="shared" si="12"/>
        <v>0</v>
      </c>
      <c r="I751" s="225"/>
      <c r="J751" s="149"/>
      <c r="K751" s="147">
        <v>12</v>
      </c>
      <c r="L751" s="147">
        <v>1</v>
      </c>
      <c r="M751" s="147">
        <v>13</v>
      </c>
      <c r="N751" s="289"/>
      <c r="O751" s="196"/>
      <c r="P751" s="180"/>
      <c r="Q751" s="174"/>
      <c r="R751" s="206">
        <v>0</v>
      </c>
      <c r="S751" s="168"/>
      <c r="T751" s="138" t="s">
        <v>57</v>
      </c>
      <c r="U751" s="147" t="s">
        <v>37</v>
      </c>
      <c r="V751" s="129"/>
      <c r="W751" s="163" t="s">
        <v>54</v>
      </c>
      <c r="X751" s="215"/>
      <c r="Y751" s="216">
        <v>0</v>
      </c>
      <c r="Z751" s="216">
        <v>0</v>
      </c>
      <c r="AA751" s="263"/>
      <c r="AB751" s="155"/>
      <c r="AC751" s="212"/>
    </row>
    <row r="752" spans="1:29 16382:16384" s="182" customFormat="1" hidden="1" x14ac:dyDescent="0.25">
      <c r="A752" s="131">
        <v>1</v>
      </c>
      <c r="B752" s="136">
        <v>1301002</v>
      </c>
      <c r="C752" s="128" t="s">
        <v>600</v>
      </c>
      <c r="D752" s="127" t="s">
        <v>860</v>
      </c>
      <c r="E752" s="147" t="s">
        <v>38</v>
      </c>
      <c r="F752" s="138" t="s">
        <v>57</v>
      </c>
      <c r="G752" s="147" t="s">
        <v>34</v>
      </c>
      <c r="H752" s="191">
        <f t="shared" si="12"/>
        <v>0</v>
      </c>
      <c r="I752" s="225"/>
      <c r="J752" s="149"/>
      <c r="K752" s="147">
        <v>12</v>
      </c>
      <c r="L752" s="147">
        <v>1</v>
      </c>
      <c r="M752" s="147">
        <v>13</v>
      </c>
      <c r="N752" s="289"/>
      <c r="O752" s="196"/>
      <c r="P752" s="180"/>
      <c r="Q752" s="174"/>
      <c r="R752" s="206">
        <v>0</v>
      </c>
      <c r="S752" s="168"/>
      <c r="T752" s="129" t="s">
        <v>2209</v>
      </c>
      <c r="U752" s="147" t="s">
        <v>37</v>
      </c>
      <c r="V752" s="129"/>
      <c r="W752" s="163" t="s">
        <v>54</v>
      </c>
      <c r="X752" s="215"/>
      <c r="Y752" s="216">
        <v>0</v>
      </c>
      <c r="Z752" s="216">
        <v>0</v>
      </c>
      <c r="AA752" s="263"/>
      <c r="AB752" s="155"/>
      <c r="AC752" s="212"/>
    </row>
    <row r="753" spans="1:29" s="182" customFormat="1" hidden="1" x14ac:dyDescent="0.25">
      <c r="A753" s="131">
        <v>1</v>
      </c>
      <c r="B753" s="136">
        <v>1301003</v>
      </c>
      <c r="C753" s="128" t="s">
        <v>600</v>
      </c>
      <c r="D753" s="127" t="s">
        <v>861</v>
      </c>
      <c r="E753" s="147" t="s">
        <v>38</v>
      </c>
      <c r="F753" s="138" t="s">
        <v>57</v>
      </c>
      <c r="G753" s="147" t="s">
        <v>34</v>
      </c>
      <c r="H753" s="191">
        <f t="shared" si="12"/>
        <v>0</v>
      </c>
      <c r="I753" s="225"/>
      <c r="J753" s="149"/>
      <c r="K753" s="147">
        <v>12</v>
      </c>
      <c r="L753" s="147">
        <v>1</v>
      </c>
      <c r="M753" s="147">
        <v>13</v>
      </c>
      <c r="N753" s="289"/>
      <c r="O753" s="196"/>
      <c r="P753" s="180"/>
      <c r="Q753" s="174"/>
      <c r="R753" s="206">
        <v>0</v>
      </c>
      <c r="S753" s="168"/>
      <c r="T753" s="138" t="s">
        <v>57</v>
      </c>
      <c r="U753" s="147" t="s">
        <v>37</v>
      </c>
      <c r="V753" s="129"/>
      <c r="W753" s="163" t="s">
        <v>54</v>
      </c>
      <c r="X753" s="215"/>
      <c r="Y753" s="216">
        <v>0</v>
      </c>
      <c r="Z753" s="216">
        <v>0</v>
      </c>
      <c r="AA753" s="263"/>
      <c r="AB753" s="155"/>
      <c r="AC753" s="212"/>
    </row>
    <row r="754" spans="1:29" s="182" customFormat="1" hidden="1" x14ac:dyDescent="0.25">
      <c r="A754" s="131">
        <v>1</v>
      </c>
      <c r="B754" s="136">
        <v>1301004</v>
      </c>
      <c r="C754" s="128" t="s">
        <v>600</v>
      </c>
      <c r="D754" s="127" t="s">
        <v>862</v>
      </c>
      <c r="E754" s="147" t="s">
        <v>38</v>
      </c>
      <c r="F754" s="138" t="s">
        <v>57</v>
      </c>
      <c r="G754" s="147" t="s">
        <v>34</v>
      </c>
      <c r="H754" s="191">
        <f t="shared" si="12"/>
        <v>0</v>
      </c>
      <c r="I754" s="225"/>
      <c r="J754" s="149"/>
      <c r="K754" s="147">
        <v>12</v>
      </c>
      <c r="L754" s="147">
        <v>1</v>
      </c>
      <c r="M754" s="147">
        <v>13</v>
      </c>
      <c r="N754" s="289"/>
      <c r="O754" s="196"/>
      <c r="P754" s="180"/>
      <c r="Q754" s="174"/>
      <c r="R754" s="206">
        <v>0</v>
      </c>
      <c r="S754" s="168"/>
      <c r="T754" s="138" t="s">
        <v>57</v>
      </c>
      <c r="U754" s="147" t="s">
        <v>37</v>
      </c>
      <c r="V754" s="129"/>
      <c r="W754" s="163" t="s">
        <v>54</v>
      </c>
      <c r="X754" s="215"/>
      <c r="Y754" s="216">
        <v>0</v>
      </c>
      <c r="Z754" s="216">
        <v>0</v>
      </c>
      <c r="AA754" s="263"/>
      <c r="AB754" s="155"/>
      <c r="AC754" s="212"/>
    </row>
    <row r="755" spans="1:29" s="182" customFormat="1" hidden="1" x14ac:dyDescent="0.25">
      <c r="A755" s="131">
        <v>1</v>
      </c>
      <c r="B755" s="136">
        <v>1301005</v>
      </c>
      <c r="C755" s="128" t="s">
        <v>600</v>
      </c>
      <c r="D755" s="127" t="s">
        <v>863</v>
      </c>
      <c r="E755" s="147" t="s">
        <v>38</v>
      </c>
      <c r="F755" s="138" t="s">
        <v>57</v>
      </c>
      <c r="G755" s="147" t="s">
        <v>34</v>
      </c>
      <c r="H755" s="191">
        <f t="shared" si="12"/>
        <v>0</v>
      </c>
      <c r="I755" s="225"/>
      <c r="J755" s="149"/>
      <c r="K755" s="147">
        <v>12</v>
      </c>
      <c r="L755" s="147">
        <v>1</v>
      </c>
      <c r="M755" s="147">
        <v>13</v>
      </c>
      <c r="N755" s="289"/>
      <c r="O755" s="196"/>
      <c r="P755" s="180"/>
      <c r="Q755" s="174"/>
      <c r="R755" s="206">
        <v>0</v>
      </c>
      <c r="S755" s="168"/>
      <c r="T755" s="129" t="s">
        <v>55</v>
      </c>
      <c r="U755" s="147" t="s">
        <v>37</v>
      </c>
      <c r="V755" s="129"/>
      <c r="W755" s="163" t="s">
        <v>54</v>
      </c>
      <c r="X755" s="215"/>
      <c r="Y755" s="216">
        <v>0</v>
      </c>
      <c r="Z755" s="216">
        <v>0</v>
      </c>
      <c r="AA755" s="263"/>
      <c r="AB755" s="155"/>
      <c r="AC755" s="212"/>
    </row>
    <row r="756" spans="1:29" s="182" customFormat="1" hidden="1" x14ac:dyDescent="0.25">
      <c r="A756" s="131">
        <v>1</v>
      </c>
      <c r="B756" s="136">
        <v>1301006</v>
      </c>
      <c r="C756" s="128" t="s">
        <v>600</v>
      </c>
      <c r="D756" s="127" t="s">
        <v>864</v>
      </c>
      <c r="E756" s="147" t="s">
        <v>38</v>
      </c>
      <c r="F756" s="138" t="s">
        <v>57</v>
      </c>
      <c r="G756" s="147" t="s">
        <v>34</v>
      </c>
      <c r="H756" s="191">
        <f t="shared" si="12"/>
        <v>0</v>
      </c>
      <c r="I756" s="225"/>
      <c r="J756" s="149"/>
      <c r="K756" s="147">
        <v>12</v>
      </c>
      <c r="L756" s="147">
        <v>1</v>
      </c>
      <c r="M756" s="147">
        <v>13</v>
      </c>
      <c r="N756" s="289"/>
      <c r="O756" s="196"/>
      <c r="P756" s="180"/>
      <c r="Q756" s="174"/>
      <c r="R756" s="206">
        <v>0</v>
      </c>
      <c r="S756" s="168"/>
      <c r="T756" s="129" t="s">
        <v>55</v>
      </c>
      <c r="U756" s="147" t="s">
        <v>37</v>
      </c>
      <c r="V756" s="129"/>
      <c r="W756" s="163" t="s">
        <v>54</v>
      </c>
      <c r="X756" s="215"/>
      <c r="Y756" s="216">
        <v>0</v>
      </c>
      <c r="Z756" s="216">
        <v>0</v>
      </c>
      <c r="AA756" s="263"/>
      <c r="AB756" s="155"/>
      <c r="AC756" s="212"/>
    </row>
    <row r="757" spans="1:29" s="182" customFormat="1" hidden="1" x14ac:dyDescent="0.25">
      <c r="A757" s="131">
        <v>1</v>
      </c>
      <c r="B757" s="136">
        <v>1301007</v>
      </c>
      <c r="C757" s="128" t="s">
        <v>600</v>
      </c>
      <c r="D757" s="127" t="s">
        <v>865</v>
      </c>
      <c r="E757" s="147" t="s">
        <v>38</v>
      </c>
      <c r="F757" s="138" t="s">
        <v>57</v>
      </c>
      <c r="G757" s="147" t="s">
        <v>34</v>
      </c>
      <c r="H757" s="191">
        <f t="shared" si="12"/>
        <v>0</v>
      </c>
      <c r="I757" s="225"/>
      <c r="J757" s="149"/>
      <c r="K757" s="147">
        <v>12</v>
      </c>
      <c r="L757" s="147">
        <v>1</v>
      </c>
      <c r="M757" s="147">
        <v>13</v>
      </c>
      <c r="N757" s="289"/>
      <c r="O757" s="196"/>
      <c r="P757" s="180"/>
      <c r="Q757" s="174"/>
      <c r="R757" s="206">
        <v>0</v>
      </c>
      <c r="S757" s="168"/>
      <c r="T757" s="138" t="s">
        <v>57</v>
      </c>
      <c r="U757" s="147" t="s">
        <v>37</v>
      </c>
      <c r="V757" s="129"/>
      <c r="W757" s="163" t="s">
        <v>54</v>
      </c>
      <c r="X757" s="215"/>
      <c r="Y757" s="216">
        <v>0</v>
      </c>
      <c r="Z757" s="216">
        <v>0</v>
      </c>
      <c r="AA757" s="263"/>
      <c r="AB757" s="155"/>
      <c r="AC757" s="212"/>
    </row>
    <row r="758" spans="1:29" s="182" customFormat="1" hidden="1" x14ac:dyDescent="0.25">
      <c r="A758" s="131">
        <v>1</v>
      </c>
      <c r="B758" s="136">
        <v>1301008</v>
      </c>
      <c r="C758" s="128" t="s">
        <v>600</v>
      </c>
      <c r="D758" s="127" t="s">
        <v>866</v>
      </c>
      <c r="E758" s="147" t="s">
        <v>38</v>
      </c>
      <c r="F758" s="138" t="s">
        <v>57</v>
      </c>
      <c r="G758" s="147" t="s">
        <v>34</v>
      </c>
      <c r="H758" s="191">
        <f t="shared" si="12"/>
        <v>0</v>
      </c>
      <c r="I758" s="225"/>
      <c r="J758" s="149"/>
      <c r="K758" s="147">
        <v>12</v>
      </c>
      <c r="L758" s="147">
        <v>1</v>
      </c>
      <c r="M758" s="147">
        <v>13</v>
      </c>
      <c r="N758" s="289"/>
      <c r="O758" s="196"/>
      <c r="P758" s="180"/>
      <c r="Q758" s="174"/>
      <c r="R758" s="206">
        <v>0</v>
      </c>
      <c r="S758" s="168"/>
      <c r="T758" s="129" t="s">
        <v>55</v>
      </c>
      <c r="U758" s="147" t="s">
        <v>37</v>
      </c>
      <c r="V758" s="129"/>
      <c r="W758" s="163" t="s">
        <v>54</v>
      </c>
      <c r="X758" s="215"/>
      <c r="Y758" s="216">
        <v>0</v>
      </c>
      <c r="Z758" s="216">
        <v>0</v>
      </c>
      <c r="AA758" s="263"/>
      <c r="AB758" s="155"/>
      <c r="AC758" s="212"/>
    </row>
    <row r="759" spans="1:29" s="182" customFormat="1" hidden="1" x14ac:dyDescent="0.25">
      <c r="A759" s="131">
        <v>1</v>
      </c>
      <c r="B759" s="136">
        <v>1301009</v>
      </c>
      <c r="C759" s="128" t="s">
        <v>600</v>
      </c>
      <c r="D759" s="127" t="s">
        <v>867</v>
      </c>
      <c r="E759" s="147" t="s">
        <v>38</v>
      </c>
      <c r="F759" s="138" t="s">
        <v>57</v>
      </c>
      <c r="G759" s="147" t="s">
        <v>34</v>
      </c>
      <c r="H759" s="191">
        <f t="shared" si="12"/>
        <v>0</v>
      </c>
      <c r="I759" s="225"/>
      <c r="J759" s="149"/>
      <c r="K759" s="147">
        <v>12</v>
      </c>
      <c r="L759" s="147">
        <v>1</v>
      </c>
      <c r="M759" s="147">
        <v>13</v>
      </c>
      <c r="N759" s="289"/>
      <c r="O759" s="196"/>
      <c r="P759" s="180"/>
      <c r="Q759" s="174"/>
      <c r="R759" s="206">
        <v>0</v>
      </c>
      <c r="S759" s="168"/>
      <c r="T759" s="129" t="s">
        <v>55</v>
      </c>
      <c r="U759" s="147" t="s">
        <v>37</v>
      </c>
      <c r="V759" s="129"/>
      <c r="W759" s="163" t="s">
        <v>54</v>
      </c>
      <c r="X759" s="215"/>
      <c r="Y759" s="216">
        <v>0</v>
      </c>
      <c r="Z759" s="216">
        <v>0</v>
      </c>
      <c r="AA759" s="263"/>
      <c r="AB759" s="155"/>
      <c r="AC759" s="212"/>
    </row>
    <row r="760" spans="1:29" s="182" customFormat="1" hidden="1" x14ac:dyDescent="0.25">
      <c r="A760" s="131">
        <v>1</v>
      </c>
      <c r="B760" s="136">
        <v>1301010</v>
      </c>
      <c r="C760" s="128" t="s">
        <v>600</v>
      </c>
      <c r="D760" s="127" t="s">
        <v>868</v>
      </c>
      <c r="E760" s="147" t="s">
        <v>38</v>
      </c>
      <c r="F760" s="138" t="s">
        <v>57</v>
      </c>
      <c r="G760" s="147" t="s">
        <v>34</v>
      </c>
      <c r="H760" s="191">
        <f t="shared" si="12"/>
        <v>0</v>
      </c>
      <c r="I760" s="225"/>
      <c r="J760" s="149"/>
      <c r="K760" s="147">
        <v>12</v>
      </c>
      <c r="L760" s="147">
        <v>1</v>
      </c>
      <c r="M760" s="147">
        <v>13</v>
      </c>
      <c r="N760" s="289"/>
      <c r="O760" s="196"/>
      <c r="P760" s="180"/>
      <c r="Q760" s="174"/>
      <c r="R760" s="206">
        <v>0</v>
      </c>
      <c r="S760" s="168"/>
      <c r="T760" s="129" t="s">
        <v>55</v>
      </c>
      <c r="U760" s="147" t="s">
        <v>37</v>
      </c>
      <c r="V760" s="129"/>
      <c r="W760" s="163" t="s">
        <v>54</v>
      </c>
      <c r="X760" s="215"/>
      <c r="Y760" s="216">
        <v>0</v>
      </c>
      <c r="Z760" s="216">
        <v>0</v>
      </c>
      <c r="AA760" s="263"/>
      <c r="AB760" s="155"/>
      <c r="AC760" s="212"/>
    </row>
    <row r="761" spans="1:29" s="182" customFormat="1" hidden="1" x14ac:dyDescent="0.25">
      <c r="A761" s="131">
        <v>1</v>
      </c>
      <c r="B761" s="136">
        <v>1301012</v>
      </c>
      <c r="C761" s="128" t="s">
        <v>600</v>
      </c>
      <c r="D761" s="127" t="s">
        <v>869</v>
      </c>
      <c r="E761" s="147" t="s">
        <v>38</v>
      </c>
      <c r="F761" s="138" t="s">
        <v>57</v>
      </c>
      <c r="G761" s="147" t="s">
        <v>34</v>
      </c>
      <c r="H761" s="191">
        <f t="shared" si="12"/>
        <v>0</v>
      </c>
      <c r="I761" s="225"/>
      <c r="J761" s="149"/>
      <c r="K761" s="147">
        <v>12</v>
      </c>
      <c r="L761" s="147">
        <v>1</v>
      </c>
      <c r="M761" s="147">
        <v>13</v>
      </c>
      <c r="N761" s="289"/>
      <c r="O761" s="196"/>
      <c r="P761" s="180"/>
      <c r="Q761" s="174"/>
      <c r="R761" s="206">
        <v>0</v>
      </c>
      <c r="S761" s="168"/>
      <c r="T761" s="129" t="s">
        <v>55</v>
      </c>
      <c r="U761" s="147" t="s">
        <v>37</v>
      </c>
      <c r="V761" s="129"/>
      <c r="W761" s="163" t="s">
        <v>54</v>
      </c>
      <c r="X761" s="215"/>
      <c r="Y761" s="216">
        <v>0</v>
      </c>
      <c r="Z761" s="216">
        <v>0</v>
      </c>
      <c r="AA761" s="263"/>
      <c r="AB761" s="155"/>
      <c r="AC761" s="212"/>
    </row>
    <row r="762" spans="1:29" hidden="1" x14ac:dyDescent="0.25">
      <c r="A762" s="131">
        <v>1</v>
      </c>
      <c r="B762" s="136">
        <v>1301013</v>
      </c>
      <c r="C762" s="128" t="s">
        <v>600</v>
      </c>
      <c r="D762" s="127" t="s">
        <v>870</v>
      </c>
      <c r="E762" s="147" t="s">
        <v>38</v>
      </c>
      <c r="F762" s="138" t="s">
        <v>57</v>
      </c>
      <c r="G762" s="147" t="s">
        <v>34</v>
      </c>
      <c r="H762" s="191">
        <f t="shared" si="12"/>
        <v>0</v>
      </c>
      <c r="I762" s="225"/>
      <c r="J762" s="149"/>
      <c r="K762" s="147">
        <v>12</v>
      </c>
      <c r="L762" s="147">
        <v>1</v>
      </c>
      <c r="M762" s="147">
        <v>13</v>
      </c>
      <c r="N762" s="289"/>
      <c r="O762" s="196"/>
      <c r="P762" s="180"/>
      <c r="Q762" s="174"/>
      <c r="R762" s="206">
        <v>0</v>
      </c>
      <c r="S762" s="168"/>
      <c r="T762" s="129" t="s">
        <v>55</v>
      </c>
      <c r="U762" s="147" t="s">
        <v>37</v>
      </c>
      <c r="V762" s="129"/>
      <c r="W762" s="163" t="s">
        <v>54</v>
      </c>
      <c r="X762" s="215"/>
      <c r="Y762" s="216">
        <v>0</v>
      </c>
      <c r="Z762" s="216">
        <v>0</v>
      </c>
      <c r="AA762" s="263"/>
      <c r="AB762" s="155"/>
      <c r="AC762" s="212"/>
    </row>
    <row r="763" spans="1:29" hidden="1" x14ac:dyDescent="0.25">
      <c r="A763" s="131">
        <v>1</v>
      </c>
      <c r="B763" s="136">
        <v>1301014</v>
      </c>
      <c r="C763" s="128" t="s">
        <v>600</v>
      </c>
      <c r="D763" s="127" t="s">
        <v>871</v>
      </c>
      <c r="E763" s="147" t="s">
        <v>38</v>
      </c>
      <c r="F763" s="138" t="s">
        <v>57</v>
      </c>
      <c r="G763" s="147" t="s">
        <v>34</v>
      </c>
      <c r="H763" s="191">
        <f t="shared" si="12"/>
        <v>0</v>
      </c>
      <c r="I763" s="225"/>
      <c r="J763" s="149"/>
      <c r="K763" s="147">
        <v>12</v>
      </c>
      <c r="L763" s="147">
        <v>1</v>
      </c>
      <c r="M763" s="147">
        <v>13</v>
      </c>
      <c r="N763" s="289"/>
      <c r="O763" s="196"/>
      <c r="P763" s="180"/>
      <c r="Q763" s="174"/>
      <c r="R763" s="206">
        <v>0</v>
      </c>
      <c r="S763" s="168"/>
      <c r="T763" s="129" t="s">
        <v>55</v>
      </c>
      <c r="U763" s="147" t="s">
        <v>37</v>
      </c>
      <c r="V763" s="129"/>
      <c r="W763" s="163" t="s">
        <v>54</v>
      </c>
      <c r="X763" s="215"/>
      <c r="Y763" s="216">
        <v>0</v>
      </c>
      <c r="Z763" s="216">
        <v>0</v>
      </c>
      <c r="AA763" s="263"/>
      <c r="AB763" s="155"/>
      <c r="AC763" s="212"/>
    </row>
    <row r="764" spans="1:29" hidden="1" x14ac:dyDescent="0.25">
      <c r="A764" s="131">
        <v>1</v>
      </c>
      <c r="B764" s="136">
        <v>1301015</v>
      </c>
      <c r="C764" s="128" t="s">
        <v>600</v>
      </c>
      <c r="D764" s="127" t="s">
        <v>872</v>
      </c>
      <c r="E764" s="147" t="s">
        <v>38</v>
      </c>
      <c r="F764" s="129" t="s">
        <v>873</v>
      </c>
      <c r="G764" s="147" t="s">
        <v>34</v>
      </c>
      <c r="H764" s="191">
        <f t="shared" si="12"/>
        <v>0</v>
      </c>
      <c r="I764" s="225"/>
      <c r="J764" s="149"/>
      <c r="K764" s="147">
        <v>11</v>
      </c>
      <c r="L764" s="147">
        <v>1</v>
      </c>
      <c r="M764" s="147">
        <v>12</v>
      </c>
      <c r="N764" s="289"/>
      <c r="O764" s="196"/>
      <c r="P764" s="180"/>
      <c r="Q764" s="174"/>
      <c r="R764" s="206">
        <v>0</v>
      </c>
      <c r="S764" s="168"/>
      <c r="T764" s="129" t="s">
        <v>55</v>
      </c>
      <c r="U764" s="147" t="s">
        <v>37</v>
      </c>
      <c r="V764" s="129"/>
      <c r="W764" s="163" t="s">
        <v>54</v>
      </c>
      <c r="X764" s="215"/>
      <c r="Y764" s="216">
        <v>0</v>
      </c>
      <c r="Z764" s="216">
        <v>0</v>
      </c>
      <c r="AA764" s="263"/>
      <c r="AB764" s="155"/>
      <c r="AC764" s="212"/>
    </row>
    <row r="765" spans="1:29" s="182" customFormat="1" hidden="1" x14ac:dyDescent="0.25">
      <c r="A765" s="131">
        <v>1</v>
      </c>
      <c r="B765" s="136">
        <v>1301016</v>
      </c>
      <c r="C765" s="128" t="s">
        <v>600</v>
      </c>
      <c r="D765" s="127" t="s">
        <v>874</v>
      </c>
      <c r="E765" s="147" t="s">
        <v>38</v>
      </c>
      <c r="F765" s="138" t="s">
        <v>57</v>
      </c>
      <c r="G765" s="147" t="s">
        <v>34</v>
      </c>
      <c r="H765" s="191">
        <f t="shared" si="12"/>
        <v>0</v>
      </c>
      <c r="I765" s="225"/>
      <c r="J765" s="149"/>
      <c r="K765" s="147">
        <v>12</v>
      </c>
      <c r="L765" s="147">
        <v>1</v>
      </c>
      <c r="M765" s="147">
        <v>13</v>
      </c>
      <c r="N765" s="289"/>
      <c r="O765" s="196"/>
      <c r="P765" s="180"/>
      <c r="Q765" s="174"/>
      <c r="R765" s="206">
        <v>0</v>
      </c>
      <c r="S765" s="168"/>
      <c r="T765" s="138" t="s">
        <v>57</v>
      </c>
      <c r="U765" s="147" t="s">
        <v>37</v>
      </c>
      <c r="V765" s="129"/>
      <c r="W765" s="163" t="s">
        <v>54</v>
      </c>
      <c r="X765" s="215"/>
      <c r="Y765" s="216">
        <v>0</v>
      </c>
      <c r="Z765" s="216">
        <v>0</v>
      </c>
      <c r="AA765" s="263"/>
      <c r="AB765" s="155"/>
      <c r="AC765" s="212"/>
    </row>
    <row r="766" spans="1:29" s="182" customFormat="1" hidden="1" x14ac:dyDescent="0.25">
      <c r="A766" s="131">
        <v>1</v>
      </c>
      <c r="B766" s="136">
        <v>1301017</v>
      </c>
      <c r="C766" s="128" t="s">
        <v>600</v>
      </c>
      <c r="D766" s="127" t="s">
        <v>875</v>
      </c>
      <c r="E766" s="147" t="s">
        <v>38</v>
      </c>
      <c r="F766" s="138" t="s">
        <v>57</v>
      </c>
      <c r="G766" s="147" t="s">
        <v>34</v>
      </c>
      <c r="H766" s="191">
        <f t="shared" si="12"/>
        <v>0</v>
      </c>
      <c r="I766" s="225"/>
      <c r="J766" s="149"/>
      <c r="K766" s="147">
        <v>12</v>
      </c>
      <c r="L766" s="147">
        <v>1</v>
      </c>
      <c r="M766" s="147">
        <v>13</v>
      </c>
      <c r="N766" s="289"/>
      <c r="O766" s="196"/>
      <c r="P766" s="180"/>
      <c r="Q766" s="174"/>
      <c r="R766" s="206">
        <v>0</v>
      </c>
      <c r="S766" s="168"/>
      <c r="T766" s="138" t="s">
        <v>57</v>
      </c>
      <c r="U766" s="147" t="s">
        <v>37</v>
      </c>
      <c r="V766" s="129"/>
      <c r="W766" s="163" t="s">
        <v>54</v>
      </c>
      <c r="X766" s="215"/>
      <c r="Y766" s="216">
        <v>0</v>
      </c>
      <c r="Z766" s="216">
        <v>0</v>
      </c>
      <c r="AA766" s="263"/>
      <c r="AB766" s="155"/>
      <c r="AC766" s="212"/>
    </row>
    <row r="767" spans="1:29" s="182" customFormat="1" hidden="1" x14ac:dyDescent="0.25">
      <c r="A767" s="131">
        <v>1</v>
      </c>
      <c r="B767" s="136">
        <v>1301018</v>
      </c>
      <c r="C767" s="128" t="s">
        <v>600</v>
      </c>
      <c r="D767" s="127" t="s">
        <v>876</v>
      </c>
      <c r="E767" s="147" t="s">
        <v>38</v>
      </c>
      <c r="F767" s="138" t="s">
        <v>57</v>
      </c>
      <c r="G767" s="147" t="s">
        <v>34</v>
      </c>
      <c r="H767" s="191">
        <f t="shared" si="12"/>
        <v>0</v>
      </c>
      <c r="I767" s="225"/>
      <c r="J767" s="149"/>
      <c r="K767" s="147">
        <v>12</v>
      </c>
      <c r="L767" s="147">
        <v>1</v>
      </c>
      <c r="M767" s="147">
        <v>13</v>
      </c>
      <c r="N767" s="289"/>
      <c r="O767" s="196"/>
      <c r="P767" s="180"/>
      <c r="Q767" s="174"/>
      <c r="R767" s="206">
        <v>0</v>
      </c>
      <c r="S767" s="168"/>
      <c r="T767" s="138" t="s">
        <v>57</v>
      </c>
      <c r="U767" s="147" t="s">
        <v>37</v>
      </c>
      <c r="V767" s="129"/>
      <c r="W767" s="163" t="s">
        <v>54</v>
      </c>
      <c r="X767" s="215"/>
      <c r="Y767" s="216">
        <v>0</v>
      </c>
      <c r="Z767" s="216">
        <v>0</v>
      </c>
      <c r="AA767" s="263"/>
      <c r="AB767" s="155"/>
      <c r="AC767" s="212"/>
    </row>
    <row r="768" spans="1:29" s="182" customFormat="1" x14ac:dyDescent="0.25">
      <c r="A768" s="131">
        <v>1</v>
      </c>
      <c r="B768" s="136">
        <v>1301019</v>
      </c>
      <c r="C768" s="128" t="s">
        <v>600</v>
      </c>
      <c r="D768" s="127" t="s">
        <v>877</v>
      </c>
      <c r="E768" s="147" t="s">
        <v>38</v>
      </c>
      <c r="F768" s="129" t="s">
        <v>684</v>
      </c>
      <c r="G768" s="147" t="s">
        <v>878</v>
      </c>
      <c r="H768" s="191">
        <f t="shared" si="12"/>
        <v>658.37</v>
      </c>
      <c r="I768" s="222" t="s">
        <v>2084</v>
      </c>
      <c r="J768" s="146">
        <v>0</v>
      </c>
      <c r="K768" s="147">
        <v>9</v>
      </c>
      <c r="L768" s="147">
        <v>1</v>
      </c>
      <c r="M768" s="147">
        <v>10</v>
      </c>
      <c r="N768" s="289">
        <v>2</v>
      </c>
      <c r="O768" s="195"/>
      <c r="P768" s="180">
        <v>45386</v>
      </c>
      <c r="Q768" s="174">
        <v>658.32</v>
      </c>
      <c r="R768" s="205">
        <v>0.05</v>
      </c>
      <c r="S768" s="168"/>
      <c r="T768" s="129" t="s">
        <v>36</v>
      </c>
      <c r="U768" s="147" t="s">
        <v>37</v>
      </c>
      <c r="V768" s="129"/>
      <c r="W768" s="147" t="s">
        <v>2213</v>
      </c>
      <c r="X768" s="215" t="s">
        <v>1009</v>
      </c>
      <c r="Y768" s="216">
        <v>1.25</v>
      </c>
      <c r="Z768" s="216">
        <v>1.875</v>
      </c>
      <c r="AA768" s="263"/>
      <c r="AB768" s="305"/>
      <c r="AC768" s="214"/>
    </row>
    <row r="769" spans="1:29" s="182" customFormat="1" hidden="1" x14ac:dyDescent="0.25">
      <c r="A769" s="131">
        <v>1</v>
      </c>
      <c r="B769" s="136">
        <v>1301020</v>
      </c>
      <c r="C769" s="128" t="s">
        <v>600</v>
      </c>
      <c r="D769" s="127" t="s">
        <v>879</v>
      </c>
      <c r="E769" s="147" t="s">
        <v>38</v>
      </c>
      <c r="F769" s="129" t="s">
        <v>684</v>
      </c>
      <c r="G769" s="147" t="s">
        <v>607</v>
      </c>
      <c r="H769" s="191">
        <f t="shared" si="12"/>
        <v>0</v>
      </c>
      <c r="I769" s="134" t="s">
        <v>2084</v>
      </c>
      <c r="J769" s="146">
        <v>0</v>
      </c>
      <c r="K769" s="147">
        <v>9</v>
      </c>
      <c r="L769" s="147">
        <v>1</v>
      </c>
      <c r="M769" s="147">
        <v>10</v>
      </c>
      <c r="N769" s="289"/>
      <c r="O769" s="196"/>
      <c r="P769" s="180"/>
      <c r="Q769" s="174"/>
      <c r="R769" s="206">
        <v>0</v>
      </c>
      <c r="S769" s="168"/>
      <c r="T769" s="129" t="s">
        <v>36</v>
      </c>
      <c r="U769" s="147" t="s">
        <v>37</v>
      </c>
      <c r="V769" s="129"/>
      <c r="W769" s="163" t="s">
        <v>54</v>
      </c>
      <c r="X769" s="215"/>
      <c r="Y769" s="216">
        <v>0</v>
      </c>
      <c r="Z769" s="216">
        <v>0</v>
      </c>
      <c r="AA769" s="263"/>
      <c r="AB769" s="305"/>
      <c r="AC769" s="214"/>
    </row>
    <row r="770" spans="1:29" s="182" customFormat="1" hidden="1" x14ac:dyDescent="0.25">
      <c r="A770" s="131">
        <v>1</v>
      </c>
      <c r="B770" s="136">
        <v>1301021</v>
      </c>
      <c r="C770" s="128" t="s">
        <v>600</v>
      </c>
      <c r="D770" s="127" t="s">
        <v>880</v>
      </c>
      <c r="E770" s="147" t="s">
        <v>38</v>
      </c>
      <c r="F770" s="129" t="s">
        <v>577</v>
      </c>
      <c r="G770" s="147" t="s">
        <v>34</v>
      </c>
      <c r="H770" s="191">
        <f t="shared" si="12"/>
        <v>0</v>
      </c>
      <c r="I770" s="225"/>
      <c r="J770" s="149"/>
      <c r="K770" s="147">
        <v>12</v>
      </c>
      <c r="L770" s="147">
        <v>1</v>
      </c>
      <c r="M770" s="147">
        <v>13</v>
      </c>
      <c r="N770" s="289">
        <v>33</v>
      </c>
      <c r="O770" s="196"/>
      <c r="P770" s="180"/>
      <c r="Q770" s="174"/>
      <c r="R770" s="206">
        <v>0</v>
      </c>
      <c r="S770" s="168"/>
      <c r="T770" s="129" t="s">
        <v>64</v>
      </c>
      <c r="U770" s="147" t="s">
        <v>37</v>
      </c>
      <c r="V770" s="129"/>
      <c r="W770" s="163" t="s">
        <v>54</v>
      </c>
      <c r="X770" s="215"/>
      <c r="Y770" s="216">
        <v>0</v>
      </c>
      <c r="Z770" s="216">
        <v>0</v>
      </c>
      <c r="AA770" s="263"/>
      <c r="AB770" s="155"/>
      <c r="AC770" s="212"/>
    </row>
    <row r="771" spans="1:29" s="182" customFormat="1" hidden="1" x14ac:dyDescent="0.25">
      <c r="A771" s="131">
        <v>1</v>
      </c>
      <c r="B771" s="136">
        <v>1301022</v>
      </c>
      <c r="C771" s="127" t="s">
        <v>600</v>
      </c>
      <c r="D771" s="127" t="s">
        <v>881</v>
      </c>
      <c r="E771" s="147" t="s">
        <v>38</v>
      </c>
      <c r="F771" s="129" t="s">
        <v>584</v>
      </c>
      <c r="G771" s="147" t="s">
        <v>607</v>
      </c>
      <c r="H771" s="191">
        <f t="shared" ref="H771:H834" si="13">Q771+R771</f>
        <v>30.51</v>
      </c>
      <c r="I771" s="134"/>
      <c r="J771" s="150"/>
      <c r="K771" s="147"/>
      <c r="L771" s="147"/>
      <c r="M771" s="147">
        <v>4</v>
      </c>
      <c r="N771" s="289" t="s">
        <v>608</v>
      </c>
      <c r="O771" s="196"/>
      <c r="P771" s="180"/>
      <c r="Q771" s="174">
        <v>7.84</v>
      </c>
      <c r="R771" s="205">
        <v>22.67</v>
      </c>
      <c r="S771" s="165"/>
      <c r="T771" s="129" t="s">
        <v>58</v>
      </c>
      <c r="U771" s="147" t="s">
        <v>37</v>
      </c>
      <c r="V771" s="129"/>
      <c r="W771" s="147" t="s">
        <v>2214</v>
      </c>
      <c r="X771" s="215"/>
      <c r="Y771" s="216">
        <v>0</v>
      </c>
      <c r="Z771" s="216">
        <v>0</v>
      </c>
      <c r="AA771" s="263"/>
      <c r="AB771" s="155"/>
      <c r="AC771" s="212"/>
    </row>
    <row r="772" spans="1:29" s="182" customFormat="1" hidden="1" x14ac:dyDescent="0.25">
      <c r="A772" s="131">
        <v>1</v>
      </c>
      <c r="B772" s="136">
        <v>1301023</v>
      </c>
      <c r="C772" s="128" t="s">
        <v>882</v>
      </c>
      <c r="D772" s="127" t="s">
        <v>883</v>
      </c>
      <c r="E772" s="147" t="s">
        <v>38</v>
      </c>
      <c r="F772" s="129" t="s">
        <v>584</v>
      </c>
      <c r="G772" s="147" t="s">
        <v>607</v>
      </c>
      <c r="H772" s="191">
        <f t="shared" si="13"/>
        <v>34.160000000000004</v>
      </c>
      <c r="I772" s="134"/>
      <c r="J772" s="150"/>
      <c r="K772" s="147"/>
      <c r="L772" s="147"/>
      <c r="M772" s="147">
        <v>4</v>
      </c>
      <c r="N772" s="289" t="s">
        <v>608</v>
      </c>
      <c r="O772" s="196"/>
      <c r="P772" s="180"/>
      <c r="Q772" s="174">
        <v>11.49</v>
      </c>
      <c r="R772" s="205">
        <v>22.67</v>
      </c>
      <c r="S772" s="165"/>
      <c r="T772" s="129" t="s">
        <v>58</v>
      </c>
      <c r="U772" s="147" t="s">
        <v>35</v>
      </c>
      <c r="V772" s="129"/>
      <c r="W772" s="147" t="s">
        <v>2214</v>
      </c>
      <c r="X772" s="215"/>
      <c r="Y772" s="216">
        <v>0</v>
      </c>
      <c r="Z772" s="216">
        <v>0</v>
      </c>
      <c r="AA772" s="263"/>
      <c r="AB772" s="155"/>
      <c r="AC772" s="212"/>
    </row>
    <row r="773" spans="1:29" s="182" customFormat="1" hidden="1" x14ac:dyDescent="0.25">
      <c r="A773" s="131">
        <v>1</v>
      </c>
      <c r="B773" s="136">
        <v>1301024</v>
      </c>
      <c r="C773" s="128" t="s">
        <v>567</v>
      </c>
      <c r="D773" s="127" t="s">
        <v>884</v>
      </c>
      <c r="E773" s="147" t="s">
        <v>38</v>
      </c>
      <c r="F773" s="129" t="s">
        <v>684</v>
      </c>
      <c r="G773" s="147" t="s">
        <v>738</v>
      </c>
      <c r="H773" s="191">
        <f t="shared" si="13"/>
        <v>0</v>
      </c>
      <c r="I773" s="134" t="s">
        <v>2084</v>
      </c>
      <c r="J773" s="146">
        <v>0</v>
      </c>
      <c r="K773" s="147">
        <v>9</v>
      </c>
      <c r="L773" s="147">
        <v>1</v>
      </c>
      <c r="M773" s="147">
        <v>10</v>
      </c>
      <c r="N773" s="289">
        <v>1</v>
      </c>
      <c r="O773" s="196"/>
      <c r="P773" s="180"/>
      <c r="Q773" s="174"/>
      <c r="R773" s="206">
        <v>0</v>
      </c>
      <c r="S773" s="168"/>
      <c r="T773" s="129" t="s">
        <v>64</v>
      </c>
      <c r="U773" s="147" t="s">
        <v>37</v>
      </c>
      <c r="V773" s="129"/>
      <c r="W773" s="163" t="s">
        <v>54</v>
      </c>
      <c r="X773" s="215"/>
      <c r="Y773" s="216">
        <v>0</v>
      </c>
      <c r="Z773" s="216">
        <v>0</v>
      </c>
      <c r="AA773" s="263"/>
      <c r="AB773" s="305"/>
      <c r="AC773" s="214"/>
    </row>
    <row r="774" spans="1:29" s="182" customFormat="1" hidden="1" x14ac:dyDescent="0.25">
      <c r="A774" s="131">
        <v>1</v>
      </c>
      <c r="B774" s="136">
        <v>1301025</v>
      </c>
      <c r="C774" s="128" t="s">
        <v>882</v>
      </c>
      <c r="D774" s="127" t="s">
        <v>886</v>
      </c>
      <c r="E774" s="147" t="s">
        <v>38</v>
      </c>
      <c r="F774" s="129" t="s">
        <v>684</v>
      </c>
      <c r="G774" s="147" t="s">
        <v>738</v>
      </c>
      <c r="H774" s="191">
        <f t="shared" si="13"/>
        <v>0</v>
      </c>
      <c r="I774" s="134" t="s">
        <v>2084</v>
      </c>
      <c r="J774" s="146">
        <v>0</v>
      </c>
      <c r="K774" s="147">
        <v>9</v>
      </c>
      <c r="L774" s="147">
        <v>1</v>
      </c>
      <c r="M774" s="147">
        <v>10</v>
      </c>
      <c r="N774" s="289">
        <v>1</v>
      </c>
      <c r="O774" s="196"/>
      <c r="P774" s="180"/>
      <c r="Q774" s="174"/>
      <c r="R774" s="206">
        <v>0</v>
      </c>
      <c r="S774" s="168"/>
      <c r="T774" s="129" t="s">
        <v>64</v>
      </c>
      <c r="U774" s="147" t="s">
        <v>37</v>
      </c>
      <c r="V774" s="129"/>
      <c r="W774" s="163" t="s">
        <v>54</v>
      </c>
      <c r="X774" s="215"/>
      <c r="Y774" s="216">
        <v>0</v>
      </c>
      <c r="Z774" s="216">
        <v>0</v>
      </c>
      <c r="AA774" s="263"/>
      <c r="AB774" s="305"/>
      <c r="AC774" s="214"/>
    </row>
    <row r="775" spans="1:29" s="182" customFormat="1" hidden="1" x14ac:dyDescent="0.25">
      <c r="A775" s="131">
        <v>1</v>
      </c>
      <c r="B775" s="136">
        <v>1301026</v>
      </c>
      <c r="C775" s="128" t="s">
        <v>600</v>
      </c>
      <c r="D775" s="127" t="s">
        <v>887</v>
      </c>
      <c r="E775" s="147" t="s">
        <v>38</v>
      </c>
      <c r="F775" s="129" t="s">
        <v>684</v>
      </c>
      <c r="G775" s="147" t="s">
        <v>607</v>
      </c>
      <c r="H775" s="191">
        <f t="shared" si="13"/>
        <v>0</v>
      </c>
      <c r="I775" s="134" t="s">
        <v>2084</v>
      </c>
      <c r="J775" s="146">
        <v>0</v>
      </c>
      <c r="K775" s="147">
        <v>9</v>
      </c>
      <c r="L775" s="147">
        <v>1</v>
      </c>
      <c r="M775" s="147">
        <v>10</v>
      </c>
      <c r="N775" s="289"/>
      <c r="O775" s="196"/>
      <c r="P775" s="180"/>
      <c r="Q775" s="174"/>
      <c r="R775" s="206">
        <v>0</v>
      </c>
      <c r="S775" s="168"/>
      <c r="T775" s="129" t="s">
        <v>64</v>
      </c>
      <c r="U775" s="147" t="s">
        <v>37</v>
      </c>
      <c r="V775" s="129"/>
      <c r="W775" s="163" t="s">
        <v>54</v>
      </c>
      <c r="X775" s="215"/>
      <c r="Y775" s="216">
        <v>0</v>
      </c>
      <c r="Z775" s="216">
        <v>0</v>
      </c>
      <c r="AA775" s="263"/>
      <c r="AB775" s="305"/>
      <c r="AC775" s="214"/>
    </row>
    <row r="776" spans="1:29" s="182" customFormat="1" hidden="1" x14ac:dyDescent="0.25">
      <c r="A776" s="131">
        <v>1</v>
      </c>
      <c r="B776" s="136">
        <v>1301027</v>
      </c>
      <c r="C776" s="137" t="s">
        <v>600</v>
      </c>
      <c r="D776" s="137" t="s">
        <v>890</v>
      </c>
      <c r="E776" s="147" t="s">
        <v>38</v>
      </c>
      <c r="F776" s="129" t="s">
        <v>628</v>
      </c>
      <c r="G776" s="147" t="s">
        <v>607</v>
      </c>
      <c r="H776" s="191">
        <f t="shared" si="13"/>
        <v>526</v>
      </c>
      <c r="I776" s="134"/>
      <c r="J776" s="150"/>
      <c r="K776" s="147"/>
      <c r="L776" s="147"/>
      <c r="M776" s="147">
        <v>4</v>
      </c>
      <c r="N776" s="289" t="s">
        <v>891</v>
      </c>
      <c r="O776" s="196"/>
      <c r="P776" s="180"/>
      <c r="Q776" s="174">
        <v>6</v>
      </c>
      <c r="R776" s="205">
        <v>520</v>
      </c>
      <c r="S776" s="165"/>
      <c r="T776" s="129" t="s">
        <v>277</v>
      </c>
      <c r="U776" s="147" t="s">
        <v>35</v>
      </c>
      <c r="V776" s="129"/>
      <c r="W776" s="147" t="s">
        <v>2214</v>
      </c>
      <c r="X776" s="215"/>
      <c r="Y776" s="216">
        <v>0</v>
      </c>
      <c r="Z776" s="216">
        <v>0</v>
      </c>
      <c r="AA776" s="263"/>
      <c r="AB776" s="155"/>
      <c r="AC776" s="212"/>
    </row>
    <row r="777" spans="1:29" s="182" customFormat="1" hidden="1" x14ac:dyDescent="0.25">
      <c r="A777" s="131">
        <v>1</v>
      </c>
      <c r="B777" s="136">
        <v>1301028</v>
      </c>
      <c r="C777" s="137" t="s">
        <v>600</v>
      </c>
      <c r="D777" s="137" t="s">
        <v>893</v>
      </c>
      <c r="E777" s="147" t="s">
        <v>38</v>
      </c>
      <c r="F777" s="129" t="s">
        <v>628</v>
      </c>
      <c r="G777" s="147" t="s">
        <v>607</v>
      </c>
      <c r="H777" s="191">
        <f t="shared" si="13"/>
        <v>526</v>
      </c>
      <c r="I777" s="134"/>
      <c r="J777" s="150"/>
      <c r="K777" s="147"/>
      <c r="L777" s="147"/>
      <c r="M777" s="147">
        <v>4</v>
      </c>
      <c r="N777" s="289" t="s">
        <v>891</v>
      </c>
      <c r="O777" s="196"/>
      <c r="P777" s="180"/>
      <c r="Q777" s="174">
        <v>6</v>
      </c>
      <c r="R777" s="205">
        <v>520</v>
      </c>
      <c r="S777" s="165"/>
      <c r="T777" s="129" t="s">
        <v>277</v>
      </c>
      <c r="U777" s="147" t="s">
        <v>35</v>
      </c>
      <c r="V777" s="129"/>
      <c r="W777" s="147" t="s">
        <v>2214</v>
      </c>
      <c r="X777" s="215"/>
      <c r="Y777" s="216">
        <v>0</v>
      </c>
      <c r="Z777" s="216">
        <v>0</v>
      </c>
      <c r="AA777" s="263"/>
      <c r="AB777" s="155"/>
      <c r="AC777" s="212"/>
    </row>
    <row r="778" spans="1:29" hidden="1" x14ac:dyDescent="0.25">
      <c r="A778" s="131">
        <v>1</v>
      </c>
      <c r="B778" s="136">
        <v>1301029</v>
      </c>
      <c r="C778" s="137" t="s">
        <v>882</v>
      </c>
      <c r="D778" s="137" t="s">
        <v>894</v>
      </c>
      <c r="E778" s="147" t="s">
        <v>38</v>
      </c>
      <c r="F778" s="129" t="s">
        <v>628</v>
      </c>
      <c r="G778" s="147" t="s">
        <v>607</v>
      </c>
      <c r="H778" s="191">
        <f t="shared" si="13"/>
        <v>555</v>
      </c>
      <c r="I778" s="134"/>
      <c r="J778" s="150"/>
      <c r="K778" s="147"/>
      <c r="L778" s="147"/>
      <c r="M778" s="147">
        <v>4</v>
      </c>
      <c r="N778" s="289" t="s">
        <v>630</v>
      </c>
      <c r="O778" s="196"/>
      <c r="P778" s="180"/>
      <c r="Q778" s="174">
        <v>35</v>
      </c>
      <c r="R778" s="205">
        <v>520</v>
      </c>
      <c r="S778" s="165"/>
      <c r="T778" s="129" t="s">
        <v>277</v>
      </c>
      <c r="U778" s="147" t="s">
        <v>35</v>
      </c>
      <c r="V778" s="129"/>
      <c r="W778" s="147" t="s">
        <v>2214</v>
      </c>
      <c r="X778" s="215"/>
      <c r="Y778" s="216">
        <v>0</v>
      </c>
      <c r="Z778" s="216">
        <v>0</v>
      </c>
      <c r="AA778" s="263"/>
      <c r="AB778" s="155"/>
      <c r="AC778" s="212"/>
    </row>
    <row r="779" spans="1:29" hidden="1" x14ac:dyDescent="0.25">
      <c r="A779" s="131">
        <v>1</v>
      </c>
      <c r="B779" s="136">
        <v>1301030</v>
      </c>
      <c r="C779" s="137" t="s">
        <v>882</v>
      </c>
      <c r="D779" s="137" t="s">
        <v>895</v>
      </c>
      <c r="E779" s="147" t="s">
        <v>38</v>
      </c>
      <c r="F779" s="129" t="s">
        <v>628</v>
      </c>
      <c r="G779" s="147" t="s">
        <v>607</v>
      </c>
      <c r="H779" s="191">
        <f t="shared" si="13"/>
        <v>555</v>
      </c>
      <c r="I779" s="134"/>
      <c r="J779" s="150"/>
      <c r="K779" s="147"/>
      <c r="L779" s="147"/>
      <c r="M779" s="147">
        <v>4</v>
      </c>
      <c r="N779" s="289" t="s">
        <v>630</v>
      </c>
      <c r="O779" s="196"/>
      <c r="P779" s="180"/>
      <c r="Q779" s="174">
        <v>35</v>
      </c>
      <c r="R779" s="205">
        <v>520</v>
      </c>
      <c r="S779" s="165"/>
      <c r="T779" s="129" t="s">
        <v>277</v>
      </c>
      <c r="U779" s="147" t="s">
        <v>35</v>
      </c>
      <c r="V779" s="129"/>
      <c r="W779" s="147" t="s">
        <v>2214</v>
      </c>
      <c r="X779" s="215"/>
      <c r="Y779" s="216">
        <v>0</v>
      </c>
      <c r="Z779" s="216">
        <v>0</v>
      </c>
      <c r="AA779" s="263"/>
      <c r="AB779" s="155"/>
      <c r="AC779" s="212"/>
    </row>
    <row r="780" spans="1:29" s="182" customFormat="1" hidden="1" x14ac:dyDescent="0.25">
      <c r="A780" s="131">
        <v>1</v>
      </c>
      <c r="B780" s="136">
        <v>1301100</v>
      </c>
      <c r="C780" s="128" t="s">
        <v>600</v>
      </c>
      <c r="D780" s="127" t="s">
        <v>896</v>
      </c>
      <c r="E780" s="147" t="s">
        <v>38</v>
      </c>
      <c r="F780" s="129" t="s">
        <v>622</v>
      </c>
      <c r="G780" s="147" t="s">
        <v>878</v>
      </c>
      <c r="H780" s="191">
        <f t="shared" si="13"/>
        <v>0</v>
      </c>
      <c r="I780" s="225"/>
      <c r="J780" s="149"/>
      <c r="K780" s="147">
        <v>11</v>
      </c>
      <c r="L780" s="147">
        <v>1</v>
      </c>
      <c r="M780" s="147">
        <v>12</v>
      </c>
      <c r="N780" s="289"/>
      <c r="O780" s="196"/>
      <c r="P780" s="180"/>
      <c r="Q780" s="174"/>
      <c r="R780" s="206">
        <v>0</v>
      </c>
      <c r="S780" s="168"/>
      <c r="T780" s="129"/>
      <c r="U780" s="147" t="s">
        <v>37</v>
      </c>
      <c r="V780" s="129"/>
      <c r="W780" s="163" t="s">
        <v>54</v>
      </c>
      <c r="X780" s="215"/>
      <c r="Y780" s="216">
        <v>0</v>
      </c>
      <c r="Z780" s="216">
        <v>0</v>
      </c>
      <c r="AA780" s="263"/>
      <c r="AB780" s="155"/>
      <c r="AC780" s="212"/>
    </row>
    <row r="781" spans="1:29" hidden="1" x14ac:dyDescent="0.25">
      <c r="A781" s="131">
        <v>1</v>
      </c>
      <c r="B781" s="136">
        <v>1301101</v>
      </c>
      <c r="C781" s="128" t="s">
        <v>600</v>
      </c>
      <c r="D781" s="127" t="s">
        <v>897</v>
      </c>
      <c r="E781" s="147" t="s">
        <v>38</v>
      </c>
      <c r="F781" s="129" t="s">
        <v>622</v>
      </c>
      <c r="G781" s="147" t="s">
        <v>878</v>
      </c>
      <c r="H781" s="191">
        <f t="shared" si="13"/>
        <v>0</v>
      </c>
      <c r="I781" s="225"/>
      <c r="J781" s="149"/>
      <c r="K781" s="147">
        <v>11</v>
      </c>
      <c r="L781" s="147">
        <v>1</v>
      </c>
      <c r="M781" s="147">
        <v>12</v>
      </c>
      <c r="N781" s="289"/>
      <c r="O781" s="196"/>
      <c r="P781" s="180"/>
      <c r="Q781" s="174"/>
      <c r="R781" s="206">
        <v>0</v>
      </c>
      <c r="S781" s="168"/>
      <c r="T781" s="129"/>
      <c r="U781" s="147" t="s">
        <v>37</v>
      </c>
      <c r="V781" s="129"/>
      <c r="W781" s="163" t="s">
        <v>54</v>
      </c>
      <c r="X781" s="215"/>
      <c r="Y781" s="216">
        <v>0</v>
      </c>
      <c r="Z781" s="216">
        <v>0</v>
      </c>
      <c r="AA781" s="263"/>
      <c r="AB781" s="155"/>
      <c r="AC781" s="212"/>
    </row>
    <row r="782" spans="1:29" s="182" customFormat="1" hidden="1" x14ac:dyDescent="0.25">
      <c r="A782" s="131">
        <v>1</v>
      </c>
      <c r="B782" s="136">
        <v>1301102</v>
      </c>
      <c r="C782" s="128" t="s">
        <v>600</v>
      </c>
      <c r="D782" s="127" t="s">
        <v>898</v>
      </c>
      <c r="E782" s="147" t="s">
        <v>38</v>
      </c>
      <c r="F782" s="129" t="s">
        <v>189</v>
      </c>
      <c r="G782" s="147" t="s">
        <v>607</v>
      </c>
      <c r="H782" s="191">
        <f t="shared" si="13"/>
        <v>0</v>
      </c>
      <c r="I782" s="225"/>
      <c r="J782" s="149"/>
      <c r="K782" s="147">
        <v>12</v>
      </c>
      <c r="L782" s="147">
        <v>1</v>
      </c>
      <c r="M782" s="147">
        <v>13</v>
      </c>
      <c r="N782" s="289"/>
      <c r="O782" s="196"/>
      <c r="P782" s="180"/>
      <c r="Q782" s="174"/>
      <c r="R782" s="206">
        <v>0</v>
      </c>
      <c r="S782" s="165"/>
      <c r="T782" s="129" t="s">
        <v>189</v>
      </c>
      <c r="U782" s="147" t="s">
        <v>35</v>
      </c>
      <c r="V782" s="129"/>
      <c r="W782" s="177" t="s">
        <v>2531</v>
      </c>
      <c r="X782" s="215"/>
      <c r="Y782" s="216">
        <v>0</v>
      </c>
      <c r="Z782" s="216">
        <v>0</v>
      </c>
      <c r="AA782" s="263"/>
      <c r="AB782" s="155"/>
      <c r="AC782" s="212"/>
    </row>
    <row r="783" spans="1:29" s="182" customFormat="1" hidden="1" x14ac:dyDescent="0.25">
      <c r="A783" s="131">
        <v>1</v>
      </c>
      <c r="B783" s="136">
        <v>1301103</v>
      </c>
      <c r="C783" s="128" t="s">
        <v>600</v>
      </c>
      <c r="D783" s="127" t="s">
        <v>899</v>
      </c>
      <c r="E783" s="147" t="s">
        <v>38</v>
      </c>
      <c r="F783" s="129" t="s">
        <v>614</v>
      </c>
      <c r="G783" s="147" t="s">
        <v>607</v>
      </c>
      <c r="H783" s="191">
        <f t="shared" si="13"/>
        <v>0</v>
      </c>
      <c r="I783" s="134"/>
      <c r="J783" s="150"/>
      <c r="K783" s="147"/>
      <c r="L783" s="147"/>
      <c r="M783" s="147">
        <v>4</v>
      </c>
      <c r="N783" s="289"/>
      <c r="O783" s="196"/>
      <c r="P783" s="180"/>
      <c r="Q783" s="174"/>
      <c r="R783" s="205">
        <v>0</v>
      </c>
      <c r="S783" s="168" t="s">
        <v>35</v>
      </c>
      <c r="T783" s="129" t="s">
        <v>272</v>
      </c>
      <c r="U783" s="147" t="s">
        <v>35</v>
      </c>
      <c r="V783" s="129"/>
      <c r="W783" s="147" t="s">
        <v>2214</v>
      </c>
      <c r="X783" s="215"/>
      <c r="Y783" s="216">
        <v>0</v>
      </c>
      <c r="Z783" s="216">
        <v>0</v>
      </c>
      <c r="AA783" s="263"/>
      <c r="AB783" s="155"/>
      <c r="AC783" s="212"/>
    </row>
    <row r="784" spans="1:29" hidden="1" x14ac:dyDescent="0.25">
      <c r="A784" s="131">
        <v>1</v>
      </c>
      <c r="B784" s="136">
        <v>1301104</v>
      </c>
      <c r="C784" s="128" t="s">
        <v>600</v>
      </c>
      <c r="D784" s="127" t="s">
        <v>900</v>
      </c>
      <c r="E784" s="147" t="s">
        <v>38</v>
      </c>
      <c r="F784" s="129" t="s">
        <v>617</v>
      </c>
      <c r="G784" s="147" t="s">
        <v>618</v>
      </c>
      <c r="H784" s="191">
        <f t="shared" si="13"/>
        <v>13.680317040951124</v>
      </c>
      <c r="I784" s="134"/>
      <c r="J784" s="150"/>
      <c r="K784" s="147"/>
      <c r="L784" s="147"/>
      <c r="M784" s="147">
        <v>2</v>
      </c>
      <c r="N784" s="289">
        <v>3.7850000000000001</v>
      </c>
      <c r="O784" s="196"/>
      <c r="P784" s="180"/>
      <c r="Q784" s="174">
        <v>13.680317040951124</v>
      </c>
      <c r="R784" s="205">
        <v>0</v>
      </c>
      <c r="S784" s="168"/>
      <c r="T784" s="129" t="s">
        <v>468</v>
      </c>
      <c r="U784" s="147" t="s">
        <v>37</v>
      </c>
      <c r="V784" s="129"/>
      <c r="W784" s="147" t="s">
        <v>2214</v>
      </c>
      <c r="X784" s="215"/>
      <c r="Y784" s="216">
        <v>0</v>
      </c>
      <c r="Z784" s="216">
        <v>0</v>
      </c>
      <c r="AA784" s="263"/>
      <c r="AB784" s="155"/>
      <c r="AC784" s="212"/>
    </row>
    <row r="785" spans="1:29" hidden="1" x14ac:dyDescent="0.25">
      <c r="A785" s="131">
        <v>1</v>
      </c>
      <c r="B785" s="136">
        <v>1301105</v>
      </c>
      <c r="C785" s="128" t="s">
        <v>600</v>
      </c>
      <c r="D785" s="127" t="s">
        <v>901</v>
      </c>
      <c r="E785" s="147" t="s">
        <v>38</v>
      </c>
      <c r="F785" s="129" t="s">
        <v>617</v>
      </c>
      <c r="G785" s="147" t="s">
        <v>618</v>
      </c>
      <c r="H785" s="191">
        <f t="shared" si="13"/>
        <v>12.697490092470279</v>
      </c>
      <c r="I785" s="134"/>
      <c r="J785" s="150"/>
      <c r="K785" s="147"/>
      <c r="L785" s="147"/>
      <c r="M785" s="147">
        <v>2</v>
      </c>
      <c r="N785" s="289">
        <v>3.7850000000000001</v>
      </c>
      <c r="O785" s="196"/>
      <c r="P785" s="180"/>
      <c r="Q785" s="174">
        <v>12.697490092470279</v>
      </c>
      <c r="R785" s="205">
        <v>0</v>
      </c>
      <c r="S785" s="168"/>
      <c r="T785" s="129" t="s">
        <v>468</v>
      </c>
      <c r="U785" s="147" t="s">
        <v>37</v>
      </c>
      <c r="V785" s="129"/>
      <c r="W785" s="147" t="s">
        <v>2214</v>
      </c>
      <c r="X785" s="215"/>
      <c r="Y785" s="216">
        <v>0</v>
      </c>
      <c r="Z785" s="216">
        <v>0</v>
      </c>
      <c r="AA785" s="263"/>
      <c r="AB785" s="155"/>
      <c r="AC785" s="212"/>
    </row>
    <row r="786" spans="1:29" s="182" customFormat="1" hidden="1" x14ac:dyDescent="0.25">
      <c r="A786" s="131">
        <v>1</v>
      </c>
      <c r="B786" s="136">
        <v>1301106</v>
      </c>
      <c r="C786" s="128" t="s">
        <v>600</v>
      </c>
      <c r="D786" s="127" t="s">
        <v>902</v>
      </c>
      <c r="E786" s="147" t="s">
        <v>38</v>
      </c>
      <c r="F786" s="129" t="s">
        <v>289</v>
      </c>
      <c r="G786" s="147"/>
      <c r="H786" s="191">
        <f t="shared" si="13"/>
        <v>0</v>
      </c>
      <c r="I786" s="134"/>
      <c r="J786" s="150"/>
      <c r="K786" s="147">
        <v>11</v>
      </c>
      <c r="L786" s="147">
        <v>1</v>
      </c>
      <c r="M786" s="147">
        <v>12</v>
      </c>
      <c r="N786" s="289"/>
      <c r="O786" s="196"/>
      <c r="P786" s="180"/>
      <c r="Q786" s="174"/>
      <c r="R786" s="205"/>
      <c r="S786" s="168"/>
      <c r="T786" s="129" t="s">
        <v>289</v>
      </c>
      <c r="U786" s="147" t="s">
        <v>37</v>
      </c>
      <c r="V786" s="129"/>
      <c r="W786" s="163" t="s">
        <v>2531</v>
      </c>
      <c r="X786" s="215"/>
      <c r="Y786" s="216">
        <v>0</v>
      </c>
      <c r="Z786" s="216">
        <v>0</v>
      </c>
      <c r="AA786" s="263"/>
      <c r="AB786" s="155"/>
      <c r="AC786" s="212"/>
    </row>
    <row r="787" spans="1:29" s="182" customFormat="1" hidden="1" x14ac:dyDescent="0.25">
      <c r="A787" s="131">
        <v>1</v>
      </c>
      <c r="B787" s="136">
        <v>1301107</v>
      </c>
      <c r="C787" s="128" t="s">
        <v>600</v>
      </c>
      <c r="D787" s="127" t="s">
        <v>903</v>
      </c>
      <c r="E787" s="147" t="s">
        <v>38</v>
      </c>
      <c r="F787" s="129" t="s">
        <v>742</v>
      </c>
      <c r="G787" s="147"/>
      <c r="H787" s="191">
        <f t="shared" si="13"/>
        <v>0</v>
      </c>
      <c r="I787" s="134"/>
      <c r="J787" s="150"/>
      <c r="K787" s="147">
        <v>11</v>
      </c>
      <c r="L787" s="147">
        <v>1</v>
      </c>
      <c r="M787" s="147">
        <v>12</v>
      </c>
      <c r="N787" s="289"/>
      <c r="O787" s="196"/>
      <c r="P787" s="180"/>
      <c r="Q787" s="174"/>
      <c r="R787" s="205"/>
      <c r="S787" s="168"/>
      <c r="T787" s="129"/>
      <c r="U787" s="147" t="s">
        <v>37</v>
      </c>
      <c r="V787" s="129"/>
      <c r="W787" s="147" t="s">
        <v>2214</v>
      </c>
      <c r="X787" s="215"/>
      <c r="Y787" s="216">
        <v>0</v>
      </c>
      <c r="Z787" s="216">
        <v>0</v>
      </c>
      <c r="AA787" s="263"/>
      <c r="AB787" s="155"/>
      <c r="AC787" s="212"/>
    </row>
    <row r="788" spans="1:29" hidden="1" x14ac:dyDescent="0.25">
      <c r="A788" s="131">
        <v>1</v>
      </c>
      <c r="B788" s="136">
        <v>1301108</v>
      </c>
      <c r="C788" s="128" t="s">
        <v>600</v>
      </c>
      <c r="D788" s="127" t="s">
        <v>1560</v>
      </c>
      <c r="E788" s="147" t="s">
        <v>38</v>
      </c>
      <c r="F788" s="129" t="s">
        <v>577</v>
      </c>
      <c r="G788" s="147" t="s">
        <v>623</v>
      </c>
      <c r="H788" s="191">
        <f t="shared" si="13"/>
        <v>25.2</v>
      </c>
      <c r="I788" s="134"/>
      <c r="J788" s="150"/>
      <c r="K788" s="147"/>
      <c r="L788" s="147"/>
      <c r="M788" s="147">
        <v>14</v>
      </c>
      <c r="N788" s="289">
        <v>5</v>
      </c>
      <c r="O788" s="196"/>
      <c r="P788" s="180"/>
      <c r="Q788" s="174">
        <v>25.2</v>
      </c>
      <c r="R788" s="205">
        <v>0</v>
      </c>
      <c r="S788" s="168"/>
      <c r="T788" s="129" t="s">
        <v>284</v>
      </c>
      <c r="U788" s="147" t="s">
        <v>37</v>
      </c>
      <c r="V788" s="129"/>
      <c r="W788" s="177" t="s">
        <v>54</v>
      </c>
      <c r="X788" s="215"/>
      <c r="Y788" s="216">
        <v>0</v>
      </c>
      <c r="Z788" s="216">
        <v>0</v>
      </c>
      <c r="AA788" s="263"/>
      <c r="AB788" s="155"/>
      <c r="AC788" s="212"/>
    </row>
    <row r="789" spans="1:29" x14ac:dyDescent="0.25">
      <c r="A789" s="131">
        <v>1</v>
      </c>
      <c r="B789" s="136">
        <v>1301109</v>
      </c>
      <c r="C789" s="128" t="s">
        <v>600</v>
      </c>
      <c r="D789" s="127" t="s">
        <v>1613</v>
      </c>
      <c r="E789" s="147" t="s">
        <v>38</v>
      </c>
      <c r="F789" s="129" t="s">
        <v>1612</v>
      </c>
      <c r="G789" s="147" t="s">
        <v>1731</v>
      </c>
      <c r="H789" s="191">
        <f t="shared" si="13"/>
        <v>99.983200000000011</v>
      </c>
      <c r="I789" s="134" t="s">
        <v>2084</v>
      </c>
      <c r="J789" s="146">
        <v>0</v>
      </c>
      <c r="K789" s="147">
        <v>1</v>
      </c>
      <c r="L789" s="147">
        <v>1</v>
      </c>
      <c r="M789" s="147">
        <v>2</v>
      </c>
      <c r="N789" s="289">
        <v>3</v>
      </c>
      <c r="O789" s="196"/>
      <c r="P789" s="180">
        <v>46148</v>
      </c>
      <c r="Q789" s="174">
        <v>56.02</v>
      </c>
      <c r="R789" s="205">
        <f>8.9632+35</f>
        <v>43.963200000000001</v>
      </c>
      <c r="S789" s="168"/>
      <c r="T789" s="129" t="s">
        <v>36</v>
      </c>
      <c r="U789" s="147" t="s">
        <v>37</v>
      </c>
      <c r="V789" s="129"/>
      <c r="W789" s="147" t="s">
        <v>2213</v>
      </c>
      <c r="X789" s="215"/>
      <c r="Y789" s="216">
        <v>0</v>
      </c>
      <c r="Z789" s="216">
        <v>0</v>
      </c>
      <c r="AA789" s="263"/>
      <c r="AB789" s="155"/>
      <c r="AC789" s="212"/>
    </row>
    <row r="790" spans="1:29" s="182" customFormat="1" ht="24" x14ac:dyDescent="0.25">
      <c r="A790" s="131"/>
      <c r="B790" s="129">
        <v>1301110</v>
      </c>
      <c r="C790" s="129" t="s">
        <v>2021</v>
      </c>
      <c r="D790" s="129" t="s">
        <v>1700</v>
      </c>
      <c r="E790" s="147" t="s">
        <v>38</v>
      </c>
      <c r="F790" s="129" t="s">
        <v>1701</v>
      </c>
      <c r="G790" s="147" t="s">
        <v>1702</v>
      </c>
      <c r="H790" s="191">
        <f t="shared" si="13"/>
        <v>11.66</v>
      </c>
      <c r="I790" s="222" t="s">
        <v>2087</v>
      </c>
      <c r="J790" s="146">
        <v>30</v>
      </c>
      <c r="K790" s="147">
        <v>2</v>
      </c>
      <c r="L790" s="147">
        <v>1</v>
      </c>
      <c r="M790" s="147">
        <v>3</v>
      </c>
      <c r="N790" s="289">
        <v>1</v>
      </c>
      <c r="O790" s="187">
        <v>14.55</v>
      </c>
      <c r="P790" s="180">
        <v>0.1</v>
      </c>
      <c r="Q790" s="176">
        <v>11.61</v>
      </c>
      <c r="R790" s="205">
        <v>0.05</v>
      </c>
      <c r="S790" s="165" t="s">
        <v>35</v>
      </c>
      <c r="T790" s="129" t="s">
        <v>1703</v>
      </c>
      <c r="U790" s="147" t="s">
        <v>35</v>
      </c>
      <c r="V790" s="129"/>
      <c r="W790" s="147" t="s">
        <v>2213</v>
      </c>
      <c r="X790" s="215" t="s">
        <v>1009</v>
      </c>
      <c r="Y790" s="216">
        <v>38.591910666666656</v>
      </c>
      <c r="Z790" s="216">
        <v>67.535843666666651</v>
      </c>
      <c r="AA790" s="263"/>
      <c r="AB790" s="305"/>
      <c r="AC790" s="214"/>
    </row>
    <row r="791" spans="1:29" s="182" customFormat="1" x14ac:dyDescent="0.25">
      <c r="A791" s="131">
        <v>1</v>
      </c>
      <c r="B791" s="136">
        <v>1302001</v>
      </c>
      <c r="C791" s="127" t="s">
        <v>882</v>
      </c>
      <c r="D791" s="127" t="s">
        <v>886</v>
      </c>
      <c r="E791" s="147" t="s">
        <v>38</v>
      </c>
      <c r="F791" s="129" t="s">
        <v>684</v>
      </c>
      <c r="G791" s="147" t="s">
        <v>1970</v>
      </c>
      <c r="H791" s="191">
        <f t="shared" si="13"/>
        <v>97.399999999999991</v>
      </c>
      <c r="I791" s="222" t="s">
        <v>2084</v>
      </c>
      <c r="J791" s="146">
        <v>0</v>
      </c>
      <c r="K791" s="147">
        <v>9</v>
      </c>
      <c r="L791" s="147">
        <v>1</v>
      </c>
      <c r="M791" s="147">
        <v>10</v>
      </c>
      <c r="N791" s="289">
        <v>1</v>
      </c>
      <c r="O791" s="195"/>
      <c r="P791" s="180">
        <v>45503</v>
      </c>
      <c r="Q791" s="174">
        <v>97.35</v>
      </c>
      <c r="R791" s="205">
        <v>0.05</v>
      </c>
      <c r="S791" s="168"/>
      <c r="T791" s="129" t="s">
        <v>36</v>
      </c>
      <c r="U791" s="147" t="s">
        <v>37</v>
      </c>
      <c r="V791" s="129"/>
      <c r="W791" s="147" t="s">
        <v>2213</v>
      </c>
      <c r="X791" s="215" t="s">
        <v>1921</v>
      </c>
      <c r="Y791" s="216">
        <v>0.625</v>
      </c>
      <c r="Z791" s="216">
        <v>0.9375</v>
      </c>
      <c r="AA791" s="263"/>
      <c r="AB791" s="305"/>
      <c r="AC791" s="214"/>
    </row>
    <row r="792" spans="1:29" s="182" customFormat="1" hidden="1" x14ac:dyDescent="0.25">
      <c r="A792" s="131">
        <v>1</v>
      </c>
      <c r="B792" s="136">
        <v>1302004</v>
      </c>
      <c r="C792" s="127" t="s">
        <v>882</v>
      </c>
      <c r="D792" s="127" t="s">
        <v>906</v>
      </c>
      <c r="E792" s="147" t="s">
        <v>38</v>
      </c>
      <c r="F792" s="129" t="s">
        <v>55</v>
      </c>
      <c r="G792" s="147" t="s">
        <v>34</v>
      </c>
      <c r="H792" s="191">
        <f t="shared" si="13"/>
        <v>0</v>
      </c>
      <c r="I792" s="225"/>
      <c r="J792" s="148">
        <v>30</v>
      </c>
      <c r="K792" s="147">
        <v>11</v>
      </c>
      <c r="L792" s="147">
        <v>1</v>
      </c>
      <c r="M792" s="147">
        <v>12</v>
      </c>
      <c r="N792" s="289"/>
      <c r="O792" s="196"/>
      <c r="P792" s="180"/>
      <c r="Q792" s="174"/>
      <c r="R792" s="206">
        <v>0</v>
      </c>
      <c r="S792" s="168"/>
      <c r="T792" s="129" t="s">
        <v>55</v>
      </c>
      <c r="U792" s="147" t="s">
        <v>37</v>
      </c>
      <c r="V792" s="129"/>
      <c r="W792" s="177" t="s">
        <v>2531</v>
      </c>
      <c r="X792" s="215"/>
      <c r="Y792" s="216">
        <v>0</v>
      </c>
      <c r="Z792" s="216">
        <v>0</v>
      </c>
      <c r="AA792" s="263"/>
      <c r="AB792" s="155"/>
      <c r="AC792" s="212"/>
    </row>
    <row r="793" spans="1:29" hidden="1" x14ac:dyDescent="0.25">
      <c r="A793" s="131">
        <v>1</v>
      </c>
      <c r="B793" s="136">
        <v>1302006</v>
      </c>
      <c r="C793" s="127" t="s">
        <v>882</v>
      </c>
      <c r="D793" s="127" t="s">
        <v>907</v>
      </c>
      <c r="E793" s="147" t="s">
        <v>38</v>
      </c>
      <c r="F793" s="138" t="s">
        <v>57</v>
      </c>
      <c r="G793" s="147" t="s">
        <v>34</v>
      </c>
      <c r="H793" s="191">
        <f t="shared" si="13"/>
        <v>0</v>
      </c>
      <c r="I793" s="225"/>
      <c r="J793" s="149"/>
      <c r="K793" s="147">
        <v>12</v>
      </c>
      <c r="L793" s="147">
        <v>1</v>
      </c>
      <c r="M793" s="147">
        <v>13</v>
      </c>
      <c r="N793" s="289"/>
      <c r="O793" s="196"/>
      <c r="P793" s="180"/>
      <c r="Q793" s="174"/>
      <c r="R793" s="206">
        <v>0</v>
      </c>
      <c r="S793" s="168"/>
      <c r="T793" s="129" t="s">
        <v>55</v>
      </c>
      <c r="U793" s="147" t="s">
        <v>37</v>
      </c>
      <c r="V793" s="129"/>
      <c r="W793" s="163" t="s">
        <v>54</v>
      </c>
      <c r="X793" s="215"/>
      <c r="Y793" s="216">
        <v>0</v>
      </c>
      <c r="Z793" s="216">
        <v>0</v>
      </c>
      <c r="AA793" s="263"/>
      <c r="AB793" s="155"/>
      <c r="AC793" s="212"/>
    </row>
    <row r="794" spans="1:29" hidden="1" x14ac:dyDescent="0.25">
      <c r="A794" s="131">
        <v>1</v>
      </c>
      <c r="B794" s="136">
        <v>1302007</v>
      </c>
      <c r="C794" s="127" t="s">
        <v>882</v>
      </c>
      <c r="D794" s="127" t="s">
        <v>908</v>
      </c>
      <c r="E794" s="147" t="s">
        <v>38</v>
      </c>
      <c r="F794" s="138" t="s">
        <v>57</v>
      </c>
      <c r="G794" s="147" t="s">
        <v>34</v>
      </c>
      <c r="H794" s="191">
        <f t="shared" si="13"/>
        <v>0</v>
      </c>
      <c r="I794" s="225"/>
      <c r="J794" s="149"/>
      <c r="K794" s="147">
        <v>12</v>
      </c>
      <c r="L794" s="147">
        <v>1</v>
      </c>
      <c r="M794" s="147">
        <v>13</v>
      </c>
      <c r="N794" s="289"/>
      <c r="O794" s="196"/>
      <c r="P794" s="180"/>
      <c r="Q794" s="174"/>
      <c r="R794" s="206">
        <v>0</v>
      </c>
      <c r="S794" s="168"/>
      <c r="T794" s="129" t="s">
        <v>55</v>
      </c>
      <c r="U794" s="147" t="s">
        <v>37</v>
      </c>
      <c r="V794" s="129"/>
      <c r="W794" s="163" t="s">
        <v>54</v>
      </c>
      <c r="X794" s="215"/>
      <c r="Y794" s="216">
        <v>0</v>
      </c>
      <c r="Z794" s="216">
        <v>0</v>
      </c>
      <c r="AA794" s="263"/>
      <c r="AB794" s="155"/>
      <c r="AC794" s="212"/>
    </row>
    <row r="795" spans="1:29" s="182" customFormat="1" hidden="1" x14ac:dyDescent="0.25">
      <c r="A795" s="131">
        <v>1</v>
      </c>
      <c r="B795" s="136">
        <v>1302008</v>
      </c>
      <c r="C795" s="128" t="s">
        <v>882</v>
      </c>
      <c r="D795" s="127" t="s">
        <v>909</v>
      </c>
      <c r="E795" s="147" t="s">
        <v>38</v>
      </c>
      <c r="F795" s="138" t="s">
        <v>57</v>
      </c>
      <c r="G795" s="147" t="s">
        <v>34</v>
      </c>
      <c r="H795" s="191">
        <f t="shared" si="13"/>
        <v>0</v>
      </c>
      <c r="I795" s="225"/>
      <c r="J795" s="149"/>
      <c r="K795" s="147">
        <v>12</v>
      </c>
      <c r="L795" s="147">
        <v>1</v>
      </c>
      <c r="M795" s="147">
        <v>13</v>
      </c>
      <c r="N795" s="289"/>
      <c r="O795" s="196"/>
      <c r="P795" s="180"/>
      <c r="Q795" s="174"/>
      <c r="R795" s="206">
        <v>0</v>
      </c>
      <c r="S795" s="168"/>
      <c r="T795" s="138" t="s">
        <v>57</v>
      </c>
      <c r="U795" s="147" t="s">
        <v>37</v>
      </c>
      <c r="V795" s="129"/>
      <c r="W795" s="163" t="s">
        <v>54</v>
      </c>
      <c r="X795" s="215"/>
      <c r="Y795" s="216">
        <v>0</v>
      </c>
      <c r="Z795" s="216">
        <v>0</v>
      </c>
      <c r="AA795" s="263"/>
      <c r="AB795" s="155"/>
      <c r="AC795" s="212"/>
    </row>
    <row r="796" spans="1:29" s="182" customFormat="1" hidden="1" x14ac:dyDescent="0.25">
      <c r="A796" s="131">
        <v>1</v>
      </c>
      <c r="B796" s="136">
        <v>1302009</v>
      </c>
      <c r="C796" s="127" t="s">
        <v>882</v>
      </c>
      <c r="D796" s="127" t="s">
        <v>910</v>
      </c>
      <c r="E796" s="147" t="s">
        <v>38</v>
      </c>
      <c r="F796" s="138" t="s">
        <v>57</v>
      </c>
      <c r="G796" s="147" t="s">
        <v>34</v>
      </c>
      <c r="H796" s="191">
        <f t="shared" si="13"/>
        <v>0</v>
      </c>
      <c r="I796" s="225"/>
      <c r="J796" s="149"/>
      <c r="K796" s="147">
        <v>12</v>
      </c>
      <c r="L796" s="147">
        <v>1</v>
      </c>
      <c r="M796" s="147">
        <v>13</v>
      </c>
      <c r="N796" s="289"/>
      <c r="O796" s="196"/>
      <c r="P796" s="180"/>
      <c r="Q796" s="174"/>
      <c r="R796" s="206">
        <v>0</v>
      </c>
      <c r="S796" s="168"/>
      <c r="T796" s="129" t="s">
        <v>55</v>
      </c>
      <c r="U796" s="147" t="s">
        <v>37</v>
      </c>
      <c r="V796" s="129"/>
      <c r="W796" s="163" t="s">
        <v>54</v>
      </c>
      <c r="X796" s="215"/>
      <c r="Y796" s="216">
        <v>0</v>
      </c>
      <c r="Z796" s="216">
        <v>0</v>
      </c>
      <c r="AA796" s="263"/>
      <c r="AB796" s="155"/>
      <c r="AC796" s="212"/>
    </row>
    <row r="797" spans="1:29" s="182" customFormat="1" hidden="1" x14ac:dyDescent="0.25">
      <c r="A797" s="131">
        <v>1</v>
      </c>
      <c r="B797" s="136">
        <v>1302010</v>
      </c>
      <c r="C797" s="127" t="s">
        <v>882</v>
      </c>
      <c r="D797" s="127" t="s">
        <v>911</v>
      </c>
      <c r="E797" s="147" t="s">
        <v>38</v>
      </c>
      <c r="F797" s="138" t="s">
        <v>57</v>
      </c>
      <c r="G797" s="147" t="s">
        <v>34</v>
      </c>
      <c r="H797" s="191">
        <f t="shared" si="13"/>
        <v>0</v>
      </c>
      <c r="I797" s="225"/>
      <c r="J797" s="149"/>
      <c r="K797" s="147">
        <v>12</v>
      </c>
      <c r="L797" s="147">
        <v>1</v>
      </c>
      <c r="M797" s="147">
        <v>13</v>
      </c>
      <c r="N797" s="289"/>
      <c r="O797" s="196"/>
      <c r="P797" s="180"/>
      <c r="Q797" s="174"/>
      <c r="R797" s="206">
        <v>0</v>
      </c>
      <c r="S797" s="168"/>
      <c r="T797" s="129" t="s">
        <v>55</v>
      </c>
      <c r="U797" s="147" t="s">
        <v>37</v>
      </c>
      <c r="V797" s="129"/>
      <c r="W797" s="163" t="s">
        <v>54</v>
      </c>
      <c r="X797" s="215"/>
      <c r="Y797" s="216">
        <v>0</v>
      </c>
      <c r="Z797" s="216">
        <v>0</v>
      </c>
      <c r="AA797" s="263"/>
      <c r="AB797" s="155"/>
      <c r="AC797" s="212"/>
    </row>
    <row r="798" spans="1:29" s="182" customFormat="1" hidden="1" x14ac:dyDescent="0.25">
      <c r="A798" s="131">
        <v>1</v>
      </c>
      <c r="B798" s="136">
        <v>1302011</v>
      </c>
      <c r="C798" s="127" t="s">
        <v>882</v>
      </c>
      <c r="D798" s="127" t="s">
        <v>912</v>
      </c>
      <c r="E798" s="147" t="s">
        <v>38</v>
      </c>
      <c r="F798" s="138" t="s">
        <v>57</v>
      </c>
      <c r="G798" s="147" t="s">
        <v>34</v>
      </c>
      <c r="H798" s="191">
        <f t="shared" si="13"/>
        <v>0</v>
      </c>
      <c r="I798" s="225"/>
      <c r="J798" s="149"/>
      <c r="K798" s="147">
        <v>12</v>
      </c>
      <c r="L798" s="147">
        <v>1</v>
      </c>
      <c r="M798" s="147">
        <v>13</v>
      </c>
      <c r="N798" s="289"/>
      <c r="O798" s="196"/>
      <c r="P798" s="180"/>
      <c r="Q798" s="174"/>
      <c r="R798" s="206">
        <v>0</v>
      </c>
      <c r="S798" s="168"/>
      <c r="T798" s="138" t="s">
        <v>57</v>
      </c>
      <c r="U798" s="147" t="s">
        <v>37</v>
      </c>
      <c r="V798" s="129"/>
      <c r="W798" s="163" t="s">
        <v>54</v>
      </c>
      <c r="X798" s="215"/>
      <c r="Y798" s="216">
        <v>0</v>
      </c>
      <c r="Z798" s="216">
        <v>0</v>
      </c>
      <c r="AA798" s="263"/>
      <c r="AB798" s="155"/>
      <c r="AC798" s="212"/>
    </row>
    <row r="799" spans="1:29" s="182" customFormat="1" hidden="1" x14ac:dyDescent="0.25">
      <c r="A799" s="131">
        <v>1</v>
      </c>
      <c r="B799" s="136">
        <v>1302012</v>
      </c>
      <c r="C799" s="127" t="s">
        <v>882</v>
      </c>
      <c r="D799" s="127" t="s">
        <v>913</v>
      </c>
      <c r="E799" s="147" t="s">
        <v>38</v>
      </c>
      <c r="F799" s="138" t="s">
        <v>57</v>
      </c>
      <c r="G799" s="147" t="s">
        <v>34</v>
      </c>
      <c r="H799" s="191">
        <f t="shared" si="13"/>
        <v>0</v>
      </c>
      <c r="I799" s="225"/>
      <c r="J799" s="149"/>
      <c r="K799" s="147">
        <v>12</v>
      </c>
      <c r="L799" s="147">
        <v>1</v>
      </c>
      <c r="M799" s="147">
        <v>13</v>
      </c>
      <c r="N799" s="289"/>
      <c r="O799" s="196"/>
      <c r="P799" s="180"/>
      <c r="Q799" s="174"/>
      <c r="R799" s="206">
        <v>0</v>
      </c>
      <c r="S799" s="168"/>
      <c r="T799" s="129" t="s">
        <v>55</v>
      </c>
      <c r="U799" s="147" t="s">
        <v>37</v>
      </c>
      <c r="V799" s="129"/>
      <c r="W799" s="163" t="s">
        <v>54</v>
      </c>
      <c r="X799" s="215"/>
      <c r="Y799" s="216">
        <v>0</v>
      </c>
      <c r="Z799" s="216">
        <v>0</v>
      </c>
      <c r="AA799" s="263"/>
      <c r="AB799" s="155"/>
      <c r="AC799" s="212"/>
    </row>
    <row r="800" spans="1:29" s="182" customFormat="1" hidden="1" x14ac:dyDescent="0.25">
      <c r="A800" s="131">
        <v>1</v>
      </c>
      <c r="B800" s="136">
        <v>1302013</v>
      </c>
      <c r="C800" s="127" t="s">
        <v>882</v>
      </c>
      <c r="D800" s="127" t="s">
        <v>914</v>
      </c>
      <c r="E800" s="147" t="s">
        <v>38</v>
      </c>
      <c r="F800" s="138" t="s">
        <v>57</v>
      </c>
      <c r="G800" s="147" t="s">
        <v>34</v>
      </c>
      <c r="H800" s="191">
        <f t="shared" si="13"/>
        <v>0</v>
      </c>
      <c r="I800" s="225"/>
      <c r="J800" s="149"/>
      <c r="K800" s="147">
        <v>12</v>
      </c>
      <c r="L800" s="147">
        <v>1</v>
      </c>
      <c r="M800" s="147">
        <v>13</v>
      </c>
      <c r="N800" s="289"/>
      <c r="O800" s="196"/>
      <c r="P800" s="180"/>
      <c r="Q800" s="174"/>
      <c r="R800" s="206">
        <v>0</v>
      </c>
      <c r="S800" s="168"/>
      <c r="T800" s="138" t="s">
        <v>57</v>
      </c>
      <c r="U800" s="147" t="s">
        <v>37</v>
      </c>
      <c r="V800" s="129"/>
      <c r="W800" s="163" t="s">
        <v>54</v>
      </c>
      <c r="X800" s="215"/>
      <c r="Y800" s="216">
        <v>0</v>
      </c>
      <c r="Z800" s="216">
        <v>0</v>
      </c>
      <c r="AA800" s="263"/>
      <c r="AB800" s="155"/>
      <c r="AC800" s="212"/>
    </row>
    <row r="801" spans="1:29" hidden="1" x14ac:dyDescent="0.25">
      <c r="A801" s="131">
        <v>1</v>
      </c>
      <c r="B801" s="136">
        <v>1302014</v>
      </c>
      <c r="C801" s="127" t="s">
        <v>882</v>
      </c>
      <c r="D801" s="127" t="s">
        <v>915</v>
      </c>
      <c r="E801" s="147" t="s">
        <v>38</v>
      </c>
      <c r="F801" s="138" t="s">
        <v>57</v>
      </c>
      <c r="G801" s="147" t="s">
        <v>34</v>
      </c>
      <c r="H801" s="191">
        <f t="shared" si="13"/>
        <v>0</v>
      </c>
      <c r="I801" s="225"/>
      <c r="J801" s="149"/>
      <c r="K801" s="147">
        <v>12</v>
      </c>
      <c r="L801" s="147">
        <v>1</v>
      </c>
      <c r="M801" s="147">
        <v>13</v>
      </c>
      <c r="N801" s="289"/>
      <c r="O801" s="196"/>
      <c r="P801" s="180"/>
      <c r="Q801" s="174"/>
      <c r="R801" s="206">
        <v>0</v>
      </c>
      <c r="S801" s="168"/>
      <c r="T801" s="138" t="s">
        <v>57</v>
      </c>
      <c r="U801" s="147" t="s">
        <v>37</v>
      </c>
      <c r="V801" s="129"/>
      <c r="W801" s="163" t="s">
        <v>54</v>
      </c>
      <c r="X801" s="215"/>
      <c r="Y801" s="216">
        <v>0</v>
      </c>
      <c r="Z801" s="216">
        <v>0</v>
      </c>
      <c r="AA801" s="263"/>
      <c r="AB801" s="155"/>
      <c r="AC801" s="212"/>
    </row>
    <row r="802" spans="1:29" s="182" customFormat="1" hidden="1" x14ac:dyDescent="0.25">
      <c r="A802" s="131">
        <v>1</v>
      </c>
      <c r="B802" s="136">
        <v>1302015</v>
      </c>
      <c r="C802" s="128" t="s">
        <v>567</v>
      </c>
      <c r="D802" s="127" t="s">
        <v>916</v>
      </c>
      <c r="E802" s="147" t="s">
        <v>38</v>
      </c>
      <c r="F802" s="138" t="s">
        <v>57</v>
      </c>
      <c r="G802" s="147" t="s">
        <v>34</v>
      </c>
      <c r="H802" s="191">
        <f t="shared" si="13"/>
        <v>0</v>
      </c>
      <c r="I802" s="225"/>
      <c r="J802" s="149"/>
      <c r="K802" s="147">
        <v>12</v>
      </c>
      <c r="L802" s="147">
        <v>1</v>
      </c>
      <c r="M802" s="147">
        <v>13</v>
      </c>
      <c r="N802" s="289"/>
      <c r="O802" s="196"/>
      <c r="P802" s="180"/>
      <c r="Q802" s="174"/>
      <c r="R802" s="206">
        <v>0</v>
      </c>
      <c r="S802" s="168"/>
      <c r="T802" s="138" t="s">
        <v>57</v>
      </c>
      <c r="U802" s="147" t="s">
        <v>37</v>
      </c>
      <c r="V802" s="129"/>
      <c r="W802" s="163" t="s">
        <v>54</v>
      </c>
      <c r="X802" s="215"/>
      <c r="Y802" s="216">
        <v>0</v>
      </c>
      <c r="Z802" s="216">
        <v>0</v>
      </c>
      <c r="AA802" s="263"/>
      <c r="AB802" s="155"/>
      <c r="AC802" s="212"/>
    </row>
    <row r="803" spans="1:29" s="182" customFormat="1" hidden="1" x14ac:dyDescent="0.25">
      <c r="A803" s="131">
        <v>1</v>
      </c>
      <c r="B803" s="136">
        <v>1302016</v>
      </c>
      <c r="C803" s="128" t="s">
        <v>567</v>
      </c>
      <c r="D803" s="127" t="s">
        <v>917</v>
      </c>
      <c r="E803" s="147" t="s">
        <v>38</v>
      </c>
      <c r="F803" s="138" t="s">
        <v>57</v>
      </c>
      <c r="G803" s="147" t="s">
        <v>34</v>
      </c>
      <c r="H803" s="191">
        <f t="shared" si="13"/>
        <v>0</v>
      </c>
      <c r="I803" s="225"/>
      <c r="J803" s="149"/>
      <c r="K803" s="147">
        <v>12</v>
      </c>
      <c r="L803" s="147">
        <v>1</v>
      </c>
      <c r="M803" s="147">
        <v>13</v>
      </c>
      <c r="N803" s="289"/>
      <c r="O803" s="196"/>
      <c r="P803" s="180"/>
      <c r="Q803" s="174"/>
      <c r="R803" s="206">
        <v>0</v>
      </c>
      <c r="S803" s="168"/>
      <c r="T803" s="138" t="s">
        <v>57</v>
      </c>
      <c r="U803" s="147" t="s">
        <v>37</v>
      </c>
      <c r="V803" s="129"/>
      <c r="W803" s="163" t="s">
        <v>54</v>
      </c>
      <c r="X803" s="215"/>
      <c r="Y803" s="216">
        <v>0</v>
      </c>
      <c r="Z803" s="216">
        <v>0</v>
      </c>
      <c r="AA803" s="263"/>
      <c r="AB803" s="155"/>
      <c r="AC803" s="212"/>
    </row>
    <row r="804" spans="1:29" s="182" customFormat="1" hidden="1" x14ac:dyDescent="0.25">
      <c r="A804" s="131">
        <v>1</v>
      </c>
      <c r="B804" s="136">
        <v>1302017</v>
      </c>
      <c r="C804" s="128" t="s">
        <v>600</v>
      </c>
      <c r="D804" s="127" t="s">
        <v>918</v>
      </c>
      <c r="E804" s="147" t="s">
        <v>38</v>
      </c>
      <c r="F804" s="138" t="s">
        <v>57</v>
      </c>
      <c r="G804" s="147" t="s">
        <v>34</v>
      </c>
      <c r="H804" s="191">
        <f t="shared" si="13"/>
        <v>0</v>
      </c>
      <c r="I804" s="225"/>
      <c r="J804" s="149"/>
      <c r="K804" s="147">
        <v>12</v>
      </c>
      <c r="L804" s="147">
        <v>1</v>
      </c>
      <c r="M804" s="147">
        <v>13</v>
      </c>
      <c r="N804" s="289"/>
      <c r="O804" s="196"/>
      <c r="P804" s="180"/>
      <c r="Q804" s="174"/>
      <c r="R804" s="206">
        <v>0</v>
      </c>
      <c r="S804" s="168"/>
      <c r="T804" s="138" t="s">
        <v>57</v>
      </c>
      <c r="U804" s="147" t="s">
        <v>37</v>
      </c>
      <c r="V804" s="129"/>
      <c r="W804" s="163" t="s">
        <v>54</v>
      </c>
      <c r="X804" s="215"/>
      <c r="Y804" s="216">
        <v>0</v>
      </c>
      <c r="Z804" s="216">
        <v>0</v>
      </c>
      <c r="AA804" s="263"/>
      <c r="AB804" s="155"/>
      <c r="AC804" s="212"/>
    </row>
    <row r="805" spans="1:29" hidden="1" x14ac:dyDescent="0.25">
      <c r="A805" s="131">
        <v>1</v>
      </c>
      <c r="B805" s="136">
        <v>1302018</v>
      </c>
      <c r="C805" s="128" t="s">
        <v>882</v>
      </c>
      <c r="D805" s="127" t="s">
        <v>919</v>
      </c>
      <c r="E805" s="147" t="s">
        <v>38</v>
      </c>
      <c r="F805" s="129" t="s">
        <v>577</v>
      </c>
      <c r="G805" s="147" t="s">
        <v>34</v>
      </c>
      <c r="H805" s="191">
        <f t="shared" si="13"/>
        <v>0</v>
      </c>
      <c r="I805" s="225"/>
      <c r="J805" s="149"/>
      <c r="K805" s="147">
        <v>12</v>
      </c>
      <c r="L805" s="147">
        <v>1</v>
      </c>
      <c r="M805" s="147">
        <v>13</v>
      </c>
      <c r="N805" s="289" t="s">
        <v>920</v>
      </c>
      <c r="O805" s="196"/>
      <c r="P805" s="180"/>
      <c r="Q805" s="174"/>
      <c r="R805" s="206">
        <v>0</v>
      </c>
      <c r="S805" s="168"/>
      <c r="T805" s="129" t="s">
        <v>64</v>
      </c>
      <c r="U805" s="147" t="s">
        <v>37</v>
      </c>
      <c r="V805" s="129"/>
      <c r="W805" s="163" t="s">
        <v>54</v>
      </c>
      <c r="X805" s="215"/>
      <c r="Y805" s="216">
        <v>0</v>
      </c>
      <c r="Z805" s="216">
        <v>0</v>
      </c>
      <c r="AA805" s="263"/>
      <c r="AB805" s="155"/>
      <c r="AC805" s="212"/>
    </row>
    <row r="806" spans="1:29" s="182" customFormat="1" hidden="1" x14ac:dyDescent="0.25">
      <c r="A806" s="131">
        <v>1</v>
      </c>
      <c r="B806" s="136">
        <v>1302019</v>
      </c>
      <c r="C806" s="128" t="s">
        <v>882</v>
      </c>
      <c r="D806" s="127" t="s">
        <v>921</v>
      </c>
      <c r="E806" s="147" t="s">
        <v>38</v>
      </c>
      <c r="F806" s="129" t="s">
        <v>614</v>
      </c>
      <c r="G806" s="147" t="s">
        <v>607</v>
      </c>
      <c r="H806" s="191">
        <f t="shared" si="13"/>
        <v>0</v>
      </c>
      <c r="I806" s="134"/>
      <c r="J806" s="150"/>
      <c r="K806" s="147"/>
      <c r="L806" s="147"/>
      <c r="M806" s="147">
        <v>4</v>
      </c>
      <c r="N806" s="289">
        <v>1.62</v>
      </c>
      <c r="O806" s="196"/>
      <c r="P806" s="180"/>
      <c r="Q806" s="174"/>
      <c r="R806" s="205">
        <v>0</v>
      </c>
      <c r="S806" s="168" t="s">
        <v>35</v>
      </c>
      <c r="T806" s="129" t="s">
        <v>272</v>
      </c>
      <c r="U806" s="147" t="s">
        <v>35</v>
      </c>
      <c r="V806" s="129"/>
      <c r="W806" s="147" t="s">
        <v>2214</v>
      </c>
      <c r="X806" s="215"/>
      <c r="Y806" s="216">
        <v>0</v>
      </c>
      <c r="Z806" s="216">
        <v>0</v>
      </c>
      <c r="AA806" s="263"/>
      <c r="AB806" s="155"/>
      <c r="AC806" s="212"/>
    </row>
    <row r="807" spans="1:29" s="182" customFormat="1" hidden="1" x14ac:dyDescent="0.25">
      <c r="A807" s="131">
        <v>1</v>
      </c>
      <c r="B807" s="136">
        <v>1302020</v>
      </c>
      <c r="C807" s="128" t="s">
        <v>882</v>
      </c>
      <c r="D807" s="127" t="s">
        <v>922</v>
      </c>
      <c r="E807" s="147" t="s">
        <v>38</v>
      </c>
      <c r="F807" s="129" t="s">
        <v>617</v>
      </c>
      <c r="G807" s="147" t="s">
        <v>618</v>
      </c>
      <c r="H807" s="191">
        <f t="shared" si="13"/>
        <v>40.570824524312897</v>
      </c>
      <c r="I807" s="134"/>
      <c r="J807" s="150"/>
      <c r="K807" s="147"/>
      <c r="L807" s="147"/>
      <c r="M807" s="147">
        <v>2</v>
      </c>
      <c r="N807" s="289">
        <v>0.94599999999999995</v>
      </c>
      <c r="O807" s="196"/>
      <c r="P807" s="180"/>
      <c r="Q807" s="174">
        <v>40.570824524312897</v>
      </c>
      <c r="R807" s="205">
        <v>0</v>
      </c>
      <c r="S807" s="168"/>
      <c r="T807" s="129" t="s">
        <v>468</v>
      </c>
      <c r="U807" s="147" t="s">
        <v>37</v>
      </c>
      <c r="V807" s="129"/>
      <c r="W807" s="147" t="s">
        <v>2214</v>
      </c>
      <c r="X807" s="215"/>
      <c r="Y807" s="216">
        <v>0</v>
      </c>
      <c r="Z807" s="216">
        <v>0</v>
      </c>
      <c r="AA807" s="263"/>
      <c r="AB807" s="155"/>
      <c r="AC807" s="212"/>
    </row>
    <row r="808" spans="1:29" s="182" customFormat="1" hidden="1" x14ac:dyDescent="0.25">
      <c r="A808" s="131">
        <v>1</v>
      </c>
      <c r="B808" s="136">
        <v>1302021</v>
      </c>
      <c r="C808" s="128" t="s">
        <v>882</v>
      </c>
      <c r="D808" s="127" t="s">
        <v>924</v>
      </c>
      <c r="E808" s="147" t="s">
        <v>38</v>
      </c>
      <c r="F808" s="129" t="s">
        <v>617</v>
      </c>
      <c r="G808" s="147" t="s">
        <v>618</v>
      </c>
      <c r="H808" s="191">
        <f t="shared" si="13"/>
        <v>0</v>
      </c>
      <c r="I808" s="134"/>
      <c r="J808" s="150"/>
      <c r="K808" s="147"/>
      <c r="L808" s="147"/>
      <c r="M808" s="147">
        <v>2</v>
      </c>
      <c r="N808" s="289">
        <v>0.5</v>
      </c>
      <c r="O808" s="196"/>
      <c r="P808" s="180"/>
      <c r="Q808" s="174"/>
      <c r="R808" s="205">
        <v>0</v>
      </c>
      <c r="S808" s="168"/>
      <c r="T808" s="129" t="s">
        <v>468</v>
      </c>
      <c r="U808" s="147" t="s">
        <v>37</v>
      </c>
      <c r="V808" s="129"/>
      <c r="W808" s="147" t="s">
        <v>2214</v>
      </c>
      <c r="X808" s="215"/>
      <c r="Y808" s="216">
        <v>0</v>
      </c>
      <c r="Z808" s="216">
        <v>0</v>
      </c>
      <c r="AA808" s="263"/>
      <c r="AB808" s="155"/>
      <c r="AC808" s="212"/>
    </row>
    <row r="809" spans="1:29" s="182" customFormat="1" hidden="1" x14ac:dyDescent="0.25">
      <c r="A809" s="131">
        <v>1</v>
      </c>
      <c r="B809" s="136">
        <v>1302021</v>
      </c>
      <c r="C809" s="128" t="s">
        <v>882</v>
      </c>
      <c r="D809" s="127" t="s">
        <v>883</v>
      </c>
      <c r="E809" s="147" t="s">
        <v>38</v>
      </c>
      <c r="F809" s="129" t="s">
        <v>289</v>
      </c>
      <c r="G809" s="147"/>
      <c r="H809" s="191">
        <f t="shared" si="13"/>
        <v>0</v>
      </c>
      <c r="I809" s="134"/>
      <c r="J809" s="150"/>
      <c r="K809" s="147">
        <v>11</v>
      </c>
      <c r="L809" s="147">
        <v>1</v>
      </c>
      <c r="M809" s="147">
        <v>12</v>
      </c>
      <c r="N809" s="289"/>
      <c r="O809" s="196"/>
      <c r="P809" s="180"/>
      <c r="Q809" s="174"/>
      <c r="R809" s="205"/>
      <c r="S809" s="168"/>
      <c r="T809" s="129" t="s">
        <v>289</v>
      </c>
      <c r="U809" s="147" t="s">
        <v>37</v>
      </c>
      <c r="V809" s="129"/>
      <c r="W809" s="163" t="s">
        <v>2531</v>
      </c>
      <c r="X809" s="215"/>
      <c r="Y809" s="216">
        <v>0</v>
      </c>
      <c r="Z809" s="216">
        <v>0</v>
      </c>
      <c r="AA809" s="263"/>
      <c r="AB809" s="155"/>
      <c r="AC809" s="212"/>
    </row>
    <row r="810" spans="1:29" s="182" customFormat="1" hidden="1" x14ac:dyDescent="0.25">
      <c r="A810" s="131">
        <v>1</v>
      </c>
      <c r="B810" s="136">
        <v>1302022</v>
      </c>
      <c r="C810" s="128" t="s">
        <v>882</v>
      </c>
      <c r="D810" s="127" t="s">
        <v>923</v>
      </c>
      <c r="E810" s="147" t="s">
        <v>38</v>
      </c>
      <c r="F810" s="129" t="s">
        <v>742</v>
      </c>
      <c r="G810" s="147"/>
      <c r="H810" s="191">
        <f t="shared" si="13"/>
        <v>0</v>
      </c>
      <c r="I810" s="134"/>
      <c r="J810" s="150"/>
      <c r="K810" s="147">
        <v>11</v>
      </c>
      <c r="L810" s="147">
        <v>1</v>
      </c>
      <c r="M810" s="147">
        <v>12</v>
      </c>
      <c r="N810" s="289"/>
      <c r="O810" s="196"/>
      <c r="P810" s="180"/>
      <c r="Q810" s="174"/>
      <c r="R810" s="205"/>
      <c r="S810" s="168"/>
      <c r="T810" s="129"/>
      <c r="U810" s="147" t="s">
        <v>37</v>
      </c>
      <c r="V810" s="129"/>
      <c r="W810" s="147" t="s">
        <v>2214</v>
      </c>
      <c r="X810" s="215"/>
      <c r="Y810" s="216">
        <v>0</v>
      </c>
      <c r="Z810" s="216">
        <v>0</v>
      </c>
      <c r="AA810" s="263"/>
      <c r="AB810" s="155"/>
      <c r="AC810" s="212"/>
    </row>
    <row r="811" spans="1:29" s="182" customFormat="1" hidden="1" x14ac:dyDescent="0.25">
      <c r="A811" s="131">
        <v>1</v>
      </c>
      <c r="B811" s="136">
        <v>1302023</v>
      </c>
      <c r="C811" s="128" t="s">
        <v>882</v>
      </c>
      <c r="D811" s="127" t="s">
        <v>1559</v>
      </c>
      <c r="E811" s="147" t="s">
        <v>38</v>
      </c>
      <c r="F811" s="129" t="s">
        <v>577</v>
      </c>
      <c r="G811" s="147" t="s">
        <v>623</v>
      </c>
      <c r="H811" s="191">
        <f t="shared" si="13"/>
        <v>132.69999999999999</v>
      </c>
      <c r="I811" s="134"/>
      <c r="J811" s="150"/>
      <c r="K811" s="147"/>
      <c r="L811" s="147"/>
      <c r="M811" s="147">
        <v>14</v>
      </c>
      <c r="N811" s="289">
        <v>5</v>
      </c>
      <c r="O811" s="196"/>
      <c r="P811" s="180"/>
      <c r="Q811" s="174">
        <v>132.69999999999999</v>
      </c>
      <c r="R811" s="205">
        <v>0</v>
      </c>
      <c r="S811" s="168"/>
      <c r="T811" s="129" t="s">
        <v>284</v>
      </c>
      <c r="U811" s="147" t="s">
        <v>37</v>
      </c>
      <c r="V811" s="129"/>
      <c r="W811" s="177" t="s">
        <v>54</v>
      </c>
      <c r="X811" s="215"/>
      <c r="Y811" s="216">
        <v>0</v>
      </c>
      <c r="Z811" s="216">
        <v>0</v>
      </c>
      <c r="AA811" s="263"/>
      <c r="AB811" s="155"/>
      <c r="AC811" s="212"/>
    </row>
    <row r="812" spans="1:29" s="182" customFormat="1" x14ac:dyDescent="0.25">
      <c r="A812" s="131">
        <v>1</v>
      </c>
      <c r="B812" s="136">
        <v>1302024</v>
      </c>
      <c r="C812" s="128" t="s">
        <v>882</v>
      </c>
      <c r="D812" s="127" t="s">
        <v>1615</v>
      </c>
      <c r="E812" s="147" t="s">
        <v>38</v>
      </c>
      <c r="F812" s="129" t="s">
        <v>1612</v>
      </c>
      <c r="G812" s="147" t="s">
        <v>1731</v>
      </c>
      <c r="H812" s="191">
        <f t="shared" si="13"/>
        <v>164.95480000000001</v>
      </c>
      <c r="I812" s="222" t="s">
        <v>2223</v>
      </c>
      <c r="J812" s="146">
        <v>0</v>
      </c>
      <c r="K812" s="147">
        <v>1</v>
      </c>
      <c r="L812" s="147">
        <v>1</v>
      </c>
      <c r="M812" s="147">
        <v>2</v>
      </c>
      <c r="N812" s="289">
        <v>3</v>
      </c>
      <c r="O812" s="196"/>
      <c r="P812" s="180">
        <v>46148</v>
      </c>
      <c r="Q812" s="174">
        <v>112.03</v>
      </c>
      <c r="R812" s="205">
        <f>17.9248+35</f>
        <v>52.924800000000005</v>
      </c>
      <c r="S812" s="168"/>
      <c r="T812" s="129" t="s">
        <v>36</v>
      </c>
      <c r="U812" s="147" t="s">
        <v>37</v>
      </c>
      <c r="V812" s="129"/>
      <c r="W812" s="147" t="s">
        <v>2213</v>
      </c>
      <c r="X812" s="215"/>
      <c r="Y812" s="216">
        <v>0</v>
      </c>
      <c r="Z812" s="216">
        <v>0</v>
      </c>
      <c r="AA812" s="263"/>
      <c r="AB812" s="155"/>
      <c r="AC812" s="212"/>
    </row>
    <row r="813" spans="1:29" s="182" customFormat="1" hidden="1" x14ac:dyDescent="0.25">
      <c r="A813" s="131">
        <v>1</v>
      </c>
      <c r="B813" s="136">
        <v>1304001</v>
      </c>
      <c r="C813" s="128" t="s">
        <v>925</v>
      </c>
      <c r="D813" s="127" t="s">
        <v>926</v>
      </c>
      <c r="E813" s="147" t="s">
        <v>38</v>
      </c>
      <c r="F813" s="129" t="s">
        <v>289</v>
      </c>
      <c r="G813" s="147"/>
      <c r="H813" s="191">
        <f t="shared" si="13"/>
        <v>0</v>
      </c>
      <c r="I813" s="134"/>
      <c r="J813" s="150"/>
      <c r="K813" s="147">
        <v>11</v>
      </c>
      <c r="L813" s="147">
        <v>1</v>
      </c>
      <c r="M813" s="147">
        <v>12</v>
      </c>
      <c r="N813" s="289"/>
      <c r="O813" s="196"/>
      <c r="P813" s="180"/>
      <c r="Q813" s="174"/>
      <c r="R813" s="205"/>
      <c r="S813" s="168"/>
      <c r="T813" s="129" t="s">
        <v>289</v>
      </c>
      <c r="U813" s="147" t="s">
        <v>37</v>
      </c>
      <c r="V813" s="129"/>
      <c r="W813" s="163" t="s">
        <v>2531</v>
      </c>
      <c r="X813" s="215"/>
      <c r="Y813" s="216">
        <v>0</v>
      </c>
      <c r="Z813" s="216">
        <v>0</v>
      </c>
      <c r="AA813" s="263"/>
      <c r="AB813" s="155"/>
      <c r="AC813" s="212"/>
    </row>
    <row r="814" spans="1:29" s="182" customFormat="1" hidden="1" x14ac:dyDescent="0.25">
      <c r="A814" s="131">
        <v>1</v>
      </c>
      <c r="B814" s="129">
        <v>1305001</v>
      </c>
      <c r="C814" s="128" t="s">
        <v>600</v>
      </c>
      <c r="D814" s="127" t="s">
        <v>927</v>
      </c>
      <c r="E814" s="147" t="s">
        <v>38</v>
      </c>
      <c r="F814" s="129" t="s">
        <v>55</v>
      </c>
      <c r="G814" s="147" t="s">
        <v>34</v>
      </c>
      <c r="H814" s="191">
        <f t="shared" si="13"/>
        <v>0</v>
      </c>
      <c r="I814" s="225"/>
      <c r="J814" s="148">
        <v>30</v>
      </c>
      <c r="K814" s="147"/>
      <c r="L814" s="147"/>
      <c r="M814" s="147">
        <v>1</v>
      </c>
      <c r="N814" s="289"/>
      <c r="O814" s="196"/>
      <c r="P814" s="180"/>
      <c r="Q814" s="174"/>
      <c r="R814" s="206">
        <v>0</v>
      </c>
      <c r="S814" s="168"/>
      <c r="T814" s="129" t="s">
        <v>55</v>
      </c>
      <c r="U814" s="147" t="s">
        <v>37</v>
      </c>
      <c r="V814" s="129"/>
      <c r="W814" s="177" t="s">
        <v>2531</v>
      </c>
      <c r="X814" s="215"/>
      <c r="Y814" s="216">
        <v>0</v>
      </c>
      <c r="Z814" s="216">
        <v>0</v>
      </c>
      <c r="AA814" s="263"/>
      <c r="AB814" s="155"/>
      <c r="AC814" s="212"/>
    </row>
    <row r="815" spans="1:29" s="182" customFormat="1" hidden="1" x14ac:dyDescent="0.25">
      <c r="A815" s="131">
        <v>1</v>
      </c>
      <c r="B815" s="129">
        <v>1306001</v>
      </c>
      <c r="C815" s="128" t="s">
        <v>600</v>
      </c>
      <c r="D815" s="127" t="s">
        <v>928</v>
      </c>
      <c r="E815" s="147" t="s">
        <v>38</v>
      </c>
      <c r="F815" s="129" t="s">
        <v>929</v>
      </c>
      <c r="G815" s="147" t="s">
        <v>930</v>
      </c>
      <c r="H815" s="191">
        <f t="shared" si="13"/>
        <v>0</v>
      </c>
      <c r="I815" s="225"/>
      <c r="J815" s="149"/>
      <c r="K815" s="147"/>
      <c r="L815" s="147"/>
      <c r="M815" s="147">
        <v>1</v>
      </c>
      <c r="N815" s="289"/>
      <c r="O815" s="196"/>
      <c r="P815" s="180"/>
      <c r="Q815" s="174"/>
      <c r="R815" s="206">
        <v>0</v>
      </c>
      <c r="S815" s="168"/>
      <c r="T815" s="129" t="s">
        <v>36</v>
      </c>
      <c r="U815" s="147" t="s">
        <v>37</v>
      </c>
      <c r="V815" s="129"/>
      <c r="W815" s="163" t="s">
        <v>54</v>
      </c>
      <c r="X815" s="215"/>
      <c r="Y815" s="216">
        <v>0</v>
      </c>
      <c r="Z815" s="216">
        <v>0</v>
      </c>
      <c r="AA815" s="263"/>
      <c r="AB815" s="155"/>
      <c r="AC815" s="212"/>
    </row>
    <row r="816" spans="1:29" s="182" customFormat="1" hidden="1" x14ac:dyDescent="0.25">
      <c r="A816" s="131">
        <v>1</v>
      </c>
      <c r="B816" s="129">
        <v>1306002</v>
      </c>
      <c r="C816" s="127" t="s">
        <v>931</v>
      </c>
      <c r="D816" s="127" t="s">
        <v>932</v>
      </c>
      <c r="E816" s="147" t="s">
        <v>38</v>
      </c>
      <c r="F816" s="129" t="s">
        <v>614</v>
      </c>
      <c r="G816" s="147" t="s">
        <v>607</v>
      </c>
      <c r="H816" s="191">
        <f t="shared" si="13"/>
        <v>0</v>
      </c>
      <c r="I816" s="134"/>
      <c r="J816" s="150"/>
      <c r="K816" s="147"/>
      <c r="L816" s="147"/>
      <c r="M816" s="147">
        <v>4</v>
      </c>
      <c r="N816" s="289"/>
      <c r="O816" s="196"/>
      <c r="P816" s="180"/>
      <c r="Q816" s="174"/>
      <c r="R816" s="205">
        <v>0</v>
      </c>
      <c r="S816" s="168" t="s">
        <v>35</v>
      </c>
      <c r="T816" s="129" t="s">
        <v>272</v>
      </c>
      <c r="U816" s="147" t="s">
        <v>35</v>
      </c>
      <c r="V816" s="129"/>
      <c r="W816" s="147" t="s">
        <v>2214</v>
      </c>
      <c r="X816" s="215"/>
      <c r="Y816" s="216">
        <v>0</v>
      </c>
      <c r="Z816" s="216">
        <v>0</v>
      </c>
      <c r="AA816" s="263"/>
      <c r="AB816" s="155"/>
      <c r="AC816" s="212"/>
    </row>
    <row r="817" spans="1:29" s="182" customFormat="1" hidden="1" x14ac:dyDescent="0.25">
      <c r="A817" s="131">
        <v>1</v>
      </c>
      <c r="B817" s="129">
        <v>1306003</v>
      </c>
      <c r="C817" s="127" t="s">
        <v>931</v>
      </c>
      <c r="D817" s="127" t="s">
        <v>933</v>
      </c>
      <c r="E817" s="147" t="s">
        <v>38</v>
      </c>
      <c r="F817" s="129" t="s">
        <v>742</v>
      </c>
      <c r="G817" s="147"/>
      <c r="H817" s="191">
        <f t="shared" si="13"/>
        <v>0</v>
      </c>
      <c r="I817" s="134"/>
      <c r="J817" s="150"/>
      <c r="K817" s="147">
        <v>11</v>
      </c>
      <c r="L817" s="147">
        <v>1</v>
      </c>
      <c r="M817" s="147">
        <v>12</v>
      </c>
      <c r="N817" s="289"/>
      <c r="O817" s="196"/>
      <c r="P817" s="180"/>
      <c r="Q817" s="174"/>
      <c r="R817" s="205"/>
      <c r="S817" s="168"/>
      <c r="T817" s="129"/>
      <c r="U817" s="147" t="s">
        <v>37</v>
      </c>
      <c r="V817" s="129"/>
      <c r="W817" s="147" t="s">
        <v>2214</v>
      </c>
      <c r="X817" s="215"/>
      <c r="Y817" s="216">
        <v>0</v>
      </c>
      <c r="Z817" s="216">
        <v>0</v>
      </c>
      <c r="AA817" s="263"/>
      <c r="AB817" s="155"/>
      <c r="AC817" s="212"/>
    </row>
    <row r="818" spans="1:29" s="182" customFormat="1" ht="24" x14ac:dyDescent="0.25">
      <c r="A818" s="131"/>
      <c r="B818" s="129">
        <v>1306004</v>
      </c>
      <c r="C818" s="128" t="s">
        <v>882</v>
      </c>
      <c r="D818" s="129" t="s">
        <v>1827</v>
      </c>
      <c r="E818" s="147" t="s">
        <v>38</v>
      </c>
      <c r="F818" s="129" t="s">
        <v>1826</v>
      </c>
      <c r="G818" s="147" t="s">
        <v>1731</v>
      </c>
      <c r="H818" s="191">
        <f t="shared" si="13"/>
        <v>1018.48</v>
      </c>
      <c r="I818" s="238" t="s">
        <v>2235</v>
      </c>
      <c r="J818" s="146">
        <v>30</v>
      </c>
      <c r="K818" s="147">
        <v>2</v>
      </c>
      <c r="L818" s="147">
        <v>1</v>
      </c>
      <c r="M818" s="147">
        <v>3</v>
      </c>
      <c r="N818" s="289">
        <v>3</v>
      </c>
      <c r="O818" s="198"/>
      <c r="P818" s="180">
        <v>45321</v>
      </c>
      <c r="Q818" s="176">
        <f>728+116.48</f>
        <v>844.48</v>
      </c>
      <c r="R818" s="176">
        <f>522/N818</f>
        <v>174</v>
      </c>
      <c r="S818" s="165"/>
      <c r="T818" s="129" t="s">
        <v>2211</v>
      </c>
      <c r="U818" s="147" t="s">
        <v>37</v>
      </c>
      <c r="V818" s="147">
        <v>3500296</v>
      </c>
      <c r="W818" s="147" t="s">
        <v>2213</v>
      </c>
      <c r="X818" s="215" t="s">
        <v>1906</v>
      </c>
      <c r="Y818" s="216">
        <v>160.61807475000003</v>
      </c>
      <c r="Z818" s="216">
        <v>240.92711212500006</v>
      </c>
      <c r="AA818" s="263"/>
      <c r="AB818" s="305"/>
      <c r="AC818" s="214"/>
    </row>
    <row r="819" spans="1:29" s="182" customFormat="1" ht="24" x14ac:dyDescent="0.25">
      <c r="A819" s="131"/>
      <c r="B819" s="157">
        <v>1306005</v>
      </c>
      <c r="C819" s="128" t="s">
        <v>600</v>
      </c>
      <c r="D819" s="129" t="s">
        <v>1828</v>
      </c>
      <c r="E819" s="147" t="s">
        <v>38</v>
      </c>
      <c r="F819" s="129" t="s">
        <v>1826</v>
      </c>
      <c r="G819" s="147" t="s">
        <v>618</v>
      </c>
      <c r="H819" s="191">
        <f t="shared" si="13"/>
        <v>1424.1320000000001</v>
      </c>
      <c r="I819" s="238" t="s">
        <v>2235</v>
      </c>
      <c r="J819" s="146">
        <v>30</v>
      </c>
      <c r="K819" s="147">
        <v>2</v>
      </c>
      <c r="L819" s="147">
        <v>1</v>
      </c>
      <c r="M819" s="147">
        <v>3</v>
      </c>
      <c r="N819" s="289">
        <v>3</v>
      </c>
      <c r="O819" s="198"/>
      <c r="P819" s="180">
        <v>45321</v>
      </c>
      <c r="Q819" s="176">
        <f>1077.7+172.432</f>
        <v>1250.1320000000001</v>
      </c>
      <c r="R819" s="176">
        <f>522/N819</f>
        <v>174</v>
      </c>
      <c r="S819" s="165"/>
      <c r="T819" s="129" t="s">
        <v>2211</v>
      </c>
      <c r="U819" s="147" t="s">
        <v>37</v>
      </c>
      <c r="V819" s="147">
        <v>3500296</v>
      </c>
      <c r="W819" s="147" t="s">
        <v>2213</v>
      </c>
      <c r="X819" s="215" t="s">
        <v>1906</v>
      </c>
      <c r="Y819" s="216">
        <v>2649.8669999999997</v>
      </c>
      <c r="Z819" s="216">
        <v>3974.8004999999994</v>
      </c>
      <c r="AA819" s="263"/>
      <c r="AB819" s="305"/>
      <c r="AC819" s="214"/>
    </row>
    <row r="820" spans="1:29" s="182" customFormat="1" ht="24" x14ac:dyDescent="0.25">
      <c r="A820" s="131">
        <v>1</v>
      </c>
      <c r="B820" s="136">
        <v>1401001</v>
      </c>
      <c r="C820" s="128" t="s">
        <v>934</v>
      </c>
      <c r="D820" s="127" t="s">
        <v>935</v>
      </c>
      <c r="E820" s="147" t="s">
        <v>38</v>
      </c>
      <c r="F820" s="129" t="s">
        <v>936</v>
      </c>
      <c r="G820" s="147" t="s">
        <v>1731</v>
      </c>
      <c r="H820" s="191">
        <f t="shared" si="13"/>
        <v>0.46386944444444445</v>
      </c>
      <c r="I820" s="222" t="s">
        <v>2227</v>
      </c>
      <c r="J820" s="146">
        <v>30</v>
      </c>
      <c r="K820" s="147">
        <v>15</v>
      </c>
      <c r="L820" s="147">
        <v>1</v>
      </c>
      <c r="M820" s="147">
        <v>16</v>
      </c>
      <c r="N820" s="289">
        <v>8640</v>
      </c>
      <c r="O820" s="195">
        <v>0.44130000000000003</v>
      </c>
      <c r="P820" s="180">
        <v>45299</v>
      </c>
      <c r="Q820" s="174">
        <v>0.44130000000000003</v>
      </c>
      <c r="R820" s="205">
        <v>2.2569444444444444E-2</v>
      </c>
      <c r="S820" s="165" t="s">
        <v>35</v>
      </c>
      <c r="T820" s="129" t="s">
        <v>36</v>
      </c>
      <c r="U820" s="147" t="s">
        <v>37</v>
      </c>
      <c r="V820" s="129"/>
      <c r="W820" s="147" t="s">
        <v>2213</v>
      </c>
      <c r="X820" s="215" t="s">
        <v>1856</v>
      </c>
      <c r="Y820" s="216">
        <v>6184.895833333333</v>
      </c>
      <c r="Z820" s="216">
        <v>7161.458333333333</v>
      </c>
      <c r="AA820" s="263"/>
      <c r="AB820" s="305"/>
      <c r="AC820" s="214"/>
    </row>
    <row r="821" spans="1:29" s="182" customFormat="1" hidden="1" x14ac:dyDescent="0.25">
      <c r="A821" s="131">
        <v>1</v>
      </c>
      <c r="B821" s="129">
        <v>1401002</v>
      </c>
      <c r="C821" s="127" t="s">
        <v>940</v>
      </c>
      <c r="D821" s="127" t="s">
        <v>941</v>
      </c>
      <c r="E821" s="147" t="s">
        <v>38</v>
      </c>
      <c r="F821" s="129" t="s">
        <v>942</v>
      </c>
      <c r="G821" s="147" t="s">
        <v>1731</v>
      </c>
      <c r="H821" s="191">
        <f t="shared" si="13"/>
        <v>0</v>
      </c>
      <c r="I821" s="225"/>
      <c r="J821" s="149"/>
      <c r="K821" s="147"/>
      <c r="L821" s="147"/>
      <c r="M821" s="147">
        <v>4</v>
      </c>
      <c r="N821" s="289"/>
      <c r="O821" s="196"/>
      <c r="P821" s="180"/>
      <c r="Q821" s="174"/>
      <c r="R821" s="206">
        <v>0</v>
      </c>
      <c r="S821" s="168"/>
      <c r="T821" s="129" t="s">
        <v>36</v>
      </c>
      <c r="U821" s="147" t="s">
        <v>37</v>
      </c>
      <c r="V821" s="129"/>
      <c r="W821" s="163" t="s">
        <v>54</v>
      </c>
      <c r="X821" s="215"/>
      <c r="Y821" s="216">
        <v>0</v>
      </c>
      <c r="Z821" s="216">
        <v>0</v>
      </c>
      <c r="AA821" s="263"/>
      <c r="AB821" s="155"/>
      <c r="AC821" s="212"/>
    </row>
    <row r="822" spans="1:29" s="182" customFormat="1" hidden="1" x14ac:dyDescent="0.25">
      <c r="A822" s="131">
        <v>1</v>
      </c>
      <c r="B822" s="129">
        <v>1401003</v>
      </c>
      <c r="C822" s="127" t="s">
        <v>940</v>
      </c>
      <c r="D822" s="127" t="s">
        <v>943</v>
      </c>
      <c r="E822" s="147" t="s">
        <v>38</v>
      </c>
      <c r="F822" s="129" t="s">
        <v>942</v>
      </c>
      <c r="G822" s="147" t="s">
        <v>1731</v>
      </c>
      <c r="H822" s="191">
        <f t="shared" si="13"/>
        <v>0</v>
      </c>
      <c r="I822" s="225"/>
      <c r="J822" s="149"/>
      <c r="K822" s="147"/>
      <c r="L822" s="147"/>
      <c r="M822" s="147">
        <v>4</v>
      </c>
      <c r="N822" s="289"/>
      <c r="O822" s="196"/>
      <c r="P822" s="180"/>
      <c r="Q822" s="174"/>
      <c r="R822" s="206">
        <v>0</v>
      </c>
      <c r="S822" s="168"/>
      <c r="T822" s="129" t="s">
        <v>36</v>
      </c>
      <c r="U822" s="147" t="s">
        <v>37</v>
      </c>
      <c r="V822" s="129"/>
      <c r="W822" s="163" t="s">
        <v>54</v>
      </c>
      <c r="X822" s="215"/>
      <c r="Y822" s="216">
        <v>0</v>
      </c>
      <c r="Z822" s="216">
        <v>0</v>
      </c>
      <c r="AA822" s="263"/>
      <c r="AB822" s="155"/>
      <c r="AC822" s="212"/>
    </row>
    <row r="823" spans="1:29" s="182" customFormat="1" hidden="1" x14ac:dyDescent="0.25">
      <c r="A823" s="131">
        <v>1</v>
      </c>
      <c r="B823" s="129">
        <v>1401004</v>
      </c>
      <c r="C823" s="127" t="s">
        <v>940</v>
      </c>
      <c r="D823" s="127" t="s">
        <v>944</v>
      </c>
      <c r="E823" s="147" t="s">
        <v>38</v>
      </c>
      <c r="F823" s="129" t="s">
        <v>942</v>
      </c>
      <c r="G823" s="147" t="s">
        <v>1731</v>
      </c>
      <c r="H823" s="191">
        <f t="shared" si="13"/>
        <v>0</v>
      </c>
      <c r="I823" s="225"/>
      <c r="J823" s="149"/>
      <c r="K823" s="147"/>
      <c r="L823" s="147"/>
      <c r="M823" s="147">
        <v>4</v>
      </c>
      <c r="N823" s="289"/>
      <c r="O823" s="196"/>
      <c r="P823" s="180"/>
      <c r="Q823" s="174"/>
      <c r="R823" s="206">
        <v>0</v>
      </c>
      <c r="S823" s="168"/>
      <c r="T823" s="129" t="s">
        <v>36</v>
      </c>
      <c r="U823" s="147" t="s">
        <v>37</v>
      </c>
      <c r="V823" s="129"/>
      <c r="W823" s="163" t="s">
        <v>54</v>
      </c>
      <c r="X823" s="215"/>
      <c r="Y823" s="216">
        <v>0</v>
      </c>
      <c r="Z823" s="216">
        <v>0</v>
      </c>
      <c r="AA823" s="263"/>
      <c r="AB823" s="155"/>
      <c r="AC823" s="212"/>
    </row>
    <row r="824" spans="1:29" s="182" customFormat="1" hidden="1" x14ac:dyDescent="0.25">
      <c r="A824" s="131">
        <v>1</v>
      </c>
      <c r="B824" s="129">
        <v>1401005</v>
      </c>
      <c r="C824" s="127" t="s">
        <v>940</v>
      </c>
      <c r="D824" s="127" t="s">
        <v>945</v>
      </c>
      <c r="E824" s="147" t="s">
        <v>38</v>
      </c>
      <c r="F824" s="129" t="s">
        <v>946</v>
      </c>
      <c r="G824" s="147" t="s">
        <v>1731</v>
      </c>
      <c r="H824" s="191">
        <f t="shared" si="13"/>
        <v>0.15309999999999999</v>
      </c>
      <c r="I824" s="134"/>
      <c r="J824" s="150"/>
      <c r="K824" s="147"/>
      <c r="L824" s="147"/>
      <c r="M824" s="147">
        <v>4</v>
      </c>
      <c r="N824" s="289">
        <v>100000</v>
      </c>
      <c r="O824" s="196"/>
      <c r="P824" s="180"/>
      <c r="Q824" s="174">
        <v>0.15</v>
      </c>
      <c r="R824" s="205">
        <v>3.0999999999999999E-3</v>
      </c>
      <c r="S824" s="170"/>
      <c r="T824" s="129" t="s">
        <v>36</v>
      </c>
      <c r="U824" s="147" t="s">
        <v>37</v>
      </c>
      <c r="V824" s="129"/>
      <c r="W824" s="163" t="s">
        <v>54</v>
      </c>
      <c r="X824" s="215"/>
      <c r="Y824" s="216">
        <v>0</v>
      </c>
      <c r="Z824" s="216">
        <v>0</v>
      </c>
      <c r="AA824" s="263"/>
      <c r="AB824" s="155"/>
      <c r="AC824" s="212"/>
    </row>
    <row r="825" spans="1:29" s="182" customFormat="1" hidden="1" x14ac:dyDescent="0.25">
      <c r="A825" s="131">
        <v>1</v>
      </c>
      <c r="B825" s="136">
        <v>1401006</v>
      </c>
      <c r="C825" s="127" t="s">
        <v>940</v>
      </c>
      <c r="D825" s="127" t="s">
        <v>950</v>
      </c>
      <c r="E825" s="147" t="s">
        <v>38</v>
      </c>
      <c r="F825" s="129" t="s">
        <v>951</v>
      </c>
      <c r="G825" s="147" t="s">
        <v>1731</v>
      </c>
      <c r="H825" s="191">
        <f t="shared" si="13"/>
        <v>0</v>
      </c>
      <c r="I825" s="225"/>
      <c r="J825" s="149"/>
      <c r="K825" s="147"/>
      <c r="L825" s="147"/>
      <c r="M825" s="147">
        <v>4</v>
      </c>
      <c r="N825" s="289">
        <v>1000</v>
      </c>
      <c r="O825" s="196"/>
      <c r="P825" s="180"/>
      <c r="Q825" s="174"/>
      <c r="R825" s="206">
        <v>0</v>
      </c>
      <c r="S825" s="168"/>
      <c r="T825" s="129" t="s">
        <v>36</v>
      </c>
      <c r="U825" s="147" t="s">
        <v>37</v>
      </c>
      <c r="V825" s="129"/>
      <c r="W825" s="163" t="s">
        <v>54</v>
      </c>
      <c r="X825" s="215"/>
      <c r="Y825" s="216">
        <v>0</v>
      </c>
      <c r="Z825" s="216">
        <v>0</v>
      </c>
      <c r="AA825" s="263"/>
      <c r="AB825" s="155"/>
      <c r="AC825" s="212"/>
    </row>
    <row r="826" spans="1:29" s="182" customFormat="1" hidden="1" x14ac:dyDescent="0.25">
      <c r="A826" s="131">
        <v>1</v>
      </c>
      <c r="B826" s="136">
        <v>1401007</v>
      </c>
      <c r="C826" s="127" t="s">
        <v>940</v>
      </c>
      <c r="D826" s="127" t="s">
        <v>955</v>
      </c>
      <c r="E826" s="147" t="s">
        <v>38</v>
      </c>
      <c r="F826" s="129" t="s">
        <v>946</v>
      </c>
      <c r="G826" s="147" t="s">
        <v>1731</v>
      </c>
      <c r="H826" s="191">
        <f t="shared" si="13"/>
        <v>0.1051</v>
      </c>
      <c r="I826" s="134"/>
      <c r="J826" s="150"/>
      <c r="K826" s="147"/>
      <c r="L826" s="147"/>
      <c r="M826" s="147">
        <v>4</v>
      </c>
      <c r="N826" s="289">
        <v>15000</v>
      </c>
      <c r="O826" s="196"/>
      <c r="P826" s="180"/>
      <c r="Q826" s="174">
        <v>0.10199999999999999</v>
      </c>
      <c r="R826" s="205">
        <v>3.0999999999999999E-3</v>
      </c>
      <c r="S826" s="168"/>
      <c r="T826" s="129" t="s">
        <v>36</v>
      </c>
      <c r="U826" s="147" t="s">
        <v>37</v>
      </c>
      <c r="V826" s="129"/>
      <c r="W826" s="163" t="s">
        <v>54</v>
      </c>
      <c r="X826" s="215"/>
      <c r="Y826" s="216">
        <v>0</v>
      </c>
      <c r="Z826" s="216">
        <v>0</v>
      </c>
      <c r="AA826" s="263"/>
      <c r="AB826" s="155"/>
      <c r="AC826" s="212"/>
    </row>
    <row r="827" spans="1:29" s="182" customFormat="1" hidden="1" x14ac:dyDescent="0.25">
      <c r="A827" s="131">
        <v>1</v>
      </c>
      <c r="B827" s="129">
        <v>1402001</v>
      </c>
      <c r="C827" s="128" t="s">
        <v>934</v>
      </c>
      <c r="D827" s="127" t="s">
        <v>957</v>
      </c>
      <c r="E827" s="147" t="s">
        <v>38</v>
      </c>
      <c r="F827" s="129" t="s">
        <v>958</v>
      </c>
      <c r="G827" s="147" t="s">
        <v>1731</v>
      </c>
      <c r="H827" s="191">
        <f t="shared" si="13"/>
        <v>0</v>
      </c>
      <c r="I827" s="225"/>
      <c r="J827" s="149"/>
      <c r="K827" s="147"/>
      <c r="L827" s="147"/>
      <c r="M827" s="147">
        <v>4</v>
      </c>
      <c r="N827" s="289" t="s">
        <v>959</v>
      </c>
      <c r="O827" s="196"/>
      <c r="P827" s="180"/>
      <c r="Q827" s="174"/>
      <c r="R827" s="206">
        <v>0</v>
      </c>
      <c r="S827" s="168"/>
      <c r="T827" s="129" t="s">
        <v>960</v>
      </c>
      <c r="U827" s="147" t="s">
        <v>37</v>
      </c>
      <c r="V827" s="129"/>
      <c r="W827" s="163" t="s">
        <v>54</v>
      </c>
      <c r="X827" s="215"/>
      <c r="Y827" s="216">
        <v>0</v>
      </c>
      <c r="Z827" s="216">
        <v>0</v>
      </c>
      <c r="AA827" s="263"/>
      <c r="AB827" s="155"/>
      <c r="AC827" s="212"/>
    </row>
    <row r="828" spans="1:29" s="182" customFormat="1" hidden="1" x14ac:dyDescent="0.25">
      <c r="A828" s="131">
        <v>1</v>
      </c>
      <c r="B828" s="136">
        <v>1402002</v>
      </c>
      <c r="C828" s="128" t="s">
        <v>934</v>
      </c>
      <c r="D828" s="127" t="s">
        <v>961</v>
      </c>
      <c r="E828" s="147" t="s">
        <v>38</v>
      </c>
      <c r="F828" s="129" t="s">
        <v>962</v>
      </c>
      <c r="G828" s="147" t="s">
        <v>1731</v>
      </c>
      <c r="H828" s="191">
        <f t="shared" si="13"/>
        <v>0</v>
      </c>
      <c r="I828" s="225"/>
      <c r="J828" s="149"/>
      <c r="K828" s="147"/>
      <c r="L828" s="147"/>
      <c r="M828" s="147">
        <v>1</v>
      </c>
      <c r="N828" s="289">
        <v>100</v>
      </c>
      <c r="O828" s="196"/>
      <c r="P828" s="180"/>
      <c r="Q828" s="174"/>
      <c r="R828" s="206">
        <v>0</v>
      </c>
      <c r="S828" s="168"/>
      <c r="T828" s="129" t="s">
        <v>292</v>
      </c>
      <c r="U828" s="147" t="s">
        <v>37</v>
      </c>
      <c r="V828" s="129"/>
      <c r="W828" s="163" t="s">
        <v>54</v>
      </c>
      <c r="X828" s="215"/>
      <c r="Y828" s="216">
        <v>0</v>
      </c>
      <c r="Z828" s="216">
        <v>0</v>
      </c>
      <c r="AA828" s="263"/>
      <c r="AB828" s="155"/>
      <c r="AC828" s="212"/>
    </row>
    <row r="829" spans="1:29" s="182" customFormat="1" hidden="1" x14ac:dyDescent="0.25">
      <c r="A829" s="131">
        <v>1</v>
      </c>
      <c r="B829" s="136">
        <v>1402003</v>
      </c>
      <c r="C829" s="128" t="s">
        <v>934</v>
      </c>
      <c r="D829" s="127" t="s">
        <v>963</v>
      </c>
      <c r="E829" s="147" t="s">
        <v>38</v>
      </c>
      <c r="F829" s="129" t="s">
        <v>962</v>
      </c>
      <c r="G829" s="147" t="s">
        <v>1731</v>
      </c>
      <c r="H829" s="191">
        <f t="shared" si="13"/>
        <v>0</v>
      </c>
      <c r="I829" s="225"/>
      <c r="J829" s="149"/>
      <c r="K829" s="147"/>
      <c r="L829" s="147"/>
      <c r="M829" s="147">
        <v>1</v>
      </c>
      <c r="N829" s="289">
        <v>100</v>
      </c>
      <c r="O829" s="196"/>
      <c r="P829" s="180"/>
      <c r="Q829" s="174"/>
      <c r="R829" s="206">
        <v>0</v>
      </c>
      <c r="S829" s="168"/>
      <c r="T829" s="129" t="s">
        <v>292</v>
      </c>
      <c r="U829" s="147" t="s">
        <v>37</v>
      </c>
      <c r="V829" s="129"/>
      <c r="W829" s="163" t="s">
        <v>54</v>
      </c>
      <c r="X829" s="215"/>
      <c r="Y829" s="216">
        <v>0</v>
      </c>
      <c r="Z829" s="216">
        <v>0</v>
      </c>
      <c r="AA829" s="263"/>
      <c r="AB829" s="155"/>
      <c r="AC829" s="212"/>
    </row>
    <row r="830" spans="1:29" s="182" customFormat="1" hidden="1" x14ac:dyDescent="0.25">
      <c r="A830" s="131">
        <v>1</v>
      </c>
      <c r="B830" s="136">
        <v>1402004</v>
      </c>
      <c r="C830" s="128" t="s">
        <v>934</v>
      </c>
      <c r="D830" s="127" t="s">
        <v>964</v>
      </c>
      <c r="E830" s="147" t="s">
        <v>38</v>
      </c>
      <c r="F830" s="129" t="s">
        <v>962</v>
      </c>
      <c r="G830" s="147" t="s">
        <v>1731</v>
      </c>
      <c r="H830" s="191">
        <f t="shared" si="13"/>
        <v>0</v>
      </c>
      <c r="I830" s="225"/>
      <c r="J830" s="149"/>
      <c r="K830" s="147">
        <v>11</v>
      </c>
      <c r="L830" s="147">
        <v>1</v>
      </c>
      <c r="M830" s="147">
        <v>12</v>
      </c>
      <c r="N830" s="289"/>
      <c r="O830" s="196"/>
      <c r="P830" s="180"/>
      <c r="Q830" s="174"/>
      <c r="R830" s="206">
        <v>0</v>
      </c>
      <c r="S830" s="168"/>
      <c r="T830" s="129" t="s">
        <v>292</v>
      </c>
      <c r="U830" s="147" t="s">
        <v>37</v>
      </c>
      <c r="V830" s="129"/>
      <c r="W830" s="163" t="s">
        <v>54</v>
      </c>
      <c r="X830" s="215"/>
      <c r="Y830" s="216">
        <v>0</v>
      </c>
      <c r="Z830" s="216">
        <v>0</v>
      </c>
      <c r="AA830" s="263"/>
      <c r="AB830" s="155"/>
      <c r="AC830" s="212"/>
    </row>
    <row r="831" spans="1:29" s="182" customFormat="1" hidden="1" x14ac:dyDescent="0.25">
      <c r="A831" s="131">
        <v>1</v>
      </c>
      <c r="B831" s="136">
        <v>1402005</v>
      </c>
      <c r="C831" s="128" t="s">
        <v>934</v>
      </c>
      <c r="D831" s="127" t="s">
        <v>965</v>
      </c>
      <c r="E831" s="147" t="s">
        <v>38</v>
      </c>
      <c r="F831" s="129" t="s">
        <v>966</v>
      </c>
      <c r="G831" s="147" t="s">
        <v>1731</v>
      </c>
      <c r="H831" s="191">
        <f t="shared" si="13"/>
        <v>0</v>
      </c>
      <c r="I831" s="225"/>
      <c r="J831" s="149"/>
      <c r="K831" s="147">
        <v>11</v>
      </c>
      <c r="L831" s="147">
        <v>1</v>
      </c>
      <c r="M831" s="147">
        <v>12</v>
      </c>
      <c r="N831" s="289"/>
      <c r="O831" s="196"/>
      <c r="P831" s="180"/>
      <c r="Q831" s="174"/>
      <c r="R831" s="206">
        <v>0</v>
      </c>
      <c r="S831" s="168"/>
      <c r="T831" s="129" t="s">
        <v>2210</v>
      </c>
      <c r="U831" s="147" t="s">
        <v>37</v>
      </c>
      <c r="V831" s="129"/>
      <c r="W831" s="163" t="s">
        <v>2531</v>
      </c>
      <c r="X831" s="215"/>
      <c r="Y831" s="216">
        <v>0</v>
      </c>
      <c r="Z831" s="216">
        <v>0</v>
      </c>
      <c r="AA831" s="263"/>
      <c r="AB831" s="155"/>
      <c r="AC831" s="212"/>
    </row>
    <row r="832" spans="1:29" s="182" customFormat="1" hidden="1" x14ac:dyDescent="0.25">
      <c r="A832" s="131">
        <v>1</v>
      </c>
      <c r="B832" s="136">
        <v>1402006</v>
      </c>
      <c r="C832" s="128" t="s">
        <v>934</v>
      </c>
      <c r="D832" s="127" t="s">
        <v>967</v>
      </c>
      <c r="E832" s="147" t="s">
        <v>38</v>
      </c>
      <c r="F832" s="129" t="s">
        <v>962</v>
      </c>
      <c r="G832" s="147" t="s">
        <v>1731</v>
      </c>
      <c r="H832" s="191">
        <f t="shared" si="13"/>
        <v>0</v>
      </c>
      <c r="I832" s="225"/>
      <c r="J832" s="149"/>
      <c r="K832" s="147">
        <v>11</v>
      </c>
      <c r="L832" s="147">
        <v>1</v>
      </c>
      <c r="M832" s="147">
        <v>12</v>
      </c>
      <c r="N832" s="289">
        <v>16500</v>
      </c>
      <c r="O832" s="196"/>
      <c r="P832" s="180"/>
      <c r="Q832" s="174"/>
      <c r="R832" s="206">
        <v>0</v>
      </c>
      <c r="S832" s="168"/>
      <c r="T832" s="129" t="s">
        <v>968</v>
      </c>
      <c r="U832" s="147" t="s">
        <v>37</v>
      </c>
      <c r="V832" s="129"/>
      <c r="W832" s="163" t="s">
        <v>54</v>
      </c>
      <c r="X832" s="215"/>
      <c r="Y832" s="216">
        <v>0</v>
      </c>
      <c r="Z832" s="216">
        <v>0</v>
      </c>
      <c r="AA832" s="263"/>
      <c r="AB832" s="155"/>
      <c r="AC832" s="212"/>
    </row>
    <row r="833" spans="1:29" hidden="1" x14ac:dyDescent="0.25">
      <c r="A833" s="131">
        <v>1</v>
      </c>
      <c r="B833" s="136">
        <v>1402007</v>
      </c>
      <c r="C833" s="128" t="s">
        <v>934</v>
      </c>
      <c r="D833" s="127" t="s">
        <v>969</v>
      </c>
      <c r="E833" s="147" t="s">
        <v>38</v>
      </c>
      <c r="F833" s="129" t="s">
        <v>962</v>
      </c>
      <c r="G833" s="147" t="s">
        <v>1731</v>
      </c>
      <c r="H833" s="191">
        <f t="shared" si="13"/>
        <v>0</v>
      </c>
      <c r="I833" s="225"/>
      <c r="J833" s="149"/>
      <c r="K833" s="147">
        <v>11</v>
      </c>
      <c r="L833" s="147">
        <v>1</v>
      </c>
      <c r="M833" s="147">
        <v>12</v>
      </c>
      <c r="N833" s="289">
        <v>16500</v>
      </c>
      <c r="O833" s="196"/>
      <c r="P833" s="180"/>
      <c r="Q833" s="174"/>
      <c r="R833" s="206">
        <v>0</v>
      </c>
      <c r="S833" s="168"/>
      <c r="T833" s="129" t="s">
        <v>968</v>
      </c>
      <c r="U833" s="147" t="s">
        <v>37</v>
      </c>
      <c r="V833" s="129"/>
      <c r="W833" s="163" t="s">
        <v>54</v>
      </c>
      <c r="X833" s="215"/>
      <c r="Y833" s="216">
        <v>0</v>
      </c>
      <c r="Z833" s="216">
        <v>0</v>
      </c>
      <c r="AA833" s="263"/>
      <c r="AB833" s="155"/>
      <c r="AC833" s="212"/>
    </row>
    <row r="834" spans="1:29" hidden="1" x14ac:dyDescent="0.25">
      <c r="A834" s="131">
        <v>1</v>
      </c>
      <c r="B834" s="136">
        <v>1402008</v>
      </c>
      <c r="C834" s="128" t="s">
        <v>934</v>
      </c>
      <c r="D834" s="127" t="s">
        <v>970</v>
      </c>
      <c r="E834" s="147" t="s">
        <v>38</v>
      </c>
      <c r="F834" s="129" t="s">
        <v>36</v>
      </c>
      <c r="G834" s="147" t="s">
        <v>1731</v>
      </c>
      <c r="H834" s="191">
        <f t="shared" si="13"/>
        <v>0.1479</v>
      </c>
      <c r="I834" s="181" t="s">
        <v>2218</v>
      </c>
      <c r="J834" s="150"/>
      <c r="K834" s="147"/>
      <c r="L834" s="147"/>
      <c r="M834" s="147">
        <v>10</v>
      </c>
      <c r="N834" s="289"/>
      <c r="O834" s="196"/>
      <c r="P834" s="180"/>
      <c r="Q834" s="174">
        <v>0.1479</v>
      </c>
      <c r="R834" s="206">
        <v>0</v>
      </c>
      <c r="S834" s="165"/>
      <c r="T834" s="129" t="s">
        <v>36</v>
      </c>
      <c r="U834" s="147" t="s">
        <v>37</v>
      </c>
      <c r="V834" s="129"/>
      <c r="W834" s="163" t="s">
        <v>2531</v>
      </c>
      <c r="X834" s="215"/>
      <c r="Y834" s="216">
        <v>0</v>
      </c>
      <c r="Z834" s="216">
        <v>0</v>
      </c>
      <c r="AA834" s="263"/>
      <c r="AB834" s="305"/>
    </row>
    <row r="835" spans="1:29" s="182" customFormat="1" x14ac:dyDescent="0.25">
      <c r="A835" s="131">
        <v>1</v>
      </c>
      <c r="B835" s="136">
        <v>1402009</v>
      </c>
      <c r="C835" s="128" t="s">
        <v>934</v>
      </c>
      <c r="D835" s="127" t="s">
        <v>1500</v>
      </c>
      <c r="E835" s="147" t="s">
        <v>38</v>
      </c>
      <c r="F835" s="129" t="s">
        <v>976</v>
      </c>
      <c r="G835" s="147" t="s">
        <v>1731</v>
      </c>
      <c r="H835" s="191">
        <f t="shared" ref="H835:H898" si="14">Q835+R835</f>
        <v>0.15060000000000001</v>
      </c>
      <c r="I835" s="222" t="s">
        <v>2084</v>
      </c>
      <c r="J835" s="150"/>
      <c r="K835" s="147">
        <v>8</v>
      </c>
      <c r="L835" s="147">
        <v>1</v>
      </c>
      <c r="M835" s="147">
        <v>9</v>
      </c>
      <c r="N835" s="289">
        <v>10000</v>
      </c>
      <c r="O835" s="195">
        <v>9.2499999999999999E-2</v>
      </c>
      <c r="P835" s="180">
        <v>45663</v>
      </c>
      <c r="Q835" s="174">
        <v>0.10059999999999999</v>
      </c>
      <c r="R835" s="205">
        <v>0.05</v>
      </c>
      <c r="S835" s="165"/>
      <c r="T835" s="129" t="s">
        <v>2450</v>
      </c>
      <c r="U835" s="147" t="s">
        <v>37</v>
      </c>
      <c r="V835" s="129"/>
      <c r="W835" s="147" t="s">
        <v>2213</v>
      </c>
      <c r="X835" s="215" t="s">
        <v>1912</v>
      </c>
      <c r="Y835" s="216">
        <v>5265</v>
      </c>
      <c r="Z835" s="216">
        <v>6318</v>
      </c>
      <c r="AA835" s="263"/>
      <c r="AB835" s="305"/>
      <c r="AC835" s="214"/>
    </row>
    <row r="836" spans="1:29" s="182" customFormat="1" hidden="1" x14ac:dyDescent="0.25">
      <c r="A836" s="131">
        <v>1</v>
      </c>
      <c r="B836" s="136">
        <v>1402020</v>
      </c>
      <c r="C836" s="128" t="s">
        <v>934</v>
      </c>
      <c r="D836" s="127" t="s">
        <v>977</v>
      </c>
      <c r="E836" s="147" t="s">
        <v>38</v>
      </c>
      <c r="F836" s="138" t="s">
        <v>57</v>
      </c>
      <c r="G836" s="147" t="s">
        <v>1731</v>
      </c>
      <c r="H836" s="191">
        <f t="shared" si="14"/>
        <v>0</v>
      </c>
      <c r="I836" s="225"/>
      <c r="J836" s="149"/>
      <c r="K836" s="147">
        <v>12</v>
      </c>
      <c r="L836" s="147">
        <v>1</v>
      </c>
      <c r="M836" s="147">
        <v>13</v>
      </c>
      <c r="N836" s="289"/>
      <c r="O836" s="196"/>
      <c r="P836" s="180"/>
      <c r="Q836" s="174"/>
      <c r="R836" s="206">
        <v>0</v>
      </c>
      <c r="S836" s="168"/>
      <c r="T836" s="138" t="s">
        <v>57</v>
      </c>
      <c r="U836" s="147" t="s">
        <v>37</v>
      </c>
      <c r="V836" s="129"/>
      <c r="W836" s="163" t="s">
        <v>54</v>
      </c>
      <c r="X836" s="215"/>
      <c r="Y836" s="216">
        <v>0</v>
      </c>
      <c r="Z836" s="216">
        <v>0</v>
      </c>
      <c r="AA836" s="263"/>
      <c r="AB836" s="155"/>
      <c r="AC836" s="212"/>
    </row>
    <row r="837" spans="1:29" s="182" customFormat="1" x14ac:dyDescent="0.25">
      <c r="A837" s="131">
        <v>1</v>
      </c>
      <c r="B837" s="129">
        <v>1403001</v>
      </c>
      <c r="C837" s="127" t="s">
        <v>934</v>
      </c>
      <c r="D837" s="127" t="s">
        <v>978</v>
      </c>
      <c r="E837" s="147" t="s">
        <v>38</v>
      </c>
      <c r="F837" s="129" t="s">
        <v>1578</v>
      </c>
      <c r="G837" s="147" t="s">
        <v>1731</v>
      </c>
      <c r="H837" s="191">
        <f t="shared" si="14"/>
        <v>5.2500000000000005E-2</v>
      </c>
      <c r="I837" s="222" t="s">
        <v>2084</v>
      </c>
      <c r="J837" s="146">
        <v>30</v>
      </c>
      <c r="K837" s="147">
        <v>8</v>
      </c>
      <c r="L837" s="147">
        <v>2</v>
      </c>
      <c r="M837" s="147">
        <v>10</v>
      </c>
      <c r="N837" s="289">
        <v>100000</v>
      </c>
      <c r="O837" s="195">
        <v>4.5400000000000003E-2</v>
      </c>
      <c r="P837" s="180">
        <v>44690</v>
      </c>
      <c r="Q837" s="174">
        <v>4.2000000000000003E-2</v>
      </c>
      <c r="R837" s="205">
        <v>1.0500000000000001E-2</v>
      </c>
      <c r="S837" s="165" t="s">
        <v>35</v>
      </c>
      <c r="T837" s="129" t="s">
        <v>36</v>
      </c>
      <c r="U837" s="147" t="s">
        <v>37</v>
      </c>
      <c r="V837" s="129"/>
      <c r="W837" s="147" t="s">
        <v>2213</v>
      </c>
      <c r="X837" s="215" t="s">
        <v>1922</v>
      </c>
      <c r="Y837" s="216">
        <v>13750</v>
      </c>
      <c r="Z837" s="216">
        <v>17875</v>
      </c>
      <c r="AA837" s="263"/>
      <c r="AB837" s="305"/>
      <c r="AC837" s="214"/>
    </row>
    <row r="838" spans="1:29" s="182" customFormat="1" hidden="1" x14ac:dyDescent="0.25">
      <c r="A838" s="131">
        <v>1</v>
      </c>
      <c r="B838" s="129">
        <v>1403002</v>
      </c>
      <c r="C838" s="127" t="s">
        <v>934</v>
      </c>
      <c r="D838" s="127" t="s">
        <v>982</v>
      </c>
      <c r="E838" s="147" t="s">
        <v>38</v>
      </c>
      <c r="F838" s="138" t="s">
        <v>57</v>
      </c>
      <c r="G838" s="147" t="s">
        <v>1731</v>
      </c>
      <c r="H838" s="191">
        <f t="shared" si="14"/>
        <v>0</v>
      </c>
      <c r="I838" s="225"/>
      <c r="J838" s="149"/>
      <c r="K838" s="147"/>
      <c r="L838" s="147"/>
      <c r="M838" s="147">
        <v>6</v>
      </c>
      <c r="N838" s="289"/>
      <c r="O838" s="196"/>
      <c r="P838" s="180"/>
      <c r="Q838" s="174"/>
      <c r="R838" s="206">
        <v>0</v>
      </c>
      <c r="S838" s="168"/>
      <c r="T838" s="129" t="s">
        <v>55</v>
      </c>
      <c r="U838" s="147" t="s">
        <v>37</v>
      </c>
      <c r="V838" s="129"/>
      <c r="W838" s="163" t="s">
        <v>54</v>
      </c>
      <c r="X838" s="215"/>
      <c r="Y838" s="216">
        <v>0</v>
      </c>
      <c r="Z838" s="216">
        <v>0</v>
      </c>
      <c r="AA838" s="263"/>
      <c r="AB838" s="155"/>
      <c r="AC838" s="212"/>
    </row>
    <row r="839" spans="1:29" s="182" customFormat="1" hidden="1" x14ac:dyDescent="0.25">
      <c r="A839" s="131">
        <v>1</v>
      </c>
      <c r="B839" s="136">
        <v>1403003</v>
      </c>
      <c r="C839" s="128" t="s">
        <v>934</v>
      </c>
      <c r="D839" s="127" t="s">
        <v>983</v>
      </c>
      <c r="E839" s="147" t="s">
        <v>38</v>
      </c>
      <c r="F839" s="138" t="s">
        <v>57</v>
      </c>
      <c r="G839" s="147" t="s">
        <v>1731</v>
      </c>
      <c r="H839" s="191">
        <f t="shared" si="14"/>
        <v>0</v>
      </c>
      <c r="I839" s="225"/>
      <c r="J839" s="149"/>
      <c r="K839" s="147">
        <v>12</v>
      </c>
      <c r="L839" s="147">
        <v>1</v>
      </c>
      <c r="M839" s="147">
        <v>13</v>
      </c>
      <c r="N839" s="289"/>
      <c r="O839" s="196"/>
      <c r="P839" s="180"/>
      <c r="Q839" s="174"/>
      <c r="R839" s="206">
        <v>0</v>
      </c>
      <c r="S839" s="168"/>
      <c r="T839" s="138" t="s">
        <v>57</v>
      </c>
      <c r="U839" s="147" t="s">
        <v>37</v>
      </c>
      <c r="V839" s="129"/>
      <c r="W839" s="163" t="s">
        <v>54</v>
      </c>
      <c r="X839" s="215"/>
      <c r="Y839" s="216">
        <v>0</v>
      </c>
      <c r="Z839" s="216">
        <v>0</v>
      </c>
      <c r="AA839" s="263"/>
      <c r="AB839" s="155"/>
      <c r="AC839" s="212"/>
    </row>
    <row r="840" spans="1:29" s="182" customFormat="1" x14ac:dyDescent="0.25">
      <c r="A840" s="131">
        <v>1</v>
      </c>
      <c r="B840" s="136">
        <v>1403004</v>
      </c>
      <c r="C840" s="128" t="s">
        <v>934</v>
      </c>
      <c r="D840" s="127" t="s">
        <v>984</v>
      </c>
      <c r="E840" s="147" t="s">
        <v>38</v>
      </c>
      <c r="F840" s="129" t="s">
        <v>1578</v>
      </c>
      <c r="G840" s="147" t="s">
        <v>1731</v>
      </c>
      <c r="H840" s="191">
        <f t="shared" si="14"/>
        <v>0.12525</v>
      </c>
      <c r="I840" s="222" t="s">
        <v>2084</v>
      </c>
      <c r="J840" s="146">
        <v>30</v>
      </c>
      <c r="K840" s="147">
        <v>8</v>
      </c>
      <c r="L840" s="147">
        <v>2</v>
      </c>
      <c r="M840" s="147">
        <v>10</v>
      </c>
      <c r="N840" s="289">
        <v>50000</v>
      </c>
      <c r="O840" s="195">
        <v>0.10469999999999999</v>
      </c>
      <c r="P840" s="180">
        <v>44690</v>
      </c>
      <c r="Q840" s="174">
        <v>0.109</v>
      </c>
      <c r="R840" s="205">
        <v>1.6250000000000001E-2</v>
      </c>
      <c r="S840" s="165" t="s">
        <v>35</v>
      </c>
      <c r="T840" s="129" t="s">
        <v>36</v>
      </c>
      <c r="U840" s="147" t="s">
        <v>37</v>
      </c>
      <c r="V840" s="129"/>
      <c r="W840" s="147" t="s">
        <v>2213</v>
      </c>
      <c r="X840" s="215" t="s">
        <v>1922</v>
      </c>
      <c r="Y840" s="216">
        <v>13324.5</v>
      </c>
      <c r="Z840" s="216">
        <v>16655.625</v>
      </c>
      <c r="AA840" s="263"/>
      <c r="AB840" s="305"/>
      <c r="AC840" s="214"/>
    </row>
    <row r="841" spans="1:29" s="182" customFormat="1" x14ac:dyDescent="0.25">
      <c r="A841" s="131">
        <v>1</v>
      </c>
      <c r="B841" s="136">
        <v>1403005</v>
      </c>
      <c r="C841" s="128" t="s">
        <v>934</v>
      </c>
      <c r="D841" s="127" t="s">
        <v>985</v>
      </c>
      <c r="E841" s="147" t="s">
        <v>38</v>
      </c>
      <c r="F841" s="129" t="s">
        <v>1578</v>
      </c>
      <c r="G841" s="147" t="s">
        <v>1731</v>
      </c>
      <c r="H841" s="191">
        <f t="shared" si="14"/>
        <v>6.7000000000000004E-2</v>
      </c>
      <c r="I841" s="222" t="s">
        <v>2084</v>
      </c>
      <c r="J841" s="146">
        <v>30</v>
      </c>
      <c r="K841" s="147">
        <v>8</v>
      </c>
      <c r="L841" s="147">
        <v>2</v>
      </c>
      <c r="M841" s="147">
        <v>10</v>
      </c>
      <c r="N841" s="289">
        <v>100000</v>
      </c>
      <c r="O841" s="195">
        <v>0.06</v>
      </c>
      <c r="P841" s="180">
        <v>44690</v>
      </c>
      <c r="Q841" s="174">
        <v>6.7000000000000004E-2</v>
      </c>
      <c r="R841" s="208"/>
      <c r="S841" s="165" t="s">
        <v>35</v>
      </c>
      <c r="T841" s="129" t="s">
        <v>36</v>
      </c>
      <c r="U841" s="147" t="s">
        <v>37</v>
      </c>
      <c r="V841" s="129"/>
      <c r="W841" s="147" t="s">
        <v>2213</v>
      </c>
      <c r="X841" s="215" t="s">
        <v>1922</v>
      </c>
      <c r="Y841" s="216">
        <v>0</v>
      </c>
      <c r="Z841" s="216">
        <v>0</v>
      </c>
      <c r="AA841" s="263"/>
      <c r="AB841" s="305"/>
      <c r="AC841" s="214"/>
    </row>
    <row r="842" spans="1:29" s="182" customFormat="1" hidden="1" x14ac:dyDescent="0.25">
      <c r="A842" s="131">
        <v>1</v>
      </c>
      <c r="B842" s="136">
        <v>1403006</v>
      </c>
      <c r="C842" s="128" t="s">
        <v>934</v>
      </c>
      <c r="D842" s="127" t="s">
        <v>986</v>
      </c>
      <c r="E842" s="147" t="s">
        <v>38</v>
      </c>
      <c r="F842" s="129" t="s">
        <v>987</v>
      </c>
      <c r="G842" s="147" t="s">
        <v>1731</v>
      </c>
      <c r="H842" s="191">
        <f t="shared" si="14"/>
        <v>0</v>
      </c>
      <c r="I842" s="225"/>
      <c r="J842" s="149"/>
      <c r="K842" s="147"/>
      <c r="L842" s="147"/>
      <c r="M842" s="147">
        <v>7</v>
      </c>
      <c r="N842" s="289">
        <v>75000</v>
      </c>
      <c r="O842" s="196"/>
      <c r="P842" s="180"/>
      <c r="Q842" s="174"/>
      <c r="R842" s="206">
        <v>0</v>
      </c>
      <c r="S842" s="165" t="s">
        <v>35</v>
      </c>
      <c r="T842" s="129" t="s">
        <v>517</v>
      </c>
      <c r="U842" s="147" t="s">
        <v>35</v>
      </c>
      <c r="V842" s="129"/>
      <c r="W842" s="163" t="s">
        <v>54</v>
      </c>
      <c r="X842" s="215"/>
      <c r="Y842" s="216">
        <v>0</v>
      </c>
      <c r="Z842" s="216">
        <v>0</v>
      </c>
      <c r="AA842" s="263"/>
      <c r="AB842" s="155"/>
      <c r="AC842" s="212"/>
    </row>
    <row r="843" spans="1:29" s="182" customFormat="1" hidden="1" x14ac:dyDescent="0.25">
      <c r="A843" s="131">
        <v>1</v>
      </c>
      <c r="B843" s="136">
        <v>1403007</v>
      </c>
      <c r="C843" s="128" t="s">
        <v>934</v>
      </c>
      <c r="D843" s="127" t="s">
        <v>992</v>
      </c>
      <c r="E843" s="147" t="s">
        <v>38</v>
      </c>
      <c r="F843" s="129" t="s">
        <v>993</v>
      </c>
      <c r="G843" s="147" t="s">
        <v>1731</v>
      </c>
      <c r="H843" s="191">
        <f t="shared" si="14"/>
        <v>5.8810000000000001E-2</v>
      </c>
      <c r="I843" s="134"/>
      <c r="J843" s="150"/>
      <c r="K843" s="147"/>
      <c r="L843" s="147"/>
      <c r="M843" s="147">
        <v>10</v>
      </c>
      <c r="N843" s="289">
        <v>30000</v>
      </c>
      <c r="O843" s="196"/>
      <c r="P843" s="180"/>
      <c r="Q843" s="174">
        <v>5.6300000000000003E-2</v>
      </c>
      <c r="R843" s="205">
        <v>2.5100000000000001E-3</v>
      </c>
      <c r="S843" s="165"/>
      <c r="T843" s="129" t="s">
        <v>517</v>
      </c>
      <c r="U843" s="147" t="s">
        <v>35</v>
      </c>
      <c r="V843" s="129"/>
      <c r="W843" s="163" t="s">
        <v>54</v>
      </c>
      <c r="X843" s="215"/>
      <c r="Y843" s="216">
        <v>0</v>
      </c>
      <c r="Z843" s="216">
        <v>0</v>
      </c>
      <c r="AA843" s="263"/>
      <c r="AB843" s="155"/>
      <c r="AC843" s="212"/>
    </row>
    <row r="844" spans="1:29" s="182" customFormat="1" x14ac:dyDescent="0.25">
      <c r="A844" s="131">
        <v>1</v>
      </c>
      <c r="B844" s="136">
        <v>1403008</v>
      </c>
      <c r="C844" s="128" t="s">
        <v>934</v>
      </c>
      <c r="D844" s="127" t="s">
        <v>997</v>
      </c>
      <c r="E844" s="147" t="s">
        <v>38</v>
      </c>
      <c r="F844" s="129" t="s">
        <v>998</v>
      </c>
      <c r="G844" s="147" t="s">
        <v>1731</v>
      </c>
      <c r="H844" s="191">
        <f t="shared" si="14"/>
        <v>0.46499999999999997</v>
      </c>
      <c r="I844" s="222" t="s">
        <v>2084</v>
      </c>
      <c r="J844" s="146">
        <v>30</v>
      </c>
      <c r="K844" s="147">
        <v>16</v>
      </c>
      <c r="L844" s="147">
        <v>9</v>
      </c>
      <c r="M844" s="147">
        <v>25</v>
      </c>
      <c r="N844" s="289">
        <v>20000</v>
      </c>
      <c r="O844" s="195">
        <v>0.44</v>
      </c>
      <c r="P844" s="180">
        <v>45084</v>
      </c>
      <c r="Q844" s="174">
        <v>0.41499999999999998</v>
      </c>
      <c r="R844" s="205">
        <v>0.05</v>
      </c>
      <c r="S844" s="165" t="s">
        <v>35</v>
      </c>
      <c r="T844" s="129" t="s">
        <v>36</v>
      </c>
      <c r="U844" s="147" t="s">
        <v>37</v>
      </c>
      <c r="V844" s="129"/>
      <c r="W844" s="147" t="s">
        <v>2213</v>
      </c>
      <c r="X844" s="215" t="s">
        <v>1911</v>
      </c>
      <c r="Y844" s="216">
        <v>10500</v>
      </c>
      <c r="Z844" s="216">
        <v>11625</v>
      </c>
      <c r="AA844" s="263"/>
      <c r="AB844" s="305"/>
      <c r="AC844" s="214"/>
    </row>
    <row r="845" spans="1:29" s="182" customFormat="1" x14ac:dyDescent="0.25">
      <c r="A845" s="131">
        <v>1</v>
      </c>
      <c r="B845" s="136">
        <v>1403009</v>
      </c>
      <c r="C845" s="128" t="s">
        <v>934</v>
      </c>
      <c r="D845" s="127" t="s">
        <v>1002</v>
      </c>
      <c r="E845" s="147" t="s">
        <v>38</v>
      </c>
      <c r="F845" s="129" t="s">
        <v>998</v>
      </c>
      <c r="G845" s="147" t="s">
        <v>1731</v>
      </c>
      <c r="H845" s="191">
        <f t="shared" si="14"/>
        <v>0.46499999999999997</v>
      </c>
      <c r="I845" s="222" t="s">
        <v>2084</v>
      </c>
      <c r="J845" s="146">
        <v>30</v>
      </c>
      <c r="K845" s="147">
        <v>16</v>
      </c>
      <c r="L845" s="147">
        <v>9</v>
      </c>
      <c r="M845" s="147">
        <v>25</v>
      </c>
      <c r="N845" s="289">
        <v>40000</v>
      </c>
      <c r="O845" s="195">
        <v>0.44</v>
      </c>
      <c r="P845" s="180">
        <v>45084</v>
      </c>
      <c r="Q845" s="174">
        <v>0.41499999999999998</v>
      </c>
      <c r="R845" s="205">
        <v>0.05</v>
      </c>
      <c r="S845" s="165" t="s">
        <v>35</v>
      </c>
      <c r="T845" s="129" t="s">
        <v>36</v>
      </c>
      <c r="U845" s="147" t="s">
        <v>37</v>
      </c>
      <c r="V845" s="129"/>
      <c r="W845" s="147" t="s">
        <v>2213</v>
      </c>
      <c r="X845" s="215" t="s">
        <v>1911</v>
      </c>
      <c r="Y845" s="216">
        <v>45500</v>
      </c>
      <c r="Z845" s="216">
        <v>50375</v>
      </c>
      <c r="AA845" s="263"/>
      <c r="AB845" s="305"/>
      <c r="AC845" s="214"/>
    </row>
    <row r="846" spans="1:29" s="182" customFormat="1" hidden="1" x14ac:dyDescent="0.25">
      <c r="A846" s="131">
        <v>1</v>
      </c>
      <c r="B846" s="139">
        <v>1403011</v>
      </c>
      <c r="C846" s="128" t="s">
        <v>934</v>
      </c>
      <c r="D846" s="159" t="s">
        <v>1003</v>
      </c>
      <c r="E846" s="147" t="s">
        <v>38</v>
      </c>
      <c r="F846" s="139" t="s">
        <v>1004</v>
      </c>
      <c r="G846" s="147" t="s">
        <v>1731</v>
      </c>
      <c r="H846" s="191">
        <f t="shared" si="14"/>
        <v>0.11838</v>
      </c>
      <c r="I846" s="134" t="s">
        <v>2084</v>
      </c>
      <c r="J846" s="146">
        <v>0</v>
      </c>
      <c r="K846" s="160">
        <v>12</v>
      </c>
      <c r="L846" s="160">
        <v>1</v>
      </c>
      <c r="M846" s="147">
        <v>13</v>
      </c>
      <c r="N846" s="289">
        <v>25000</v>
      </c>
      <c r="O846" s="196">
        <v>6.966E-2</v>
      </c>
      <c r="P846" s="180">
        <v>45712</v>
      </c>
      <c r="Q846" s="174">
        <v>6.8379999999999996E-2</v>
      </c>
      <c r="R846" s="210">
        <v>0.05</v>
      </c>
      <c r="S846" s="171"/>
      <c r="T846" s="139" t="s">
        <v>284</v>
      </c>
      <c r="U846" s="160" t="s">
        <v>35</v>
      </c>
      <c r="V846" s="129"/>
      <c r="W846" s="147" t="s">
        <v>2214</v>
      </c>
      <c r="X846" s="215" t="s">
        <v>1856</v>
      </c>
      <c r="Y846" s="216">
        <v>0</v>
      </c>
      <c r="Z846" s="216">
        <v>0</v>
      </c>
      <c r="AA846" s="263"/>
      <c r="AB846" s="155"/>
      <c r="AC846" s="212"/>
    </row>
    <row r="847" spans="1:29" s="182" customFormat="1" hidden="1" x14ac:dyDescent="0.25">
      <c r="A847" s="131">
        <v>1</v>
      </c>
      <c r="B847" s="129">
        <v>1404001</v>
      </c>
      <c r="C847" s="128" t="s">
        <v>934</v>
      </c>
      <c r="D847" s="127" t="s">
        <v>1008</v>
      </c>
      <c r="E847" s="147" t="s">
        <v>38</v>
      </c>
      <c r="F847" s="129" t="s">
        <v>55</v>
      </c>
      <c r="G847" s="147" t="s">
        <v>1731</v>
      </c>
      <c r="H847" s="191">
        <f t="shared" si="14"/>
        <v>0</v>
      </c>
      <c r="I847" s="225"/>
      <c r="J847" s="148">
        <v>30</v>
      </c>
      <c r="K847" s="147"/>
      <c r="L847" s="147"/>
      <c r="M847" s="147">
        <v>1</v>
      </c>
      <c r="N847" s="289"/>
      <c r="O847" s="196"/>
      <c r="P847" s="180"/>
      <c r="Q847" s="174"/>
      <c r="R847" s="206">
        <v>0</v>
      </c>
      <c r="S847" s="168"/>
      <c r="T847" s="129" t="s">
        <v>55</v>
      </c>
      <c r="U847" s="147" t="s">
        <v>37</v>
      </c>
      <c r="V847" s="129"/>
      <c r="W847" s="177" t="s">
        <v>2531</v>
      </c>
      <c r="X847" s="215"/>
      <c r="Y847" s="216">
        <v>0</v>
      </c>
      <c r="Z847" s="216">
        <v>0</v>
      </c>
      <c r="AA847" s="263"/>
      <c r="AB847" s="155"/>
      <c r="AC847" s="212"/>
    </row>
    <row r="848" spans="1:29" s="182" customFormat="1" hidden="1" x14ac:dyDescent="0.25">
      <c r="A848" s="131">
        <v>1</v>
      </c>
      <c r="B848" s="129">
        <v>1404002</v>
      </c>
      <c r="C848" s="128" t="s">
        <v>934</v>
      </c>
      <c r="D848" s="127" t="s">
        <v>1010</v>
      </c>
      <c r="E848" s="147" t="s">
        <v>38</v>
      </c>
      <c r="F848" s="129" t="s">
        <v>55</v>
      </c>
      <c r="G848" s="147" t="s">
        <v>1731</v>
      </c>
      <c r="H848" s="191">
        <f t="shared" si="14"/>
        <v>0</v>
      </c>
      <c r="I848" s="225"/>
      <c r="J848" s="148">
        <v>30</v>
      </c>
      <c r="K848" s="147"/>
      <c r="L848" s="147"/>
      <c r="M848" s="147">
        <v>1</v>
      </c>
      <c r="N848" s="289"/>
      <c r="O848" s="196"/>
      <c r="P848" s="180"/>
      <c r="Q848" s="174"/>
      <c r="R848" s="206">
        <v>0</v>
      </c>
      <c r="S848" s="168"/>
      <c r="T848" s="129" t="s">
        <v>55</v>
      </c>
      <c r="U848" s="147" t="s">
        <v>37</v>
      </c>
      <c r="V848" s="129"/>
      <c r="W848" s="177" t="s">
        <v>2531</v>
      </c>
      <c r="X848" s="215"/>
      <c r="Y848" s="216">
        <v>0</v>
      </c>
      <c r="Z848" s="216">
        <v>0</v>
      </c>
      <c r="AA848" s="263"/>
      <c r="AB848" s="155"/>
      <c r="AC848" s="212"/>
    </row>
    <row r="849" spans="1:29" s="182" customFormat="1" hidden="1" x14ac:dyDescent="0.25">
      <c r="A849" s="131">
        <v>1</v>
      </c>
      <c r="B849" s="136">
        <v>1404003</v>
      </c>
      <c r="C849" s="128" t="s">
        <v>934</v>
      </c>
      <c r="D849" s="127" t="s">
        <v>1012</v>
      </c>
      <c r="E849" s="147" t="s">
        <v>38</v>
      </c>
      <c r="F849" s="129" t="s">
        <v>36</v>
      </c>
      <c r="G849" s="147" t="s">
        <v>1731</v>
      </c>
      <c r="H849" s="191">
        <f t="shared" si="14"/>
        <v>0</v>
      </c>
      <c r="I849" s="181" t="s">
        <v>2218</v>
      </c>
      <c r="J849" s="149"/>
      <c r="K849" s="147">
        <v>2</v>
      </c>
      <c r="L849" s="147">
        <v>1</v>
      </c>
      <c r="M849" s="147">
        <v>3</v>
      </c>
      <c r="N849" s="289"/>
      <c r="O849" s="196"/>
      <c r="P849" s="180"/>
      <c r="Q849" s="174"/>
      <c r="R849" s="206">
        <v>0</v>
      </c>
      <c r="S849" s="168"/>
      <c r="T849" s="129" t="s">
        <v>36</v>
      </c>
      <c r="U849" s="147" t="s">
        <v>37</v>
      </c>
      <c r="V849" s="129"/>
      <c r="W849" s="163" t="s">
        <v>2531</v>
      </c>
      <c r="X849" s="215"/>
      <c r="Y849" s="216">
        <v>0</v>
      </c>
      <c r="Z849" s="216">
        <v>0</v>
      </c>
      <c r="AA849" s="263"/>
      <c r="AB849" s="305"/>
      <c r="AC849" s="214"/>
    </row>
    <row r="850" spans="1:29" s="182" customFormat="1" hidden="1" x14ac:dyDescent="0.25">
      <c r="A850" s="131">
        <v>1</v>
      </c>
      <c r="B850" s="136">
        <v>1404004</v>
      </c>
      <c r="C850" s="128" t="s">
        <v>934</v>
      </c>
      <c r="D850" s="127" t="s">
        <v>1014</v>
      </c>
      <c r="E850" s="147" t="s">
        <v>38</v>
      </c>
      <c r="F850" s="129" t="s">
        <v>36</v>
      </c>
      <c r="G850" s="147" t="s">
        <v>1731</v>
      </c>
      <c r="H850" s="191">
        <f t="shared" si="14"/>
        <v>0</v>
      </c>
      <c r="I850" s="181" t="s">
        <v>2218</v>
      </c>
      <c r="J850" s="149"/>
      <c r="K850" s="147">
        <v>2</v>
      </c>
      <c r="L850" s="147">
        <v>1</v>
      </c>
      <c r="M850" s="147">
        <v>3</v>
      </c>
      <c r="N850" s="289"/>
      <c r="O850" s="196"/>
      <c r="P850" s="180"/>
      <c r="Q850" s="174"/>
      <c r="R850" s="206">
        <v>0</v>
      </c>
      <c r="S850" s="168"/>
      <c r="T850" s="129" t="s">
        <v>36</v>
      </c>
      <c r="U850" s="147" t="s">
        <v>37</v>
      </c>
      <c r="V850" s="129"/>
      <c r="W850" s="163" t="s">
        <v>2531</v>
      </c>
      <c r="X850" s="215"/>
      <c r="Y850" s="216">
        <v>0</v>
      </c>
      <c r="Z850" s="216">
        <v>0</v>
      </c>
      <c r="AA850" s="263"/>
      <c r="AB850" s="305"/>
      <c r="AC850" s="214"/>
    </row>
    <row r="851" spans="1:29" s="182" customFormat="1" hidden="1" x14ac:dyDescent="0.25">
      <c r="A851" s="131">
        <v>1</v>
      </c>
      <c r="B851" s="136">
        <v>1404005</v>
      </c>
      <c r="C851" s="128" t="s">
        <v>934</v>
      </c>
      <c r="D851" s="129" t="s">
        <v>1015</v>
      </c>
      <c r="E851" s="147" t="s">
        <v>38</v>
      </c>
      <c r="F851" s="129" t="s">
        <v>1016</v>
      </c>
      <c r="G851" s="147" t="s">
        <v>1731</v>
      </c>
      <c r="H851" s="191">
        <f t="shared" si="14"/>
        <v>0</v>
      </c>
      <c r="I851" s="225"/>
      <c r="J851" s="149"/>
      <c r="K851" s="147">
        <v>11</v>
      </c>
      <c r="L851" s="147">
        <v>1</v>
      </c>
      <c r="M851" s="147">
        <v>12</v>
      </c>
      <c r="N851" s="289"/>
      <c r="O851" s="196"/>
      <c r="P851" s="180"/>
      <c r="Q851" s="174"/>
      <c r="R851" s="206">
        <v>0</v>
      </c>
      <c r="S851" s="168"/>
      <c r="T851" s="129"/>
      <c r="U851" s="147" t="s">
        <v>37</v>
      </c>
      <c r="V851" s="129"/>
      <c r="W851" s="163" t="s">
        <v>54</v>
      </c>
      <c r="X851" s="215"/>
      <c r="Y851" s="216">
        <v>0</v>
      </c>
      <c r="Z851" s="216">
        <v>0</v>
      </c>
      <c r="AA851" s="263"/>
      <c r="AB851" s="155"/>
      <c r="AC851" s="212"/>
    </row>
    <row r="852" spans="1:29" s="182" customFormat="1" hidden="1" x14ac:dyDescent="0.25">
      <c r="A852" s="131">
        <v>1</v>
      </c>
      <c r="B852" s="136">
        <v>1404006</v>
      </c>
      <c r="C852" s="128" t="s">
        <v>934</v>
      </c>
      <c r="D852" s="129" t="s">
        <v>1017</v>
      </c>
      <c r="E852" s="147" t="s">
        <v>38</v>
      </c>
      <c r="F852" s="129" t="s">
        <v>1018</v>
      </c>
      <c r="G852" s="147" t="s">
        <v>1731</v>
      </c>
      <c r="H852" s="191">
        <f t="shared" si="14"/>
        <v>0</v>
      </c>
      <c r="I852" s="225"/>
      <c r="J852" s="149"/>
      <c r="K852" s="147">
        <v>11</v>
      </c>
      <c r="L852" s="147">
        <v>1</v>
      </c>
      <c r="M852" s="147">
        <v>12</v>
      </c>
      <c r="N852" s="289"/>
      <c r="O852" s="196"/>
      <c r="P852" s="180"/>
      <c r="Q852" s="174"/>
      <c r="R852" s="206">
        <v>0</v>
      </c>
      <c r="S852" s="168"/>
      <c r="T852" s="129"/>
      <c r="U852" s="147" t="s">
        <v>37</v>
      </c>
      <c r="V852" s="129"/>
      <c r="W852" s="163" t="s">
        <v>54</v>
      </c>
      <c r="X852" s="215"/>
      <c r="Y852" s="216">
        <v>0</v>
      </c>
      <c r="Z852" s="216">
        <v>0</v>
      </c>
      <c r="AA852" s="263"/>
      <c r="AB852" s="155"/>
      <c r="AC852" s="212"/>
    </row>
    <row r="853" spans="1:29" s="182" customFormat="1" hidden="1" x14ac:dyDescent="0.25">
      <c r="A853" s="131">
        <v>1</v>
      </c>
      <c r="B853" s="136">
        <v>1404007</v>
      </c>
      <c r="C853" s="128" t="s">
        <v>934</v>
      </c>
      <c r="D853" s="129" t="s">
        <v>1019</v>
      </c>
      <c r="E853" s="147" t="s">
        <v>38</v>
      </c>
      <c r="F853" s="129" t="s">
        <v>1018</v>
      </c>
      <c r="G853" s="147" t="s">
        <v>1731</v>
      </c>
      <c r="H853" s="191">
        <f t="shared" si="14"/>
        <v>0</v>
      </c>
      <c r="I853" s="225"/>
      <c r="J853" s="149"/>
      <c r="K853" s="147">
        <v>11</v>
      </c>
      <c r="L853" s="147">
        <v>1</v>
      </c>
      <c r="M853" s="147">
        <v>12</v>
      </c>
      <c r="N853" s="289"/>
      <c r="O853" s="196"/>
      <c r="P853" s="180"/>
      <c r="Q853" s="174"/>
      <c r="R853" s="206">
        <v>0</v>
      </c>
      <c r="S853" s="168"/>
      <c r="T853" s="129"/>
      <c r="U853" s="147" t="s">
        <v>37</v>
      </c>
      <c r="V853" s="129"/>
      <c r="W853" s="163" t="s">
        <v>54</v>
      </c>
      <c r="X853" s="215"/>
      <c r="Y853" s="216">
        <v>0</v>
      </c>
      <c r="Z853" s="216">
        <v>0</v>
      </c>
      <c r="AA853" s="263"/>
      <c r="AB853" s="155"/>
      <c r="AC853" s="212"/>
    </row>
    <row r="854" spans="1:29" s="182" customFormat="1" hidden="1" x14ac:dyDescent="0.25">
      <c r="A854" s="131">
        <v>1</v>
      </c>
      <c r="B854" s="136">
        <v>1404008</v>
      </c>
      <c r="C854" s="128" t="s">
        <v>934</v>
      </c>
      <c r="D854" s="129" t="s">
        <v>1020</v>
      </c>
      <c r="E854" s="147" t="s">
        <v>38</v>
      </c>
      <c r="F854" s="129" t="s">
        <v>1018</v>
      </c>
      <c r="G854" s="147" t="s">
        <v>1731</v>
      </c>
      <c r="H854" s="191">
        <f t="shared" si="14"/>
        <v>0</v>
      </c>
      <c r="I854" s="225"/>
      <c r="J854" s="149"/>
      <c r="K854" s="147">
        <v>11</v>
      </c>
      <c r="L854" s="147">
        <v>1</v>
      </c>
      <c r="M854" s="147">
        <v>12</v>
      </c>
      <c r="N854" s="289"/>
      <c r="O854" s="196"/>
      <c r="P854" s="180"/>
      <c r="Q854" s="174"/>
      <c r="R854" s="206">
        <v>0</v>
      </c>
      <c r="S854" s="168"/>
      <c r="T854" s="129"/>
      <c r="U854" s="147" t="s">
        <v>37</v>
      </c>
      <c r="V854" s="129"/>
      <c r="W854" s="163" t="s">
        <v>54</v>
      </c>
      <c r="X854" s="215"/>
      <c r="Y854" s="216">
        <v>0</v>
      </c>
      <c r="Z854" s="216">
        <v>0</v>
      </c>
      <c r="AA854" s="263"/>
      <c r="AB854" s="155"/>
      <c r="AC854" s="212"/>
    </row>
    <row r="855" spans="1:29" s="182" customFormat="1" hidden="1" x14ac:dyDescent="0.25">
      <c r="A855" s="131">
        <v>1</v>
      </c>
      <c r="B855" s="136">
        <v>1404009</v>
      </c>
      <c r="C855" s="128" t="s">
        <v>934</v>
      </c>
      <c r="D855" s="129" t="s">
        <v>1021</v>
      </c>
      <c r="E855" s="147" t="s">
        <v>38</v>
      </c>
      <c r="F855" s="129" t="s">
        <v>1016</v>
      </c>
      <c r="G855" s="147" t="s">
        <v>1731</v>
      </c>
      <c r="H855" s="191">
        <f t="shared" si="14"/>
        <v>0</v>
      </c>
      <c r="I855" s="225"/>
      <c r="J855" s="149"/>
      <c r="K855" s="147">
        <v>11</v>
      </c>
      <c r="L855" s="147">
        <v>1</v>
      </c>
      <c r="M855" s="147">
        <v>12</v>
      </c>
      <c r="N855" s="289"/>
      <c r="O855" s="196"/>
      <c r="P855" s="180"/>
      <c r="Q855" s="174"/>
      <c r="R855" s="206">
        <v>0</v>
      </c>
      <c r="S855" s="168"/>
      <c r="T855" s="129"/>
      <c r="U855" s="147" t="s">
        <v>37</v>
      </c>
      <c r="V855" s="129"/>
      <c r="W855" s="163" t="s">
        <v>54</v>
      </c>
      <c r="X855" s="215"/>
      <c r="Y855" s="216">
        <v>0</v>
      </c>
      <c r="Z855" s="216">
        <v>0</v>
      </c>
      <c r="AA855" s="263"/>
      <c r="AB855" s="155"/>
      <c r="AC855" s="212"/>
    </row>
    <row r="856" spans="1:29" s="182" customFormat="1" hidden="1" x14ac:dyDescent="0.25">
      <c r="A856" s="131">
        <v>1</v>
      </c>
      <c r="B856" s="129">
        <v>1404010</v>
      </c>
      <c r="C856" s="128" t="s">
        <v>934</v>
      </c>
      <c r="D856" s="127" t="s">
        <v>1022</v>
      </c>
      <c r="E856" s="147" t="s">
        <v>38</v>
      </c>
      <c r="F856" s="129" t="s">
        <v>1023</v>
      </c>
      <c r="G856" s="147" t="s">
        <v>1731</v>
      </c>
      <c r="H856" s="191">
        <f t="shared" si="14"/>
        <v>0</v>
      </c>
      <c r="I856" s="225"/>
      <c r="J856" s="149"/>
      <c r="K856" s="147"/>
      <c r="L856" s="147"/>
      <c r="M856" s="147">
        <v>6</v>
      </c>
      <c r="N856" s="289">
        <v>5076</v>
      </c>
      <c r="O856" s="196"/>
      <c r="P856" s="180"/>
      <c r="Q856" s="174"/>
      <c r="R856" s="206">
        <v>0</v>
      </c>
      <c r="S856" s="168"/>
      <c r="T856" s="129" t="s">
        <v>36</v>
      </c>
      <c r="U856" s="147" t="s">
        <v>37</v>
      </c>
      <c r="V856" s="129"/>
      <c r="W856" s="163" t="s">
        <v>54</v>
      </c>
      <c r="X856" s="215"/>
      <c r="Y856" s="216">
        <v>0</v>
      </c>
      <c r="Z856" s="216">
        <v>0</v>
      </c>
      <c r="AA856" s="263"/>
      <c r="AB856" s="155"/>
      <c r="AC856" s="212"/>
    </row>
    <row r="857" spans="1:29" s="182" customFormat="1" hidden="1" x14ac:dyDescent="0.25">
      <c r="A857" s="131"/>
      <c r="B857" s="129">
        <v>1404013</v>
      </c>
      <c r="C857" s="128" t="s">
        <v>934</v>
      </c>
      <c r="D857" s="127" t="s">
        <v>1030</v>
      </c>
      <c r="E857" s="147" t="s">
        <v>38</v>
      </c>
      <c r="F857" s="129" t="s">
        <v>1796</v>
      </c>
      <c r="G857" s="147" t="s">
        <v>1731</v>
      </c>
      <c r="H857" s="191">
        <f t="shared" si="14"/>
        <v>0.39999999999999997</v>
      </c>
      <c r="I857" s="235" t="s">
        <v>2084</v>
      </c>
      <c r="J857" s="148">
        <v>30</v>
      </c>
      <c r="K857" s="147">
        <v>2</v>
      </c>
      <c r="L857" s="147">
        <v>2</v>
      </c>
      <c r="M857" s="147">
        <v>4</v>
      </c>
      <c r="N857" s="289"/>
      <c r="O857" s="196">
        <v>0.33</v>
      </c>
      <c r="P857" s="180">
        <v>45359</v>
      </c>
      <c r="Q857" s="174">
        <v>0.35</v>
      </c>
      <c r="R857" s="205">
        <v>0.05</v>
      </c>
      <c r="S857" s="168"/>
      <c r="T857" s="129"/>
      <c r="U857" s="147" t="s">
        <v>37</v>
      </c>
      <c r="V857" s="129"/>
      <c r="W857" s="147" t="s">
        <v>2214</v>
      </c>
      <c r="X857" s="215"/>
      <c r="Y857" s="216">
        <v>0</v>
      </c>
      <c r="Z857" s="216">
        <v>0</v>
      </c>
      <c r="AA857" s="263"/>
      <c r="AB857" s="305"/>
      <c r="AC857" s="214"/>
    </row>
    <row r="858" spans="1:29" s="182" customFormat="1" hidden="1" x14ac:dyDescent="0.25">
      <c r="A858" s="131">
        <v>1</v>
      </c>
      <c r="B858" s="129">
        <v>1404015</v>
      </c>
      <c r="C858" s="128" t="s">
        <v>934</v>
      </c>
      <c r="D858" s="127" t="s">
        <v>1032</v>
      </c>
      <c r="E858" s="147" t="s">
        <v>38</v>
      </c>
      <c r="F858" s="129" t="s">
        <v>1033</v>
      </c>
      <c r="G858" s="147" t="s">
        <v>1731</v>
      </c>
      <c r="H858" s="191">
        <f t="shared" si="14"/>
        <v>0</v>
      </c>
      <c r="I858" s="225"/>
      <c r="J858" s="149"/>
      <c r="K858" s="147"/>
      <c r="L858" s="147"/>
      <c r="M858" s="147">
        <v>1</v>
      </c>
      <c r="N858" s="289">
        <v>50000</v>
      </c>
      <c r="O858" s="196"/>
      <c r="P858" s="180"/>
      <c r="Q858" s="174"/>
      <c r="R858" s="206">
        <v>0</v>
      </c>
      <c r="S858" s="172"/>
      <c r="T858" s="129" t="s">
        <v>36</v>
      </c>
      <c r="U858" s="147" t="s">
        <v>37</v>
      </c>
      <c r="V858" s="129"/>
      <c r="W858" s="163" t="s">
        <v>54</v>
      </c>
      <c r="X858" s="215"/>
      <c r="Y858" s="216">
        <v>0</v>
      </c>
      <c r="Z858" s="216">
        <v>0</v>
      </c>
      <c r="AA858" s="263"/>
      <c r="AB858" s="155"/>
      <c r="AC858" s="212"/>
    </row>
    <row r="859" spans="1:29" s="182" customFormat="1" hidden="1" x14ac:dyDescent="0.25">
      <c r="A859" s="131">
        <v>1</v>
      </c>
      <c r="B859" s="129">
        <v>1404016</v>
      </c>
      <c r="C859" s="128" t="s">
        <v>934</v>
      </c>
      <c r="D859" s="129" t="s">
        <v>1034</v>
      </c>
      <c r="E859" s="147" t="s">
        <v>38</v>
      </c>
      <c r="F859" s="129" t="s">
        <v>1018</v>
      </c>
      <c r="G859" s="147" t="s">
        <v>1731</v>
      </c>
      <c r="H859" s="191">
        <f t="shared" si="14"/>
        <v>0</v>
      </c>
      <c r="I859" s="225"/>
      <c r="J859" s="149"/>
      <c r="K859" s="147">
        <v>11</v>
      </c>
      <c r="L859" s="147">
        <v>1</v>
      </c>
      <c r="M859" s="147">
        <v>12</v>
      </c>
      <c r="N859" s="289"/>
      <c r="O859" s="196"/>
      <c r="P859" s="180"/>
      <c r="Q859" s="174"/>
      <c r="R859" s="206">
        <v>0</v>
      </c>
      <c r="S859" s="168"/>
      <c r="T859" s="129"/>
      <c r="U859" s="147" t="s">
        <v>37</v>
      </c>
      <c r="V859" s="129"/>
      <c r="W859" s="163" t="s">
        <v>54</v>
      </c>
      <c r="X859" s="215"/>
      <c r="Y859" s="216">
        <v>0</v>
      </c>
      <c r="Z859" s="216">
        <v>0</v>
      </c>
      <c r="AA859" s="263"/>
      <c r="AB859" s="155"/>
      <c r="AC859" s="212"/>
    </row>
    <row r="860" spans="1:29" s="182" customFormat="1" hidden="1" x14ac:dyDescent="0.25">
      <c r="A860" s="131">
        <v>1</v>
      </c>
      <c r="B860" s="129">
        <v>1404020</v>
      </c>
      <c r="C860" s="128" t="s">
        <v>934</v>
      </c>
      <c r="D860" s="129" t="s">
        <v>1035</v>
      </c>
      <c r="E860" s="147" t="s">
        <v>38</v>
      </c>
      <c r="F860" s="129" t="s">
        <v>206</v>
      </c>
      <c r="G860" s="147" t="s">
        <v>1731</v>
      </c>
      <c r="H860" s="191">
        <f t="shared" si="14"/>
        <v>0</v>
      </c>
      <c r="I860" s="225"/>
      <c r="J860" s="149"/>
      <c r="K860" s="147">
        <v>11</v>
      </c>
      <c r="L860" s="147">
        <v>1</v>
      </c>
      <c r="M860" s="147">
        <v>12</v>
      </c>
      <c r="N860" s="289"/>
      <c r="O860" s="196"/>
      <c r="P860" s="180"/>
      <c r="Q860" s="174"/>
      <c r="R860" s="206">
        <v>0</v>
      </c>
      <c r="S860" s="168"/>
      <c r="T860" s="129"/>
      <c r="U860" s="147" t="s">
        <v>37</v>
      </c>
      <c r="V860" s="129"/>
      <c r="W860" s="163" t="s">
        <v>54</v>
      </c>
      <c r="X860" s="215"/>
      <c r="Y860" s="216">
        <v>0</v>
      </c>
      <c r="Z860" s="216">
        <v>0</v>
      </c>
      <c r="AA860" s="263"/>
      <c r="AB860" s="155"/>
      <c r="AC860" s="212"/>
    </row>
    <row r="861" spans="1:29" s="182" customFormat="1" hidden="1" x14ac:dyDescent="0.25">
      <c r="A861" s="131">
        <v>1</v>
      </c>
      <c r="B861" s="129">
        <v>1404021</v>
      </c>
      <c r="C861" s="128" t="s">
        <v>934</v>
      </c>
      <c r="D861" s="129" t="s">
        <v>1036</v>
      </c>
      <c r="E861" s="147" t="s">
        <v>38</v>
      </c>
      <c r="F861" s="129" t="s">
        <v>1796</v>
      </c>
      <c r="G861" s="147" t="s">
        <v>1731</v>
      </c>
      <c r="H861" s="191">
        <f t="shared" si="14"/>
        <v>0</v>
      </c>
      <c r="I861" s="134" t="s">
        <v>2084</v>
      </c>
      <c r="J861" s="148">
        <v>30</v>
      </c>
      <c r="K861" s="147">
        <v>16</v>
      </c>
      <c r="L861" s="147">
        <v>1</v>
      </c>
      <c r="M861" s="147">
        <v>17</v>
      </c>
      <c r="N861" s="289"/>
      <c r="O861" s="196"/>
      <c r="P861" s="180"/>
      <c r="Q861" s="174"/>
      <c r="R861" s="206">
        <v>0</v>
      </c>
      <c r="S861" s="168"/>
      <c r="T861" s="129"/>
      <c r="U861" s="147" t="s">
        <v>37</v>
      </c>
      <c r="V861" s="129"/>
      <c r="W861" s="163" t="s">
        <v>54</v>
      </c>
      <c r="X861" s="215"/>
      <c r="Y861" s="216">
        <v>0</v>
      </c>
      <c r="Z861" s="216">
        <v>0</v>
      </c>
      <c r="AA861" s="263"/>
      <c r="AB861" s="305"/>
      <c r="AC861" s="214"/>
    </row>
    <row r="862" spans="1:29" s="182" customFormat="1" ht="24" hidden="1" x14ac:dyDescent="0.25">
      <c r="A862" s="131">
        <v>1</v>
      </c>
      <c r="B862" s="129">
        <v>1404022</v>
      </c>
      <c r="C862" s="128" t="s">
        <v>934</v>
      </c>
      <c r="D862" s="129" t="s">
        <v>1593</v>
      </c>
      <c r="E862" s="147" t="s">
        <v>38</v>
      </c>
      <c r="F862" s="129" t="s">
        <v>1585</v>
      </c>
      <c r="G862" s="147" t="s">
        <v>34</v>
      </c>
      <c r="H862" s="191">
        <f t="shared" si="14"/>
        <v>0</v>
      </c>
      <c r="I862" s="134"/>
      <c r="J862" s="150"/>
      <c r="K862" s="147"/>
      <c r="L862" s="147"/>
      <c r="M862" s="147">
        <v>2</v>
      </c>
      <c r="N862" s="289"/>
      <c r="O862" s="196"/>
      <c r="P862" s="180"/>
      <c r="Q862" s="174"/>
      <c r="R862" s="205">
        <v>0</v>
      </c>
      <c r="S862" s="165" t="s">
        <v>35</v>
      </c>
      <c r="T862" s="128" t="s">
        <v>1588</v>
      </c>
      <c r="U862" s="147" t="s">
        <v>37</v>
      </c>
      <c r="V862" s="129"/>
      <c r="W862" s="147" t="s">
        <v>2214</v>
      </c>
      <c r="X862" s="215"/>
      <c r="Y862" s="216">
        <v>0</v>
      </c>
      <c r="Z862" s="216">
        <v>0</v>
      </c>
      <c r="AA862" s="263"/>
      <c r="AB862" s="155"/>
      <c r="AC862" s="212"/>
    </row>
    <row r="863" spans="1:29" s="182" customFormat="1" ht="24" hidden="1" x14ac:dyDescent="0.25">
      <c r="A863" s="131">
        <v>1</v>
      </c>
      <c r="B863" s="129">
        <v>1404023</v>
      </c>
      <c r="C863" s="128" t="s">
        <v>934</v>
      </c>
      <c r="D863" s="129" t="s">
        <v>1595</v>
      </c>
      <c r="E863" s="147" t="s">
        <v>38</v>
      </c>
      <c r="F863" s="129" t="s">
        <v>1585</v>
      </c>
      <c r="G863" s="147" t="s">
        <v>34</v>
      </c>
      <c r="H863" s="191">
        <f t="shared" si="14"/>
        <v>0</v>
      </c>
      <c r="I863" s="134"/>
      <c r="J863" s="150"/>
      <c r="K863" s="147"/>
      <c r="L863" s="147"/>
      <c r="M863" s="147">
        <v>2</v>
      </c>
      <c r="N863" s="289"/>
      <c r="O863" s="196"/>
      <c r="P863" s="180"/>
      <c r="Q863" s="174"/>
      <c r="R863" s="205">
        <v>0</v>
      </c>
      <c r="S863" s="165" t="s">
        <v>35</v>
      </c>
      <c r="T863" s="128" t="s">
        <v>1588</v>
      </c>
      <c r="U863" s="147" t="s">
        <v>37</v>
      </c>
      <c r="V863" s="129"/>
      <c r="W863" s="147" t="s">
        <v>2214</v>
      </c>
      <c r="X863" s="215"/>
      <c r="Y863" s="216">
        <v>0</v>
      </c>
      <c r="Z863" s="216">
        <v>0</v>
      </c>
      <c r="AA863" s="263"/>
      <c r="AB863" s="155"/>
      <c r="AC863" s="212"/>
    </row>
    <row r="864" spans="1:29" s="182" customFormat="1" ht="24" hidden="1" x14ac:dyDescent="0.25">
      <c r="A864" s="131">
        <v>1</v>
      </c>
      <c r="B864" s="129">
        <v>1404024</v>
      </c>
      <c r="C864" s="128" t="s">
        <v>934</v>
      </c>
      <c r="D864" s="129" t="s">
        <v>1594</v>
      </c>
      <c r="E864" s="147" t="s">
        <v>38</v>
      </c>
      <c r="F864" s="129" t="s">
        <v>1585</v>
      </c>
      <c r="G864" s="147" t="s">
        <v>34</v>
      </c>
      <c r="H864" s="191">
        <f t="shared" si="14"/>
        <v>0</v>
      </c>
      <c r="I864" s="134"/>
      <c r="J864" s="150"/>
      <c r="K864" s="147"/>
      <c r="L864" s="147"/>
      <c r="M864" s="147">
        <v>2</v>
      </c>
      <c r="N864" s="289"/>
      <c r="O864" s="196"/>
      <c r="P864" s="180"/>
      <c r="Q864" s="174"/>
      <c r="R864" s="205">
        <v>0</v>
      </c>
      <c r="S864" s="165" t="s">
        <v>35</v>
      </c>
      <c r="T864" s="128" t="s">
        <v>1588</v>
      </c>
      <c r="U864" s="147" t="s">
        <v>37</v>
      </c>
      <c r="V864" s="129"/>
      <c r="W864" s="147" t="s">
        <v>2214</v>
      </c>
      <c r="X864" s="215"/>
      <c r="Y864" s="216">
        <v>0</v>
      </c>
      <c r="Z864" s="216">
        <v>0</v>
      </c>
      <c r="AA864" s="263"/>
      <c r="AB864" s="155"/>
      <c r="AC864" s="212"/>
    </row>
    <row r="865" spans="1:29" s="182" customFormat="1" ht="24" hidden="1" x14ac:dyDescent="0.25">
      <c r="A865" s="131">
        <v>1</v>
      </c>
      <c r="B865" s="129">
        <v>1404025</v>
      </c>
      <c r="C865" s="128" t="s">
        <v>934</v>
      </c>
      <c r="D865" s="129" t="s">
        <v>1596</v>
      </c>
      <c r="E865" s="147" t="s">
        <v>38</v>
      </c>
      <c r="F865" s="129" t="s">
        <v>1585</v>
      </c>
      <c r="G865" s="147" t="s">
        <v>34</v>
      </c>
      <c r="H865" s="191">
        <f t="shared" si="14"/>
        <v>0</v>
      </c>
      <c r="I865" s="134"/>
      <c r="J865" s="150"/>
      <c r="K865" s="147"/>
      <c r="L865" s="147"/>
      <c r="M865" s="147">
        <v>2</v>
      </c>
      <c r="N865" s="289"/>
      <c r="O865" s="196"/>
      <c r="P865" s="180"/>
      <c r="Q865" s="174"/>
      <c r="R865" s="205">
        <v>0</v>
      </c>
      <c r="S865" s="165" t="s">
        <v>35</v>
      </c>
      <c r="T865" s="128" t="s">
        <v>1588</v>
      </c>
      <c r="U865" s="147" t="s">
        <v>37</v>
      </c>
      <c r="V865" s="129"/>
      <c r="W865" s="147" t="s">
        <v>2214</v>
      </c>
      <c r="X865" s="215"/>
      <c r="Y865" s="216">
        <v>0</v>
      </c>
      <c r="Z865" s="216">
        <v>0</v>
      </c>
      <c r="AA865" s="263"/>
      <c r="AB865" s="155"/>
      <c r="AC865" s="212"/>
    </row>
    <row r="866" spans="1:29" s="182" customFormat="1" hidden="1" x14ac:dyDescent="0.25">
      <c r="A866" s="131">
        <v>1</v>
      </c>
      <c r="B866" s="136">
        <v>1405000</v>
      </c>
      <c r="C866" s="128" t="s">
        <v>934</v>
      </c>
      <c r="D866" s="129" t="s">
        <v>1038</v>
      </c>
      <c r="E866" s="147" t="s">
        <v>38</v>
      </c>
      <c r="F866" s="129" t="s">
        <v>1039</v>
      </c>
      <c r="G866" s="147" t="s">
        <v>1731</v>
      </c>
      <c r="H866" s="191">
        <f t="shared" si="14"/>
        <v>0</v>
      </c>
      <c r="I866" s="225"/>
      <c r="J866" s="149"/>
      <c r="K866" s="147">
        <v>11</v>
      </c>
      <c r="L866" s="147">
        <v>1</v>
      </c>
      <c r="M866" s="147">
        <v>12</v>
      </c>
      <c r="N866" s="289"/>
      <c r="O866" s="196"/>
      <c r="P866" s="180"/>
      <c r="Q866" s="174"/>
      <c r="R866" s="206">
        <v>0</v>
      </c>
      <c r="S866" s="168"/>
      <c r="T866" s="129" t="s">
        <v>64</v>
      </c>
      <c r="U866" s="147" t="s">
        <v>37</v>
      </c>
      <c r="V866" s="129"/>
      <c r="W866" s="177" t="s">
        <v>2531</v>
      </c>
      <c r="X866" s="215"/>
      <c r="Y866" s="216">
        <v>0</v>
      </c>
      <c r="Z866" s="216">
        <v>0</v>
      </c>
      <c r="AA866" s="263"/>
      <c r="AB866" s="155"/>
      <c r="AC866" s="212"/>
    </row>
    <row r="867" spans="1:29" s="182" customFormat="1" hidden="1" x14ac:dyDescent="0.25">
      <c r="A867" s="131">
        <v>1</v>
      </c>
      <c r="B867" s="136">
        <v>1405001</v>
      </c>
      <c r="C867" s="128" t="s">
        <v>934</v>
      </c>
      <c r="D867" s="127" t="s">
        <v>1042</v>
      </c>
      <c r="E867" s="147" t="s">
        <v>38</v>
      </c>
      <c r="F867" s="129" t="s">
        <v>1043</v>
      </c>
      <c r="G867" s="147" t="s">
        <v>1731</v>
      </c>
      <c r="H867" s="191">
        <f t="shared" si="14"/>
        <v>0</v>
      </c>
      <c r="I867" s="225"/>
      <c r="J867" s="149"/>
      <c r="K867" s="147">
        <v>11</v>
      </c>
      <c r="L867" s="147">
        <v>1</v>
      </c>
      <c r="M867" s="147">
        <v>12</v>
      </c>
      <c r="N867" s="289"/>
      <c r="O867" s="196"/>
      <c r="P867" s="180"/>
      <c r="Q867" s="174"/>
      <c r="R867" s="206">
        <v>0</v>
      </c>
      <c r="S867" s="168"/>
      <c r="T867" s="129" t="s">
        <v>64</v>
      </c>
      <c r="U867" s="147" t="s">
        <v>37</v>
      </c>
      <c r="V867" s="129"/>
      <c r="W867" s="163" t="s">
        <v>54</v>
      </c>
      <c r="X867" s="215"/>
      <c r="Y867" s="216">
        <v>0</v>
      </c>
      <c r="Z867" s="216">
        <v>0</v>
      </c>
      <c r="AA867" s="263"/>
      <c r="AB867" s="155"/>
      <c r="AC867" s="212"/>
    </row>
    <row r="868" spans="1:29" s="182" customFormat="1" hidden="1" x14ac:dyDescent="0.25">
      <c r="A868" s="131">
        <v>1</v>
      </c>
      <c r="B868" s="136">
        <v>1405002</v>
      </c>
      <c r="C868" s="128" t="s">
        <v>934</v>
      </c>
      <c r="D868" s="127" t="s">
        <v>1047</v>
      </c>
      <c r="E868" s="147" t="s">
        <v>38</v>
      </c>
      <c r="F868" s="129" t="s">
        <v>64</v>
      </c>
      <c r="G868" s="147" t="s">
        <v>1731</v>
      </c>
      <c r="H868" s="191">
        <f t="shared" si="14"/>
        <v>0</v>
      </c>
      <c r="I868" s="225"/>
      <c r="J868" s="149"/>
      <c r="K868" s="147">
        <v>11</v>
      </c>
      <c r="L868" s="147">
        <v>1</v>
      </c>
      <c r="M868" s="147">
        <v>12</v>
      </c>
      <c r="N868" s="289"/>
      <c r="O868" s="196"/>
      <c r="P868" s="180"/>
      <c r="Q868" s="174"/>
      <c r="R868" s="206">
        <v>0</v>
      </c>
      <c r="S868" s="168"/>
      <c r="T868" s="129" t="s">
        <v>64</v>
      </c>
      <c r="U868" s="147" t="s">
        <v>37</v>
      </c>
      <c r="V868" s="129"/>
      <c r="W868" s="177" t="s">
        <v>2531</v>
      </c>
      <c r="X868" s="215"/>
      <c r="Y868" s="216">
        <v>0</v>
      </c>
      <c r="Z868" s="216">
        <v>0</v>
      </c>
      <c r="AA868" s="263"/>
      <c r="AB868" s="155"/>
      <c r="AC868" s="212"/>
    </row>
    <row r="869" spans="1:29" s="182" customFormat="1" hidden="1" x14ac:dyDescent="0.25">
      <c r="A869" s="131">
        <v>1</v>
      </c>
      <c r="B869" s="136">
        <v>1405003</v>
      </c>
      <c r="C869" s="128" t="s">
        <v>934</v>
      </c>
      <c r="D869" s="127" t="s">
        <v>1048</v>
      </c>
      <c r="E869" s="147" t="s">
        <v>38</v>
      </c>
      <c r="F869" s="129" t="s">
        <v>1043</v>
      </c>
      <c r="G869" s="147" t="s">
        <v>1731</v>
      </c>
      <c r="H869" s="191">
        <f t="shared" si="14"/>
        <v>0</v>
      </c>
      <c r="I869" s="225"/>
      <c r="J869" s="149"/>
      <c r="K869" s="147">
        <v>11</v>
      </c>
      <c r="L869" s="147">
        <v>1</v>
      </c>
      <c r="M869" s="147">
        <v>12</v>
      </c>
      <c r="N869" s="289"/>
      <c r="O869" s="196"/>
      <c r="P869" s="180"/>
      <c r="Q869" s="174"/>
      <c r="R869" s="206">
        <v>0</v>
      </c>
      <c r="S869" s="168"/>
      <c r="T869" s="129" t="s">
        <v>64</v>
      </c>
      <c r="U869" s="147" t="s">
        <v>37</v>
      </c>
      <c r="V869" s="129"/>
      <c r="W869" s="163" t="s">
        <v>54</v>
      </c>
      <c r="X869" s="215"/>
      <c r="Y869" s="216">
        <v>0</v>
      </c>
      <c r="Z869" s="216">
        <v>0</v>
      </c>
      <c r="AA869" s="263"/>
      <c r="AB869" s="155"/>
      <c r="AC869" s="212"/>
    </row>
    <row r="870" spans="1:29" s="182" customFormat="1" hidden="1" x14ac:dyDescent="0.25">
      <c r="A870" s="131">
        <v>1</v>
      </c>
      <c r="B870" s="136">
        <v>1405004</v>
      </c>
      <c r="C870" s="128" t="s">
        <v>934</v>
      </c>
      <c r="D870" s="127" t="s">
        <v>1050</v>
      </c>
      <c r="E870" s="147" t="s">
        <v>38</v>
      </c>
      <c r="F870" s="129" t="s">
        <v>1043</v>
      </c>
      <c r="G870" s="147" t="s">
        <v>1731</v>
      </c>
      <c r="H870" s="191">
        <f t="shared" si="14"/>
        <v>0</v>
      </c>
      <c r="I870" s="225"/>
      <c r="J870" s="149"/>
      <c r="K870" s="147">
        <v>11</v>
      </c>
      <c r="L870" s="147">
        <v>1</v>
      </c>
      <c r="M870" s="147">
        <v>12</v>
      </c>
      <c r="N870" s="289"/>
      <c r="O870" s="196"/>
      <c r="P870" s="180"/>
      <c r="Q870" s="174"/>
      <c r="R870" s="206">
        <v>0</v>
      </c>
      <c r="S870" s="168"/>
      <c r="T870" s="129" t="s">
        <v>64</v>
      </c>
      <c r="U870" s="147" t="s">
        <v>37</v>
      </c>
      <c r="V870" s="129"/>
      <c r="W870" s="163" t="s">
        <v>54</v>
      </c>
      <c r="X870" s="215"/>
      <c r="Y870" s="216">
        <v>0</v>
      </c>
      <c r="Z870" s="216">
        <v>0</v>
      </c>
      <c r="AA870" s="263"/>
      <c r="AB870" s="155"/>
      <c r="AC870" s="212"/>
    </row>
    <row r="871" spans="1:29" s="182" customFormat="1" hidden="1" x14ac:dyDescent="0.25">
      <c r="A871" s="131">
        <v>1</v>
      </c>
      <c r="B871" s="136">
        <v>1405005</v>
      </c>
      <c r="C871" s="128" t="s">
        <v>934</v>
      </c>
      <c r="D871" s="127" t="s">
        <v>1051</v>
      </c>
      <c r="E871" s="147" t="s">
        <v>38</v>
      </c>
      <c r="F871" s="138" t="s">
        <v>57</v>
      </c>
      <c r="G871" s="147" t="s">
        <v>1731</v>
      </c>
      <c r="H871" s="191">
        <f t="shared" si="14"/>
        <v>0</v>
      </c>
      <c r="I871" s="225"/>
      <c r="J871" s="149"/>
      <c r="K871" s="147">
        <v>12</v>
      </c>
      <c r="L871" s="147">
        <v>1</v>
      </c>
      <c r="M871" s="147">
        <v>13</v>
      </c>
      <c r="N871" s="289"/>
      <c r="O871" s="196"/>
      <c r="P871" s="180"/>
      <c r="Q871" s="174"/>
      <c r="R871" s="206">
        <v>0</v>
      </c>
      <c r="S871" s="168"/>
      <c r="T871" s="138" t="s">
        <v>57</v>
      </c>
      <c r="U871" s="147" t="s">
        <v>37</v>
      </c>
      <c r="V871" s="129"/>
      <c r="W871" s="163" t="s">
        <v>54</v>
      </c>
      <c r="X871" s="215"/>
      <c r="Y871" s="216">
        <v>0</v>
      </c>
      <c r="Z871" s="216">
        <v>0</v>
      </c>
      <c r="AA871" s="263"/>
      <c r="AB871" s="155"/>
      <c r="AC871" s="212"/>
    </row>
    <row r="872" spans="1:29" s="182" customFormat="1" hidden="1" x14ac:dyDescent="0.25">
      <c r="A872" s="131">
        <v>1</v>
      </c>
      <c r="B872" s="136">
        <v>1405006</v>
      </c>
      <c r="C872" s="128" t="s">
        <v>934</v>
      </c>
      <c r="D872" s="127" t="s">
        <v>1052</v>
      </c>
      <c r="E872" s="147" t="s">
        <v>38</v>
      </c>
      <c r="F872" s="129" t="s">
        <v>966</v>
      </c>
      <c r="G872" s="147" t="s">
        <v>1731</v>
      </c>
      <c r="H872" s="191">
        <f t="shared" si="14"/>
        <v>0</v>
      </c>
      <c r="I872" s="225"/>
      <c r="J872" s="149"/>
      <c r="K872" s="147">
        <v>11</v>
      </c>
      <c r="L872" s="147">
        <v>1</v>
      </c>
      <c r="M872" s="147">
        <v>12</v>
      </c>
      <c r="N872" s="289"/>
      <c r="O872" s="196"/>
      <c r="P872" s="180"/>
      <c r="Q872" s="174"/>
      <c r="R872" s="206">
        <v>0</v>
      </c>
      <c r="S872" s="168"/>
      <c r="T872" s="129" t="s">
        <v>2210</v>
      </c>
      <c r="U872" s="147" t="s">
        <v>37</v>
      </c>
      <c r="V872" s="129"/>
      <c r="W872" s="163" t="s">
        <v>2531</v>
      </c>
      <c r="X872" s="215"/>
      <c r="Y872" s="216">
        <v>0</v>
      </c>
      <c r="Z872" s="216">
        <v>0</v>
      </c>
      <c r="AA872" s="263"/>
      <c r="AB872" s="155"/>
      <c r="AC872" s="212"/>
    </row>
    <row r="873" spans="1:29" s="182" customFormat="1" hidden="1" x14ac:dyDescent="0.25">
      <c r="A873" s="131">
        <v>1</v>
      </c>
      <c r="B873" s="136">
        <v>1405007</v>
      </c>
      <c r="C873" s="128" t="s">
        <v>934</v>
      </c>
      <c r="D873" s="127" t="s">
        <v>1053</v>
      </c>
      <c r="E873" s="147" t="s">
        <v>38</v>
      </c>
      <c r="F873" s="129" t="s">
        <v>1043</v>
      </c>
      <c r="G873" s="147" t="s">
        <v>1731</v>
      </c>
      <c r="H873" s="191">
        <f t="shared" si="14"/>
        <v>0</v>
      </c>
      <c r="I873" s="225"/>
      <c r="J873" s="149"/>
      <c r="K873" s="147">
        <v>11</v>
      </c>
      <c r="L873" s="147">
        <v>1</v>
      </c>
      <c r="M873" s="147">
        <v>12</v>
      </c>
      <c r="N873" s="289"/>
      <c r="O873" s="196"/>
      <c r="P873" s="180"/>
      <c r="Q873" s="174"/>
      <c r="R873" s="206">
        <v>0</v>
      </c>
      <c r="S873" s="168"/>
      <c r="T873" s="129" t="s">
        <v>64</v>
      </c>
      <c r="U873" s="147" t="s">
        <v>37</v>
      </c>
      <c r="V873" s="129"/>
      <c r="W873" s="163" t="s">
        <v>54</v>
      </c>
      <c r="X873" s="215"/>
      <c r="Y873" s="216">
        <v>0</v>
      </c>
      <c r="Z873" s="216">
        <v>0</v>
      </c>
      <c r="AA873" s="263"/>
      <c r="AB873" s="155"/>
      <c r="AC873" s="212"/>
    </row>
    <row r="874" spans="1:29" s="182" customFormat="1" hidden="1" x14ac:dyDescent="0.25">
      <c r="A874" s="131">
        <v>1</v>
      </c>
      <c r="B874" s="136">
        <v>1405008</v>
      </c>
      <c r="C874" s="128" t="s">
        <v>934</v>
      </c>
      <c r="D874" s="127" t="s">
        <v>1055</v>
      </c>
      <c r="E874" s="147" t="s">
        <v>38</v>
      </c>
      <c r="F874" s="129" t="s">
        <v>1043</v>
      </c>
      <c r="G874" s="147" t="s">
        <v>1731</v>
      </c>
      <c r="H874" s="191">
        <f t="shared" si="14"/>
        <v>0</v>
      </c>
      <c r="I874" s="225"/>
      <c r="J874" s="149"/>
      <c r="K874" s="147">
        <v>11</v>
      </c>
      <c r="L874" s="147">
        <v>1</v>
      </c>
      <c r="M874" s="147">
        <v>12</v>
      </c>
      <c r="N874" s="289"/>
      <c r="O874" s="196"/>
      <c r="P874" s="180"/>
      <c r="Q874" s="174"/>
      <c r="R874" s="206">
        <v>0</v>
      </c>
      <c r="S874" s="168"/>
      <c r="T874" s="129" t="s">
        <v>64</v>
      </c>
      <c r="U874" s="147" t="s">
        <v>37</v>
      </c>
      <c r="V874" s="129"/>
      <c r="W874" s="163" t="s">
        <v>54</v>
      </c>
      <c r="X874" s="215"/>
      <c r="Y874" s="216">
        <v>0</v>
      </c>
      <c r="Z874" s="216">
        <v>0</v>
      </c>
      <c r="AA874" s="263"/>
      <c r="AB874" s="155"/>
      <c r="AC874" s="212"/>
    </row>
    <row r="875" spans="1:29" s="182" customFormat="1" hidden="1" x14ac:dyDescent="0.25">
      <c r="A875" s="131">
        <v>1</v>
      </c>
      <c r="B875" s="136">
        <v>1405009</v>
      </c>
      <c r="C875" s="128" t="s">
        <v>934</v>
      </c>
      <c r="D875" s="127" t="s">
        <v>1056</v>
      </c>
      <c r="E875" s="147" t="s">
        <v>38</v>
      </c>
      <c r="F875" s="129" t="s">
        <v>1043</v>
      </c>
      <c r="G875" s="147" t="s">
        <v>1731</v>
      </c>
      <c r="H875" s="191">
        <f t="shared" si="14"/>
        <v>0</v>
      </c>
      <c r="I875" s="225"/>
      <c r="J875" s="149"/>
      <c r="K875" s="147">
        <v>11</v>
      </c>
      <c r="L875" s="147">
        <v>1</v>
      </c>
      <c r="M875" s="147">
        <v>12</v>
      </c>
      <c r="N875" s="289"/>
      <c r="O875" s="196"/>
      <c r="P875" s="180"/>
      <c r="Q875" s="174"/>
      <c r="R875" s="206">
        <v>0</v>
      </c>
      <c r="S875" s="168"/>
      <c r="T875" s="129" t="s">
        <v>64</v>
      </c>
      <c r="U875" s="147" t="s">
        <v>37</v>
      </c>
      <c r="V875" s="129"/>
      <c r="W875" s="163" t="s">
        <v>54</v>
      </c>
      <c r="X875" s="215"/>
      <c r="Y875" s="216">
        <v>0</v>
      </c>
      <c r="Z875" s="216">
        <v>0</v>
      </c>
      <c r="AA875" s="263"/>
      <c r="AB875" s="155"/>
      <c r="AC875" s="212"/>
    </row>
    <row r="876" spans="1:29" s="182" customFormat="1" hidden="1" x14ac:dyDescent="0.25">
      <c r="A876" s="131">
        <v>1</v>
      </c>
      <c r="B876" s="136">
        <v>1405010</v>
      </c>
      <c r="C876" s="128" t="s">
        <v>934</v>
      </c>
      <c r="D876" s="127" t="s">
        <v>1057</v>
      </c>
      <c r="E876" s="147" t="s">
        <v>38</v>
      </c>
      <c r="F876" s="129" t="s">
        <v>1043</v>
      </c>
      <c r="G876" s="147" t="s">
        <v>1731</v>
      </c>
      <c r="H876" s="191">
        <f t="shared" si="14"/>
        <v>0</v>
      </c>
      <c r="I876" s="225"/>
      <c r="J876" s="149"/>
      <c r="K876" s="147">
        <v>11</v>
      </c>
      <c r="L876" s="147">
        <v>1</v>
      </c>
      <c r="M876" s="147">
        <v>12</v>
      </c>
      <c r="N876" s="289"/>
      <c r="O876" s="196"/>
      <c r="P876" s="180"/>
      <c r="Q876" s="174"/>
      <c r="R876" s="206">
        <v>0</v>
      </c>
      <c r="S876" s="168"/>
      <c r="T876" s="129" t="s">
        <v>64</v>
      </c>
      <c r="U876" s="147" t="s">
        <v>37</v>
      </c>
      <c r="V876" s="129"/>
      <c r="W876" s="163" t="s">
        <v>54</v>
      </c>
      <c r="X876" s="215"/>
      <c r="Y876" s="216">
        <v>0</v>
      </c>
      <c r="Z876" s="216">
        <v>0</v>
      </c>
      <c r="AA876" s="263"/>
      <c r="AB876" s="155"/>
      <c r="AC876" s="212"/>
    </row>
    <row r="877" spans="1:29" s="182" customFormat="1" hidden="1" x14ac:dyDescent="0.25">
      <c r="A877" s="131">
        <v>1</v>
      </c>
      <c r="B877" s="136">
        <v>1405011</v>
      </c>
      <c r="C877" s="128" t="s">
        <v>934</v>
      </c>
      <c r="D877" s="127" t="s">
        <v>1058</v>
      </c>
      <c r="E877" s="147" t="s">
        <v>38</v>
      </c>
      <c r="F877" s="129" t="s">
        <v>1043</v>
      </c>
      <c r="G877" s="147" t="s">
        <v>1731</v>
      </c>
      <c r="H877" s="191">
        <f t="shared" si="14"/>
        <v>0</v>
      </c>
      <c r="I877" s="225"/>
      <c r="J877" s="149"/>
      <c r="K877" s="147">
        <v>11</v>
      </c>
      <c r="L877" s="147">
        <v>1</v>
      </c>
      <c r="M877" s="147">
        <v>12</v>
      </c>
      <c r="N877" s="289"/>
      <c r="O877" s="196"/>
      <c r="P877" s="180"/>
      <c r="Q877" s="174"/>
      <c r="R877" s="206">
        <v>0</v>
      </c>
      <c r="S877" s="168"/>
      <c r="T877" s="129" t="s">
        <v>64</v>
      </c>
      <c r="U877" s="147" t="s">
        <v>37</v>
      </c>
      <c r="V877" s="129"/>
      <c r="W877" s="163" t="s">
        <v>54</v>
      </c>
      <c r="X877" s="215"/>
      <c r="Y877" s="216">
        <v>0</v>
      </c>
      <c r="Z877" s="216">
        <v>0</v>
      </c>
      <c r="AA877" s="263"/>
      <c r="AB877" s="155"/>
      <c r="AC877" s="212"/>
    </row>
    <row r="878" spans="1:29" s="182" customFormat="1" hidden="1" x14ac:dyDescent="0.25">
      <c r="A878" s="131">
        <v>1</v>
      </c>
      <c r="B878" s="136">
        <v>1405012</v>
      </c>
      <c r="C878" s="128" t="s">
        <v>934</v>
      </c>
      <c r="D878" s="127" t="s">
        <v>1059</v>
      </c>
      <c r="E878" s="147" t="s">
        <v>38</v>
      </c>
      <c r="F878" s="129" t="s">
        <v>1043</v>
      </c>
      <c r="G878" s="147" t="s">
        <v>1731</v>
      </c>
      <c r="H878" s="191">
        <f t="shared" si="14"/>
        <v>0</v>
      </c>
      <c r="I878" s="225"/>
      <c r="J878" s="149"/>
      <c r="K878" s="147">
        <v>11</v>
      </c>
      <c r="L878" s="147">
        <v>1</v>
      </c>
      <c r="M878" s="147">
        <v>12</v>
      </c>
      <c r="N878" s="289"/>
      <c r="O878" s="196"/>
      <c r="P878" s="180"/>
      <c r="Q878" s="174"/>
      <c r="R878" s="206">
        <v>0</v>
      </c>
      <c r="S878" s="168"/>
      <c r="T878" s="129" t="s">
        <v>64</v>
      </c>
      <c r="U878" s="147" t="s">
        <v>37</v>
      </c>
      <c r="V878" s="129"/>
      <c r="W878" s="163" t="s">
        <v>54</v>
      </c>
      <c r="X878" s="215"/>
      <c r="Y878" s="216">
        <v>0</v>
      </c>
      <c r="Z878" s="216">
        <v>0</v>
      </c>
      <c r="AA878" s="263"/>
      <c r="AB878" s="155"/>
      <c r="AC878" s="212"/>
    </row>
    <row r="879" spans="1:29" s="182" customFormat="1" hidden="1" x14ac:dyDescent="0.25">
      <c r="A879" s="131">
        <v>1</v>
      </c>
      <c r="B879" s="136">
        <v>1405013</v>
      </c>
      <c r="C879" s="128" t="s">
        <v>934</v>
      </c>
      <c r="D879" s="127" t="s">
        <v>1060</v>
      </c>
      <c r="E879" s="147" t="s">
        <v>38</v>
      </c>
      <c r="F879" s="129" t="s">
        <v>1062</v>
      </c>
      <c r="G879" s="147" t="s">
        <v>1731</v>
      </c>
      <c r="H879" s="191">
        <f t="shared" si="14"/>
        <v>0</v>
      </c>
      <c r="I879" s="225"/>
      <c r="J879" s="149"/>
      <c r="K879" s="147"/>
      <c r="L879" s="147"/>
      <c r="M879" s="147">
        <v>6</v>
      </c>
      <c r="N879" s="289">
        <v>600</v>
      </c>
      <c r="O879" s="196"/>
      <c r="P879" s="180"/>
      <c r="Q879" s="174"/>
      <c r="R879" s="206">
        <v>0</v>
      </c>
      <c r="S879" s="168"/>
      <c r="T879" s="129" t="s">
        <v>64</v>
      </c>
      <c r="U879" s="147" t="s">
        <v>37</v>
      </c>
      <c r="V879" s="129"/>
      <c r="W879" s="163" t="s">
        <v>54</v>
      </c>
      <c r="X879" s="215"/>
      <c r="Y879" s="216">
        <v>0</v>
      </c>
      <c r="Z879" s="216">
        <v>0</v>
      </c>
      <c r="AA879" s="263"/>
      <c r="AB879" s="155"/>
      <c r="AC879" s="212"/>
    </row>
    <row r="880" spans="1:29" s="182" customFormat="1" hidden="1" x14ac:dyDescent="0.25">
      <c r="A880" s="131">
        <v>1</v>
      </c>
      <c r="B880" s="136">
        <v>1405015</v>
      </c>
      <c r="C880" s="128" t="s">
        <v>934</v>
      </c>
      <c r="D880" s="127" t="s">
        <v>1063</v>
      </c>
      <c r="E880" s="147" t="s">
        <v>38</v>
      </c>
      <c r="F880" s="129" t="s">
        <v>1043</v>
      </c>
      <c r="G880" s="147" t="s">
        <v>1731</v>
      </c>
      <c r="H880" s="191">
        <f t="shared" si="14"/>
        <v>0</v>
      </c>
      <c r="I880" s="225"/>
      <c r="J880" s="149"/>
      <c r="K880" s="147">
        <v>11</v>
      </c>
      <c r="L880" s="147">
        <v>1</v>
      </c>
      <c r="M880" s="147">
        <v>12</v>
      </c>
      <c r="N880" s="289"/>
      <c r="O880" s="196"/>
      <c r="P880" s="180"/>
      <c r="Q880" s="174"/>
      <c r="R880" s="206">
        <v>0</v>
      </c>
      <c r="S880" s="168"/>
      <c r="T880" s="129" t="s">
        <v>64</v>
      </c>
      <c r="U880" s="147" t="s">
        <v>37</v>
      </c>
      <c r="V880" s="129"/>
      <c r="W880" s="163" t="s">
        <v>54</v>
      </c>
      <c r="X880" s="215"/>
      <c r="Y880" s="216">
        <v>0</v>
      </c>
      <c r="Z880" s="216">
        <v>0</v>
      </c>
      <c r="AA880" s="263"/>
      <c r="AB880" s="155"/>
      <c r="AC880" s="212"/>
    </row>
    <row r="881" spans="1:29" s="182" customFormat="1" hidden="1" x14ac:dyDescent="0.25">
      <c r="A881" s="131">
        <v>1</v>
      </c>
      <c r="B881" s="136">
        <v>1405016</v>
      </c>
      <c r="C881" s="128" t="s">
        <v>934</v>
      </c>
      <c r="D881" s="127" t="s">
        <v>1065</v>
      </c>
      <c r="E881" s="147" t="s">
        <v>38</v>
      </c>
      <c r="F881" s="129" t="s">
        <v>1043</v>
      </c>
      <c r="G881" s="147" t="s">
        <v>1731</v>
      </c>
      <c r="H881" s="191">
        <f t="shared" si="14"/>
        <v>0</v>
      </c>
      <c r="I881" s="225"/>
      <c r="J881" s="149"/>
      <c r="K881" s="147">
        <v>11</v>
      </c>
      <c r="L881" s="147">
        <v>1</v>
      </c>
      <c r="M881" s="147">
        <v>12</v>
      </c>
      <c r="N881" s="289"/>
      <c r="O881" s="196"/>
      <c r="P881" s="180"/>
      <c r="Q881" s="174"/>
      <c r="R881" s="206">
        <v>0</v>
      </c>
      <c r="S881" s="168"/>
      <c r="T881" s="129" t="s">
        <v>64</v>
      </c>
      <c r="U881" s="147" t="s">
        <v>37</v>
      </c>
      <c r="V881" s="129"/>
      <c r="W881" s="163" t="s">
        <v>54</v>
      </c>
      <c r="X881" s="215"/>
      <c r="Y881" s="216">
        <v>0</v>
      </c>
      <c r="Z881" s="216">
        <v>0</v>
      </c>
      <c r="AA881" s="263"/>
      <c r="AB881" s="155"/>
      <c r="AC881" s="212"/>
    </row>
    <row r="882" spans="1:29" s="182" customFormat="1" hidden="1" x14ac:dyDescent="0.25">
      <c r="A882" s="131">
        <v>1</v>
      </c>
      <c r="B882" s="136">
        <v>1405017</v>
      </c>
      <c r="C882" s="128" t="s">
        <v>934</v>
      </c>
      <c r="D882" s="127" t="s">
        <v>1066</v>
      </c>
      <c r="E882" s="147" t="s">
        <v>38</v>
      </c>
      <c r="F882" s="129" t="s">
        <v>1043</v>
      </c>
      <c r="G882" s="147" t="s">
        <v>1731</v>
      </c>
      <c r="H882" s="191">
        <f t="shared" si="14"/>
        <v>0</v>
      </c>
      <c r="I882" s="225"/>
      <c r="J882" s="149"/>
      <c r="K882" s="147">
        <v>11</v>
      </c>
      <c r="L882" s="147">
        <v>1</v>
      </c>
      <c r="M882" s="147">
        <v>12</v>
      </c>
      <c r="N882" s="289"/>
      <c r="O882" s="196"/>
      <c r="P882" s="180"/>
      <c r="Q882" s="174"/>
      <c r="R882" s="206">
        <v>0</v>
      </c>
      <c r="S882" s="168"/>
      <c r="T882" s="129" t="s">
        <v>64</v>
      </c>
      <c r="U882" s="147" t="s">
        <v>37</v>
      </c>
      <c r="V882" s="129"/>
      <c r="W882" s="163" t="s">
        <v>54</v>
      </c>
      <c r="X882" s="215"/>
      <c r="Y882" s="216">
        <v>0</v>
      </c>
      <c r="Z882" s="216">
        <v>0</v>
      </c>
      <c r="AA882" s="263"/>
      <c r="AB882" s="155"/>
      <c r="AC882" s="212"/>
    </row>
    <row r="883" spans="1:29" s="182" customFormat="1" hidden="1" x14ac:dyDescent="0.25">
      <c r="A883" s="131">
        <v>1</v>
      </c>
      <c r="B883" s="136">
        <v>1405018</v>
      </c>
      <c r="C883" s="128" t="s">
        <v>934</v>
      </c>
      <c r="D883" s="127" t="s">
        <v>1067</v>
      </c>
      <c r="E883" s="147" t="s">
        <v>38</v>
      </c>
      <c r="F883" s="129" t="s">
        <v>1043</v>
      </c>
      <c r="G883" s="147" t="s">
        <v>1731</v>
      </c>
      <c r="H883" s="191">
        <f t="shared" si="14"/>
        <v>0</v>
      </c>
      <c r="I883" s="225"/>
      <c r="J883" s="149"/>
      <c r="K883" s="147">
        <v>11</v>
      </c>
      <c r="L883" s="147">
        <v>1</v>
      </c>
      <c r="M883" s="147">
        <v>12</v>
      </c>
      <c r="N883" s="289"/>
      <c r="O883" s="196"/>
      <c r="P883" s="180"/>
      <c r="Q883" s="174"/>
      <c r="R883" s="206">
        <v>0</v>
      </c>
      <c r="S883" s="168"/>
      <c r="T883" s="129" t="s">
        <v>64</v>
      </c>
      <c r="U883" s="147" t="s">
        <v>37</v>
      </c>
      <c r="V883" s="129"/>
      <c r="W883" s="163" t="s">
        <v>54</v>
      </c>
      <c r="X883" s="215"/>
      <c r="Y883" s="216">
        <v>0</v>
      </c>
      <c r="Z883" s="216">
        <v>0</v>
      </c>
      <c r="AA883" s="263"/>
      <c r="AB883" s="155"/>
      <c r="AC883" s="212"/>
    </row>
    <row r="884" spans="1:29" s="182" customFormat="1" hidden="1" x14ac:dyDescent="0.25">
      <c r="A884" s="131">
        <v>1</v>
      </c>
      <c r="B884" s="136">
        <v>1405019</v>
      </c>
      <c r="C884" s="128" t="s">
        <v>934</v>
      </c>
      <c r="D884" s="127" t="s">
        <v>1068</v>
      </c>
      <c r="E884" s="147" t="s">
        <v>38</v>
      </c>
      <c r="F884" s="129" t="s">
        <v>1043</v>
      </c>
      <c r="G884" s="147" t="s">
        <v>1731</v>
      </c>
      <c r="H884" s="191">
        <f t="shared" si="14"/>
        <v>0</v>
      </c>
      <c r="I884" s="225"/>
      <c r="J884" s="149"/>
      <c r="K884" s="147">
        <v>11</v>
      </c>
      <c r="L884" s="147">
        <v>1</v>
      </c>
      <c r="M884" s="147">
        <v>12</v>
      </c>
      <c r="N884" s="289"/>
      <c r="O884" s="196"/>
      <c r="P884" s="180"/>
      <c r="Q884" s="174"/>
      <c r="R884" s="206">
        <v>0</v>
      </c>
      <c r="S884" s="168"/>
      <c r="T884" s="129" t="s">
        <v>64</v>
      </c>
      <c r="U884" s="147" t="s">
        <v>37</v>
      </c>
      <c r="V884" s="129"/>
      <c r="W884" s="163" t="s">
        <v>54</v>
      </c>
      <c r="X884" s="215"/>
      <c r="Y884" s="216">
        <v>0</v>
      </c>
      <c r="Z884" s="216">
        <v>0</v>
      </c>
      <c r="AA884" s="263"/>
      <c r="AB884" s="155"/>
      <c r="AC884" s="212"/>
    </row>
    <row r="885" spans="1:29" s="182" customFormat="1" hidden="1" x14ac:dyDescent="0.25">
      <c r="A885" s="131">
        <v>1</v>
      </c>
      <c r="B885" s="136">
        <v>1405020</v>
      </c>
      <c r="C885" s="128" t="s">
        <v>934</v>
      </c>
      <c r="D885" s="127" t="s">
        <v>1069</v>
      </c>
      <c r="E885" s="147" t="s">
        <v>38</v>
      </c>
      <c r="F885" s="129" t="s">
        <v>1043</v>
      </c>
      <c r="G885" s="147" t="s">
        <v>1731</v>
      </c>
      <c r="H885" s="191">
        <f t="shared" si="14"/>
        <v>0</v>
      </c>
      <c r="I885" s="225"/>
      <c r="J885" s="149"/>
      <c r="K885" s="147">
        <v>11</v>
      </c>
      <c r="L885" s="147">
        <v>1</v>
      </c>
      <c r="M885" s="147">
        <v>12</v>
      </c>
      <c r="N885" s="289"/>
      <c r="O885" s="196"/>
      <c r="P885" s="180"/>
      <c r="Q885" s="174"/>
      <c r="R885" s="206">
        <v>0</v>
      </c>
      <c r="S885" s="168"/>
      <c r="T885" s="129" t="s">
        <v>64</v>
      </c>
      <c r="U885" s="147" t="s">
        <v>37</v>
      </c>
      <c r="V885" s="129"/>
      <c r="W885" s="163" t="s">
        <v>54</v>
      </c>
      <c r="X885" s="215"/>
      <c r="Y885" s="216">
        <v>0</v>
      </c>
      <c r="Z885" s="216">
        <v>0</v>
      </c>
      <c r="AA885" s="263"/>
      <c r="AB885" s="155"/>
      <c r="AC885" s="212"/>
    </row>
    <row r="886" spans="1:29" s="182" customFormat="1" hidden="1" x14ac:dyDescent="0.25">
      <c r="A886" s="131">
        <v>1</v>
      </c>
      <c r="B886" s="136">
        <v>1405021</v>
      </c>
      <c r="C886" s="128" t="s">
        <v>934</v>
      </c>
      <c r="D886" s="127" t="s">
        <v>1070</v>
      </c>
      <c r="E886" s="147" t="s">
        <v>38</v>
      </c>
      <c r="F886" s="129" t="s">
        <v>1016</v>
      </c>
      <c r="G886" s="147" t="s">
        <v>1731</v>
      </c>
      <c r="H886" s="191">
        <f t="shared" si="14"/>
        <v>0</v>
      </c>
      <c r="I886" s="225"/>
      <c r="J886" s="149"/>
      <c r="K886" s="147">
        <v>11</v>
      </c>
      <c r="L886" s="147">
        <v>1</v>
      </c>
      <c r="M886" s="147">
        <v>12</v>
      </c>
      <c r="N886" s="289"/>
      <c r="O886" s="196"/>
      <c r="P886" s="180"/>
      <c r="Q886" s="174"/>
      <c r="R886" s="206">
        <v>0</v>
      </c>
      <c r="S886" s="168"/>
      <c r="T886" s="129" t="s">
        <v>496</v>
      </c>
      <c r="U886" s="147" t="s">
        <v>37</v>
      </c>
      <c r="V886" s="129"/>
      <c r="W886" s="163" t="s">
        <v>54</v>
      </c>
      <c r="X886" s="215"/>
      <c r="Y886" s="216">
        <v>0</v>
      </c>
      <c r="Z886" s="216">
        <v>0</v>
      </c>
      <c r="AA886" s="263"/>
      <c r="AB886" s="155"/>
      <c r="AC886" s="212"/>
    </row>
    <row r="887" spans="1:29" s="182" customFormat="1" hidden="1" x14ac:dyDescent="0.25">
      <c r="A887" s="131">
        <v>1</v>
      </c>
      <c r="B887" s="136">
        <v>1405022</v>
      </c>
      <c r="C887" s="128" t="s">
        <v>934</v>
      </c>
      <c r="D887" s="127" t="s">
        <v>1071</v>
      </c>
      <c r="E887" s="147" t="s">
        <v>38</v>
      </c>
      <c r="F887" s="129" t="s">
        <v>1016</v>
      </c>
      <c r="G887" s="147" t="s">
        <v>1731</v>
      </c>
      <c r="H887" s="191">
        <f t="shared" si="14"/>
        <v>0</v>
      </c>
      <c r="I887" s="225"/>
      <c r="J887" s="149"/>
      <c r="K887" s="147">
        <v>11</v>
      </c>
      <c r="L887" s="147">
        <v>1</v>
      </c>
      <c r="M887" s="147">
        <v>12</v>
      </c>
      <c r="N887" s="289"/>
      <c r="O887" s="196"/>
      <c r="P887" s="180"/>
      <c r="Q887" s="174"/>
      <c r="R887" s="206">
        <v>0</v>
      </c>
      <c r="S887" s="168"/>
      <c r="T887" s="129" t="s">
        <v>496</v>
      </c>
      <c r="U887" s="147" t="s">
        <v>37</v>
      </c>
      <c r="V887" s="129"/>
      <c r="W887" s="163" t="s">
        <v>54</v>
      </c>
      <c r="X887" s="215"/>
      <c r="Y887" s="216">
        <v>0</v>
      </c>
      <c r="Z887" s="216">
        <v>0</v>
      </c>
      <c r="AA887" s="263"/>
      <c r="AB887" s="155"/>
      <c r="AC887" s="212"/>
    </row>
    <row r="888" spans="1:29" s="182" customFormat="1" hidden="1" x14ac:dyDescent="0.25">
      <c r="A888" s="131">
        <v>1</v>
      </c>
      <c r="B888" s="136">
        <v>1405023</v>
      </c>
      <c r="C888" s="128" t="s">
        <v>934</v>
      </c>
      <c r="D888" s="127" t="s">
        <v>1072</v>
      </c>
      <c r="E888" s="147" t="s">
        <v>38</v>
      </c>
      <c r="F888" s="129" t="s">
        <v>1016</v>
      </c>
      <c r="G888" s="147" t="s">
        <v>1731</v>
      </c>
      <c r="H888" s="191">
        <f t="shared" si="14"/>
        <v>0</v>
      </c>
      <c r="I888" s="225"/>
      <c r="J888" s="149"/>
      <c r="K888" s="147">
        <v>11</v>
      </c>
      <c r="L888" s="147">
        <v>1</v>
      </c>
      <c r="M888" s="147">
        <v>12</v>
      </c>
      <c r="N888" s="289"/>
      <c r="O888" s="196"/>
      <c r="P888" s="180"/>
      <c r="Q888" s="174"/>
      <c r="R888" s="206">
        <v>0</v>
      </c>
      <c r="S888" s="168"/>
      <c r="T888" s="129" t="s">
        <v>496</v>
      </c>
      <c r="U888" s="147" t="s">
        <v>37</v>
      </c>
      <c r="V888" s="129"/>
      <c r="W888" s="163" t="s">
        <v>54</v>
      </c>
      <c r="X888" s="215"/>
      <c r="Y888" s="216">
        <v>0</v>
      </c>
      <c r="Z888" s="216">
        <v>0</v>
      </c>
      <c r="AA888" s="263"/>
      <c r="AB888" s="155"/>
      <c r="AC888" s="212"/>
    </row>
    <row r="889" spans="1:29" s="182" customFormat="1" hidden="1" x14ac:dyDescent="0.25">
      <c r="A889" s="131">
        <v>1</v>
      </c>
      <c r="B889" s="136">
        <v>1405024</v>
      </c>
      <c r="C889" s="128" t="s">
        <v>934</v>
      </c>
      <c r="D889" s="127" t="s">
        <v>1073</v>
      </c>
      <c r="E889" s="147" t="s">
        <v>38</v>
      </c>
      <c r="F889" s="129" t="s">
        <v>1075</v>
      </c>
      <c r="G889" s="147" t="s">
        <v>1731</v>
      </c>
      <c r="H889" s="191">
        <f t="shared" si="14"/>
        <v>0</v>
      </c>
      <c r="I889" s="181" t="s">
        <v>2218</v>
      </c>
      <c r="J889" s="148">
        <v>45</v>
      </c>
      <c r="K889" s="147">
        <v>1</v>
      </c>
      <c r="L889" s="147">
        <v>1</v>
      </c>
      <c r="M889" s="147">
        <v>2</v>
      </c>
      <c r="N889" s="289"/>
      <c r="O889" s="196"/>
      <c r="P889" s="180"/>
      <c r="Q889" s="174"/>
      <c r="R889" s="206">
        <v>0</v>
      </c>
      <c r="S889" s="168" t="s">
        <v>35</v>
      </c>
      <c r="T889" s="129" t="s">
        <v>64</v>
      </c>
      <c r="U889" s="147" t="s">
        <v>35</v>
      </c>
      <c r="V889" s="129"/>
      <c r="W889" s="163" t="s">
        <v>54</v>
      </c>
      <c r="X889" s="215"/>
      <c r="Y889" s="216">
        <v>0</v>
      </c>
      <c r="Z889" s="216">
        <v>0</v>
      </c>
      <c r="AA889" s="263"/>
      <c r="AB889" s="305"/>
      <c r="AC889" s="214"/>
    </row>
    <row r="890" spans="1:29" s="182" customFormat="1" hidden="1" x14ac:dyDescent="0.25">
      <c r="A890" s="131">
        <v>1</v>
      </c>
      <c r="B890" s="136">
        <v>1405025</v>
      </c>
      <c r="C890" s="128" t="s">
        <v>934</v>
      </c>
      <c r="D890" s="127" t="s">
        <v>1079</v>
      </c>
      <c r="E890" s="147" t="s">
        <v>38</v>
      </c>
      <c r="F890" s="129" t="s">
        <v>1075</v>
      </c>
      <c r="G890" s="147" t="s">
        <v>1731</v>
      </c>
      <c r="H890" s="191">
        <f t="shared" si="14"/>
        <v>0</v>
      </c>
      <c r="I890" s="181" t="s">
        <v>2218</v>
      </c>
      <c r="J890" s="148">
        <v>45</v>
      </c>
      <c r="K890" s="147">
        <v>1</v>
      </c>
      <c r="L890" s="147">
        <v>1</v>
      </c>
      <c r="M890" s="147">
        <v>2</v>
      </c>
      <c r="N890" s="289"/>
      <c r="O890" s="196"/>
      <c r="P890" s="180"/>
      <c r="Q890" s="174"/>
      <c r="R890" s="206">
        <v>0</v>
      </c>
      <c r="S890" s="168" t="s">
        <v>35</v>
      </c>
      <c r="T890" s="129" t="s">
        <v>64</v>
      </c>
      <c r="U890" s="147" t="s">
        <v>35</v>
      </c>
      <c r="V890" s="129"/>
      <c r="W890" s="163" t="s">
        <v>54</v>
      </c>
      <c r="X890" s="215"/>
      <c r="Y890" s="216">
        <v>0</v>
      </c>
      <c r="Z890" s="216">
        <v>0</v>
      </c>
      <c r="AA890" s="263"/>
      <c r="AB890" s="305"/>
      <c r="AC890" s="214"/>
    </row>
    <row r="891" spans="1:29" s="182" customFormat="1" hidden="1" x14ac:dyDescent="0.25">
      <c r="A891" s="131">
        <v>1</v>
      </c>
      <c r="B891" s="136">
        <v>1405026</v>
      </c>
      <c r="C891" s="128" t="s">
        <v>934</v>
      </c>
      <c r="D891" s="127" t="s">
        <v>1081</v>
      </c>
      <c r="E891" s="147" t="s">
        <v>38</v>
      </c>
      <c r="F891" s="129" t="s">
        <v>1043</v>
      </c>
      <c r="G891" s="147" t="s">
        <v>1731</v>
      </c>
      <c r="H891" s="191">
        <f t="shared" si="14"/>
        <v>0</v>
      </c>
      <c r="I891" s="225"/>
      <c r="J891" s="149"/>
      <c r="K891" s="147"/>
      <c r="L891" s="147"/>
      <c r="M891" s="147">
        <v>12</v>
      </c>
      <c r="N891" s="289">
        <v>5000</v>
      </c>
      <c r="O891" s="196"/>
      <c r="P891" s="180"/>
      <c r="Q891" s="174"/>
      <c r="R891" s="206">
        <v>0</v>
      </c>
      <c r="S891" s="168"/>
      <c r="T891" s="129" t="s">
        <v>64</v>
      </c>
      <c r="U891" s="147" t="s">
        <v>37</v>
      </c>
      <c r="V891" s="129"/>
      <c r="W891" s="163" t="s">
        <v>54</v>
      </c>
      <c r="X891" s="215"/>
      <c r="Y891" s="216">
        <v>0</v>
      </c>
      <c r="Z891" s="216">
        <v>0</v>
      </c>
      <c r="AA891" s="263"/>
      <c r="AB891" s="155"/>
      <c r="AC891" s="212"/>
    </row>
    <row r="892" spans="1:29" s="182" customFormat="1" hidden="1" x14ac:dyDescent="0.25">
      <c r="A892" s="131">
        <v>1</v>
      </c>
      <c r="B892" s="136">
        <v>1405027</v>
      </c>
      <c r="C892" s="128" t="s">
        <v>934</v>
      </c>
      <c r="D892" s="127" t="s">
        <v>1082</v>
      </c>
      <c r="E892" s="147" t="s">
        <v>38</v>
      </c>
      <c r="F892" s="129" t="s">
        <v>1043</v>
      </c>
      <c r="G892" s="147" t="s">
        <v>1731</v>
      </c>
      <c r="H892" s="191">
        <f t="shared" si="14"/>
        <v>0</v>
      </c>
      <c r="I892" s="225"/>
      <c r="J892" s="149"/>
      <c r="K892" s="147"/>
      <c r="L892" s="147"/>
      <c r="M892" s="147">
        <v>12</v>
      </c>
      <c r="N892" s="289">
        <v>4000</v>
      </c>
      <c r="O892" s="196"/>
      <c r="P892" s="180"/>
      <c r="Q892" s="174"/>
      <c r="R892" s="206">
        <v>0</v>
      </c>
      <c r="S892" s="168"/>
      <c r="T892" s="129" t="s">
        <v>64</v>
      </c>
      <c r="U892" s="147" t="s">
        <v>37</v>
      </c>
      <c r="V892" s="129"/>
      <c r="W892" s="163" t="s">
        <v>54</v>
      </c>
      <c r="X892" s="215"/>
      <c r="Y892" s="216">
        <v>0</v>
      </c>
      <c r="Z892" s="216">
        <v>0</v>
      </c>
      <c r="AA892" s="263"/>
      <c r="AB892" s="155"/>
      <c r="AC892" s="212"/>
    </row>
    <row r="893" spans="1:29" s="182" customFormat="1" hidden="1" x14ac:dyDescent="0.25">
      <c r="A893" s="131">
        <v>1</v>
      </c>
      <c r="B893" s="136">
        <v>1405028</v>
      </c>
      <c r="C893" s="128" t="s">
        <v>934</v>
      </c>
      <c r="D893" s="127" t="s">
        <v>1083</v>
      </c>
      <c r="E893" s="147" t="s">
        <v>38</v>
      </c>
      <c r="F893" s="129" t="s">
        <v>1043</v>
      </c>
      <c r="G893" s="147" t="s">
        <v>1731</v>
      </c>
      <c r="H893" s="191">
        <f t="shared" si="14"/>
        <v>0</v>
      </c>
      <c r="I893" s="225"/>
      <c r="J893" s="149"/>
      <c r="K893" s="147"/>
      <c r="L893" s="147"/>
      <c r="M893" s="147">
        <v>12</v>
      </c>
      <c r="N893" s="289">
        <v>2500</v>
      </c>
      <c r="O893" s="196"/>
      <c r="P893" s="180"/>
      <c r="Q893" s="174"/>
      <c r="R893" s="206">
        <v>0</v>
      </c>
      <c r="S893" s="168"/>
      <c r="T893" s="129" t="s">
        <v>64</v>
      </c>
      <c r="U893" s="147" t="s">
        <v>37</v>
      </c>
      <c r="V893" s="129"/>
      <c r="W893" s="163" t="s">
        <v>54</v>
      </c>
      <c r="X893" s="215"/>
      <c r="Y893" s="216">
        <v>0</v>
      </c>
      <c r="Z893" s="216">
        <v>0</v>
      </c>
      <c r="AA893" s="263"/>
      <c r="AB893" s="155"/>
      <c r="AC893" s="212"/>
    </row>
    <row r="894" spans="1:29" s="182" customFormat="1" hidden="1" x14ac:dyDescent="0.25">
      <c r="A894" s="131">
        <v>1</v>
      </c>
      <c r="B894" s="136">
        <v>1405029</v>
      </c>
      <c r="C894" s="128" t="s">
        <v>934</v>
      </c>
      <c r="D894" s="127" t="s">
        <v>1084</v>
      </c>
      <c r="E894" s="147" t="s">
        <v>38</v>
      </c>
      <c r="F894" s="129" t="s">
        <v>1043</v>
      </c>
      <c r="G894" s="147" t="s">
        <v>1731</v>
      </c>
      <c r="H894" s="191">
        <f t="shared" si="14"/>
        <v>0</v>
      </c>
      <c r="I894" s="225"/>
      <c r="J894" s="149"/>
      <c r="K894" s="147"/>
      <c r="L894" s="147"/>
      <c r="M894" s="147">
        <v>12</v>
      </c>
      <c r="N894" s="289">
        <v>1000</v>
      </c>
      <c r="O894" s="196"/>
      <c r="P894" s="180"/>
      <c r="Q894" s="174"/>
      <c r="R894" s="206">
        <v>0</v>
      </c>
      <c r="S894" s="168"/>
      <c r="T894" s="129" t="s">
        <v>64</v>
      </c>
      <c r="U894" s="147" t="s">
        <v>37</v>
      </c>
      <c r="V894" s="129"/>
      <c r="W894" s="163" t="s">
        <v>54</v>
      </c>
      <c r="X894" s="215"/>
      <c r="Y894" s="216">
        <v>0</v>
      </c>
      <c r="Z894" s="216">
        <v>0</v>
      </c>
      <c r="AA894" s="263"/>
      <c r="AB894" s="155"/>
      <c r="AC894" s="212"/>
    </row>
    <row r="895" spans="1:29" s="182" customFormat="1" hidden="1" x14ac:dyDescent="0.25">
      <c r="A895" s="131">
        <v>1</v>
      </c>
      <c r="B895" s="136">
        <v>1405030</v>
      </c>
      <c r="C895" s="128" t="s">
        <v>934</v>
      </c>
      <c r="D895" s="127" t="s">
        <v>1085</v>
      </c>
      <c r="E895" s="147" t="s">
        <v>38</v>
      </c>
      <c r="F895" s="129" t="s">
        <v>1043</v>
      </c>
      <c r="G895" s="147" t="s">
        <v>1731</v>
      </c>
      <c r="H895" s="191">
        <f t="shared" si="14"/>
        <v>0</v>
      </c>
      <c r="I895" s="225"/>
      <c r="J895" s="149"/>
      <c r="K895" s="147"/>
      <c r="L895" s="147"/>
      <c r="M895" s="147">
        <v>12</v>
      </c>
      <c r="N895" s="289">
        <v>10000</v>
      </c>
      <c r="O895" s="196"/>
      <c r="P895" s="180"/>
      <c r="Q895" s="174"/>
      <c r="R895" s="206">
        <v>0</v>
      </c>
      <c r="S895" s="168"/>
      <c r="T895" s="129" t="s">
        <v>64</v>
      </c>
      <c r="U895" s="147" t="s">
        <v>37</v>
      </c>
      <c r="V895" s="129"/>
      <c r="W895" s="163" t="s">
        <v>54</v>
      </c>
      <c r="X895" s="215"/>
      <c r="Y895" s="216">
        <v>0</v>
      </c>
      <c r="Z895" s="216">
        <v>0</v>
      </c>
      <c r="AA895" s="263"/>
      <c r="AB895" s="155"/>
      <c r="AC895" s="212"/>
    </row>
    <row r="896" spans="1:29" s="182" customFormat="1" hidden="1" x14ac:dyDescent="0.25">
      <c r="A896" s="131">
        <v>1</v>
      </c>
      <c r="B896" s="136">
        <v>1405031</v>
      </c>
      <c r="C896" s="128" t="s">
        <v>934</v>
      </c>
      <c r="D896" s="127" t="s">
        <v>1086</v>
      </c>
      <c r="E896" s="147" t="s">
        <v>38</v>
      </c>
      <c r="F896" s="129" t="s">
        <v>1043</v>
      </c>
      <c r="G896" s="147" t="s">
        <v>1731</v>
      </c>
      <c r="H896" s="191">
        <f t="shared" si="14"/>
        <v>0</v>
      </c>
      <c r="I896" s="225"/>
      <c r="J896" s="149"/>
      <c r="K896" s="147">
        <v>11</v>
      </c>
      <c r="L896" s="147">
        <v>1</v>
      </c>
      <c r="M896" s="147">
        <v>12</v>
      </c>
      <c r="N896" s="289"/>
      <c r="O896" s="196"/>
      <c r="P896" s="180"/>
      <c r="Q896" s="174"/>
      <c r="R896" s="206">
        <v>0</v>
      </c>
      <c r="S896" s="168"/>
      <c r="T896" s="129" t="s">
        <v>64</v>
      </c>
      <c r="U896" s="147" t="s">
        <v>37</v>
      </c>
      <c r="V896" s="129"/>
      <c r="W896" s="163" t="s">
        <v>54</v>
      </c>
      <c r="X896" s="215"/>
      <c r="Y896" s="216">
        <v>0</v>
      </c>
      <c r="Z896" s="216">
        <v>0</v>
      </c>
      <c r="AA896" s="263"/>
      <c r="AB896" s="155"/>
      <c r="AC896" s="212"/>
    </row>
    <row r="897" spans="1:29" s="182" customFormat="1" hidden="1" x14ac:dyDescent="0.25">
      <c r="A897" s="131">
        <v>1</v>
      </c>
      <c r="B897" s="136">
        <v>1405032</v>
      </c>
      <c r="C897" s="128" t="s">
        <v>934</v>
      </c>
      <c r="D897" s="127" t="s">
        <v>1088</v>
      </c>
      <c r="E897" s="147" t="s">
        <v>38</v>
      </c>
      <c r="F897" s="129" t="s">
        <v>1043</v>
      </c>
      <c r="G897" s="147" t="s">
        <v>1731</v>
      </c>
      <c r="H897" s="191">
        <f t="shared" si="14"/>
        <v>0</v>
      </c>
      <c r="I897" s="225"/>
      <c r="J897" s="149"/>
      <c r="K897" s="147">
        <v>11</v>
      </c>
      <c r="L897" s="147">
        <v>1</v>
      </c>
      <c r="M897" s="147">
        <v>12</v>
      </c>
      <c r="N897" s="289"/>
      <c r="O897" s="196"/>
      <c r="P897" s="180"/>
      <c r="Q897" s="174"/>
      <c r="R897" s="206">
        <v>0</v>
      </c>
      <c r="S897" s="168"/>
      <c r="T897" s="129" t="s">
        <v>64</v>
      </c>
      <c r="U897" s="147" t="s">
        <v>37</v>
      </c>
      <c r="V897" s="129"/>
      <c r="W897" s="163" t="s">
        <v>54</v>
      </c>
      <c r="X897" s="215"/>
      <c r="Y897" s="216">
        <v>0</v>
      </c>
      <c r="Z897" s="216">
        <v>0</v>
      </c>
      <c r="AA897" s="263"/>
      <c r="AB897" s="155"/>
      <c r="AC897" s="212"/>
    </row>
    <row r="898" spans="1:29" s="182" customFormat="1" hidden="1" x14ac:dyDescent="0.25">
      <c r="A898" s="131">
        <v>1</v>
      </c>
      <c r="B898" s="136">
        <v>1405033</v>
      </c>
      <c r="C898" s="128" t="s">
        <v>934</v>
      </c>
      <c r="D898" s="127" t="s">
        <v>1089</v>
      </c>
      <c r="E898" s="147" t="s">
        <v>38</v>
      </c>
      <c r="F898" s="129" t="s">
        <v>1043</v>
      </c>
      <c r="G898" s="147" t="s">
        <v>1731</v>
      </c>
      <c r="H898" s="191">
        <f t="shared" si="14"/>
        <v>0</v>
      </c>
      <c r="I898" s="225"/>
      <c r="J898" s="149"/>
      <c r="K898" s="147">
        <v>11</v>
      </c>
      <c r="L898" s="147">
        <v>1</v>
      </c>
      <c r="M898" s="147">
        <v>12</v>
      </c>
      <c r="N898" s="289"/>
      <c r="O898" s="196"/>
      <c r="P898" s="180"/>
      <c r="Q898" s="174"/>
      <c r="R898" s="206">
        <v>0</v>
      </c>
      <c r="S898" s="168"/>
      <c r="T898" s="129" t="s">
        <v>64</v>
      </c>
      <c r="U898" s="147" t="s">
        <v>37</v>
      </c>
      <c r="V898" s="129"/>
      <c r="W898" s="163" t="s">
        <v>54</v>
      </c>
      <c r="X898" s="215"/>
      <c r="Y898" s="216">
        <v>0</v>
      </c>
      <c r="Z898" s="216">
        <v>0</v>
      </c>
      <c r="AA898" s="263"/>
      <c r="AB898" s="155"/>
      <c r="AC898" s="212"/>
    </row>
    <row r="899" spans="1:29" s="182" customFormat="1" hidden="1" x14ac:dyDescent="0.25">
      <c r="A899" s="131">
        <v>1</v>
      </c>
      <c r="B899" s="136">
        <v>1405034</v>
      </c>
      <c r="C899" s="128" t="s">
        <v>934</v>
      </c>
      <c r="D899" s="127" t="s">
        <v>1090</v>
      </c>
      <c r="E899" s="147" t="s">
        <v>38</v>
      </c>
      <c r="F899" s="129" t="s">
        <v>1043</v>
      </c>
      <c r="G899" s="147" t="s">
        <v>1731</v>
      </c>
      <c r="H899" s="191">
        <f t="shared" ref="H899:H962" si="15">Q899+R899</f>
        <v>0</v>
      </c>
      <c r="I899" s="225"/>
      <c r="J899" s="149"/>
      <c r="K899" s="147">
        <v>11</v>
      </c>
      <c r="L899" s="147">
        <v>1</v>
      </c>
      <c r="M899" s="147">
        <v>12</v>
      </c>
      <c r="N899" s="289"/>
      <c r="O899" s="196"/>
      <c r="P899" s="180"/>
      <c r="Q899" s="174"/>
      <c r="R899" s="206">
        <v>0</v>
      </c>
      <c r="S899" s="168"/>
      <c r="T899" s="129" t="s">
        <v>64</v>
      </c>
      <c r="U899" s="147" t="s">
        <v>37</v>
      </c>
      <c r="V899" s="129"/>
      <c r="W899" s="163" t="s">
        <v>54</v>
      </c>
      <c r="X899" s="215"/>
      <c r="Y899" s="216">
        <v>0</v>
      </c>
      <c r="Z899" s="216">
        <v>0</v>
      </c>
      <c r="AA899" s="263"/>
      <c r="AB899" s="155"/>
      <c r="AC899" s="212"/>
    </row>
    <row r="900" spans="1:29" s="182" customFormat="1" hidden="1" x14ac:dyDescent="0.25">
      <c r="A900" s="131">
        <v>1</v>
      </c>
      <c r="B900" s="136">
        <v>1405035</v>
      </c>
      <c r="C900" s="128" t="s">
        <v>934</v>
      </c>
      <c r="D900" s="127" t="s">
        <v>1091</v>
      </c>
      <c r="E900" s="147" t="s">
        <v>38</v>
      </c>
      <c r="F900" s="129" t="s">
        <v>1043</v>
      </c>
      <c r="G900" s="147" t="s">
        <v>1731</v>
      </c>
      <c r="H900" s="191">
        <f t="shared" si="15"/>
        <v>0</v>
      </c>
      <c r="I900" s="225"/>
      <c r="J900" s="149"/>
      <c r="K900" s="147">
        <v>11</v>
      </c>
      <c r="L900" s="147">
        <v>1</v>
      </c>
      <c r="M900" s="147">
        <v>12</v>
      </c>
      <c r="N900" s="289"/>
      <c r="O900" s="196"/>
      <c r="P900" s="180"/>
      <c r="Q900" s="174"/>
      <c r="R900" s="206">
        <v>0</v>
      </c>
      <c r="S900" s="168"/>
      <c r="T900" s="129" t="s">
        <v>64</v>
      </c>
      <c r="U900" s="147" t="s">
        <v>37</v>
      </c>
      <c r="V900" s="129"/>
      <c r="W900" s="163" t="s">
        <v>54</v>
      </c>
      <c r="X900" s="215"/>
      <c r="Y900" s="216">
        <v>0</v>
      </c>
      <c r="Z900" s="216">
        <v>0</v>
      </c>
      <c r="AA900" s="263"/>
      <c r="AB900" s="155"/>
      <c r="AC900" s="212"/>
    </row>
    <row r="901" spans="1:29" s="182" customFormat="1" hidden="1" x14ac:dyDescent="0.25">
      <c r="A901" s="131">
        <v>1</v>
      </c>
      <c r="B901" s="136">
        <v>1405036</v>
      </c>
      <c r="C901" s="128" t="s">
        <v>934</v>
      </c>
      <c r="D901" s="127" t="s">
        <v>1092</v>
      </c>
      <c r="E901" s="147" t="s">
        <v>38</v>
      </c>
      <c r="F901" s="129" t="s">
        <v>1043</v>
      </c>
      <c r="G901" s="147" t="s">
        <v>1731</v>
      </c>
      <c r="H901" s="191">
        <f t="shared" si="15"/>
        <v>0</v>
      </c>
      <c r="I901" s="225"/>
      <c r="J901" s="149"/>
      <c r="K901" s="147">
        <v>11</v>
      </c>
      <c r="L901" s="147">
        <v>1</v>
      </c>
      <c r="M901" s="147">
        <v>12</v>
      </c>
      <c r="N901" s="289"/>
      <c r="O901" s="196"/>
      <c r="P901" s="180"/>
      <c r="Q901" s="174"/>
      <c r="R901" s="206">
        <v>0</v>
      </c>
      <c r="S901" s="168"/>
      <c r="T901" s="129" t="s">
        <v>64</v>
      </c>
      <c r="U901" s="147" t="s">
        <v>37</v>
      </c>
      <c r="V901" s="129"/>
      <c r="W901" s="163" t="s">
        <v>54</v>
      </c>
      <c r="X901" s="215"/>
      <c r="Y901" s="216">
        <v>0</v>
      </c>
      <c r="Z901" s="216">
        <v>0</v>
      </c>
      <c r="AA901" s="263"/>
      <c r="AB901" s="155"/>
      <c r="AC901" s="212"/>
    </row>
    <row r="902" spans="1:29" s="182" customFormat="1" hidden="1" x14ac:dyDescent="0.25">
      <c r="A902" s="131">
        <v>1</v>
      </c>
      <c r="B902" s="136">
        <v>1405037</v>
      </c>
      <c r="C902" s="128" t="s">
        <v>934</v>
      </c>
      <c r="D902" s="127" t="s">
        <v>1093</v>
      </c>
      <c r="E902" s="147" t="s">
        <v>38</v>
      </c>
      <c r="F902" s="129" t="s">
        <v>1043</v>
      </c>
      <c r="G902" s="147" t="s">
        <v>1731</v>
      </c>
      <c r="H902" s="191">
        <f t="shared" si="15"/>
        <v>0</v>
      </c>
      <c r="I902" s="225"/>
      <c r="J902" s="149"/>
      <c r="K902" s="147">
        <v>11</v>
      </c>
      <c r="L902" s="147">
        <v>1</v>
      </c>
      <c r="M902" s="147">
        <v>12</v>
      </c>
      <c r="N902" s="289"/>
      <c r="O902" s="196"/>
      <c r="P902" s="180"/>
      <c r="Q902" s="174"/>
      <c r="R902" s="206">
        <v>0</v>
      </c>
      <c r="S902" s="168"/>
      <c r="T902" s="129" t="s">
        <v>64</v>
      </c>
      <c r="U902" s="147" t="s">
        <v>37</v>
      </c>
      <c r="V902" s="129"/>
      <c r="W902" s="163" t="s">
        <v>54</v>
      </c>
      <c r="X902" s="215"/>
      <c r="Y902" s="216">
        <v>0</v>
      </c>
      <c r="Z902" s="216">
        <v>0</v>
      </c>
      <c r="AA902" s="263"/>
      <c r="AB902" s="155"/>
      <c r="AC902" s="212"/>
    </row>
    <row r="903" spans="1:29" s="182" customFormat="1" hidden="1" x14ac:dyDescent="0.25">
      <c r="A903" s="131">
        <v>1</v>
      </c>
      <c r="B903" s="136">
        <v>1405038</v>
      </c>
      <c r="C903" s="128" t="s">
        <v>934</v>
      </c>
      <c r="D903" s="127" t="s">
        <v>1094</v>
      </c>
      <c r="E903" s="147" t="s">
        <v>38</v>
      </c>
      <c r="F903" s="129" t="s">
        <v>1043</v>
      </c>
      <c r="G903" s="147" t="s">
        <v>1731</v>
      </c>
      <c r="H903" s="191">
        <f t="shared" si="15"/>
        <v>0</v>
      </c>
      <c r="I903" s="225"/>
      <c r="J903" s="149"/>
      <c r="K903" s="147">
        <v>11</v>
      </c>
      <c r="L903" s="147">
        <v>1</v>
      </c>
      <c r="M903" s="147">
        <v>12</v>
      </c>
      <c r="N903" s="289"/>
      <c r="O903" s="196"/>
      <c r="P903" s="180"/>
      <c r="Q903" s="174"/>
      <c r="R903" s="206">
        <v>0</v>
      </c>
      <c r="S903" s="168"/>
      <c r="T903" s="129" t="s">
        <v>64</v>
      </c>
      <c r="U903" s="147" t="s">
        <v>37</v>
      </c>
      <c r="V903" s="129"/>
      <c r="W903" s="163" t="s">
        <v>54</v>
      </c>
      <c r="X903" s="215"/>
      <c r="Y903" s="216">
        <v>0</v>
      </c>
      <c r="Z903" s="216">
        <v>0</v>
      </c>
      <c r="AA903" s="263"/>
      <c r="AB903" s="155"/>
      <c r="AC903" s="212"/>
    </row>
    <row r="904" spans="1:29" s="182" customFormat="1" hidden="1" x14ac:dyDescent="0.25">
      <c r="A904" s="131">
        <v>1</v>
      </c>
      <c r="B904" s="136">
        <v>1405039</v>
      </c>
      <c r="C904" s="128" t="s">
        <v>934</v>
      </c>
      <c r="D904" s="127" t="s">
        <v>1095</v>
      </c>
      <c r="E904" s="147" t="s">
        <v>38</v>
      </c>
      <c r="F904" s="129" t="s">
        <v>1043</v>
      </c>
      <c r="G904" s="147" t="s">
        <v>1731</v>
      </c>
      <c r="H904" s="191">
        <f t="shared" si="15"/>
        <v>0</v>
      </c>
      <c r="I904" s="225"/>
      <c r="J904" s="149"/>
      <c r="K904" s="147">
        <v>11</v>
      </c>
      <c r="L904" s="147">
        <v>1</v>
      </c>
      <c r="M904" s="147">
        <v>12</v>
      </c>
      <c r="N904" s="289"/>
      <c r="O904" s="196"/>
      <c r="P904" s="180"/>
      <c r="Q904" s="174"/>
      <c r="R904" s="206">
        <v>0</v>
      </c>
      <c r="S904" s="168"/>
      <c r="T904" s="129" t="s">
        <v>64</v>
      </c>
      <c r="U904" s="147" t="s">
        <v>37</v>
      </c>
      <c r="V904" s="129"/>
      <c r="W904" s="163" t="s">
        <v>54</v>
      </c>
      <c r="X904" s="215"/>
      <c r="Y904" s="216">
        <v>0</v>
      </c>
      <c r="Z904" s="216">
        <v>0</v>
      </c>
      <c r="AA904" s="263"/>
      <c r="AB904" s="155"/>
      <c r="AC904" s="212"/>
    </row>
    <row r="905" spans="1:29" s="182" customFormat="1" hidden="1" x14ac:dyDescent="0.25">
      <c r="A905" s="131">
        <v>1</v>
      </c>
      <c r="B905" s="136">
        <v>1405040</v>
      </c>
      <c r="C905" s="128" t="s">
        <v>934</v>
      </c>
      <c r="D905" s="129" t="s">
        <v>1096</v>
      </c>
      <c r="E905" s="147" t="s">
        <v>38</v>
      </c>
      <c r="F905" s="129" t="s">
        <v>1043</v>
      </c>
      <c r="G905" s="147" t="s">
        <v>1731</v>
      </c>
      <c r="H905" s="191">
        <f t="shared" si="15"/>
        <v>0</v>
      </c>
      <c r="I905" s="225"/>
      <c r="J905" s="149"/>
      <c r="K905" s="147"/>
      <c r="L905" s="147"/>
      <c r="M905" s="147">
        <v>12</v>
      </c>
      <c r="N905" s="289">
        <v>523</v>
      </c>
      <c r="O905" s="196"/>
      <c r="P905" s="180"/>
      <c r="Q905" s="174"/>
      <c r="R905" s="206">
        <v>0</v>
      </c>
      <c r="S905" s="168"/>
      <c r="T905" s="129" t="s">
        <v>64</v>
      </c>
      <c r="U905" s="147" t="s">
        <v>37</v>
      </c>
      <c r="V905" s="129"/>
      <c r="W905" s="163" t="s">
        <v>54</v>
      </c>
      <c r="X905" s="215"/>
      <c r="Y905" s="216">
        <v>0</v>
      </c>
      <c r="Z905" s="216">
        <v>0</v>
      </c>
      <c r="AA905" s="263"/>
      <c r="AB905" s="155"/>
      <c r="AC905" s="212"/>
    </row>
    <row r="906" spans="1:29" s="182" customFormat="1" hidden="1" x14ac:dyDescent="0.25">
      <c r="A906" s="131">
        <v>1</v>
      </c>
      <c r="B906" s="136">
        <v>1405041</v>
      </c>
      <c r="C906" s="128" t="s">
        <v>934</v>
      </c>
      <c r="D906" s="129" t="s">
        <v>1097</v>
      </c>
      <c r="E906" s="147" t="s">
        <v>38</v>
      </c>
      <c r="F906" s="129" t="s">
        <v>1043</v>
      </c>
      <c r="G906" s="147" t="s">
        <v>1731</v>
      </c>
      <c r="H906" s="191">
        <f t="shared" si="15"/>
        <v>0</v>
      </c>
      <c r="I906" s="225"/>
      <c r="J906" s="149"/>
      <c r="K906" s="147">
        <v>11</v>
      </c>
      <c r="L906" s="147">
        <v>1</v>
      </c>
      <c r="M906" s="147">
        <v>12</v>
      </c>
      <c r="N906" s="289"/>
      <c r="O906" s="196"/>
      <c r="P906" s="180"/>
      <c r="Q906" s="174"/>
      <c r="R906" s="206">
        <v>0</v>
      </c>
      <c r="S906" s="168"/>
      <c r="T906" s="129" t="s">
        <v>64</v>
      </c>
      <c r="U906" s="147" t="s">
        <v>37</v>
      </c>
      <c r="V906" s="129"/>
      <c r="W906" s="163" t="s">
        <v>54</v>
      </c>
      <c r="X906" s="215"/>
      <c r="Y906" s="216">
        <v>0</v>
      </c>
      <c r="Z906" s="216">
        <v>0</v>
      </c>
      <c r="AA906" s="263"/>
      <c r="AB906" s="155"/>
      <c r="AC906" s="212"/>
    </row>
    <row r="907" spans="1:29" s="182" customFormat="1" hidden="1" x14ac:dyDescent="0.25">
      <c r="A907" s="131">
        <v>1</v>
      </c>
      <c r="B907" s="136">
        <v>1405042</v>
      </c>
      <c r="C907" s="128" t="s">
        <v>934</v>
      </c>
      <c r="D907" s="129" t="s">
        <v>1098</v>
      </c>
      <c r="E907" s="147" t="s">
        <v>38</v>
      </c>
      <c r="F907" s="129" t="s">
        <v>1043</v>
      </c>
      <c r="G907" s="147" t="s">
        <v>1731</v>
      </c>
      <c r="H907" s="191">
        <f t="shared" si="15"/>
        <v>0</v>
      </c>
      <c r="I907" s="225"/>
      <c r="J907" s="149"/>
      <c r="K907" s="147">
        <v>11</v>
      </c>
      <c r="L907" s="147">
        <v>1</v>
      </c>
      <c r="M907" s="147">
        <v>12</v>
      </c>
      <c r="N907" s="289"/>
      <c r="O907" s="196"/>
      <c r="P907" s="180"/>
      <c r="Q907" s="174"/>
      <c r="R907" s="206">
        <v>0</v>
      </c>
      <c r="S907" s="168"/>
      <c r="T907" s="129" t="s">
        <v>64</v>
      </c>
      <c r="U907" s="147" t="s">
        <v>37</v>
      </c>
      <c r="V907" s="129"/>
      <c r="W907" s="163" t="s">
        <v>54</v>
      </c>
      <c r="X907" s="215"/>
      <c r="Y907" s="216">
        <v>0</v>
      </c>
      <c r="Z907" s="216">
        <v>0</v>
      </c>
      <c r="AA907" s="263"/>
      <c r="AB907" s="155"/>
      <c r="AC907" s="212"/>
    </row>
    <row r="908" spans="1:29" s="182" customFormat="1" hidden="1" x14ac:dyDescent="0.25">
      <c r="A908" s="131">
        <v>1</v>
      </c>
      <c r="B908" s="136">
        <v>1405043</v>
      </c>
      <c r="C908" s="128" t="s">
        <v>934</v>
      </c>
      <c r="D908" s="129" t="s">
        <v>1099</v>
      </c>
      <c r="E908" s="147" t="s">
        <v>38</v>
      </c>
      <c r="F908" s="129" t="s">
        <v>1043</v>
      </c>
      <c r="G908" s="147" t="s">
        <v>1731</v>
      </c>
      <c r="H908" s="191">
        <f t="shared" si="15"/>
        <v>0</v>
      </c>
      <c r="I908" s="225"/>
      <c r="J908" s="149"/>
      <c r="K908" s="147">
        <v>11</v>
      </c>
      <c r="L908" s="147">
        <v>1</v>
      </c>
      <c r="M908" s="147">
        <v>12</v>
      </c>
      <c r="N908" s="289"/>
      <c r="O908" s="196"/>
      <c r="P908" s="180"/>
      <c r="Q908" s="174"/>
      <c r="R908" s="206">
        <v>0</v>
      </c>
      <c r="S908" s="168"/>
      <c r="T908" s="129" t="s">
        <v>64</v>
      </c>
      <c r="U908" s="147" t="s">
        <v>37</v>
      </c>
      <c r="V908" s="129"/>
      <c r="W908" s="163" t="s">
        <v>54</v>
      </c>
      <c r="X908" s="215"/>
      <c r="Y908" s="216">
        <v>0</v>
      </c>
      <c r="Z908" s="216">
        <v>0</v>
      </c>
      <c r="AA908" s="263"/>
      <c r="AB908" s="155"/>
      <c r="AC908" s="212"/>
    </row>
    <row r="909" spans="1:29" s="182" customFormat="1" hidden="1" x14ac:dyDescent="0.25">
      <c r="A909" s="131">
        <v>1</v>
      </c>
      <c r="B909" s="136">
        <v>1405044</v>
      </c>
      <c r="C909" s="128" t="s">
        <v>934</v>
      </c>
      <c r="D909" s="129" t="s">
        <v>1100</v>
      </c>
      <c r="E909" s="147" t="s">
        <v>38</v>
      </c>
      <c r="F909" s="129" t="s">
        <v>1043</v>
      </c>
      <c r="G909" s="147" t="s">
        <v>1731</v>
      </c>
      <c r="H909" s="191">
        <f t="shared" si="15"/>
        <v>0</v>
      </c>
      <c r="I909" s="225"/>
      <c r="J909" s="149"/>
      <c r="K909" s="147">
        <v>11</v>
      </c>
      <c r="L909" s="147">
        <v>1</v>
      </c>
      <c r="M909" s="147">
        <v>12</v>
      </c>
      <c r="N909" s="289"/>
      <c r="O909" s="196"/>
      <c r="P909" s="180"/>
      <c r="Q909" s="174"/>
      <c r="R909" s="206">
        <v>0</v>
      </c>
      <c r="S909" s="168"/>
      <c r="T909" s="129" t="s">
        <v>64</v>
      </c>
      <c r="U909" s="147" t="s">
        <v>37</v>
      </c>
      <c r="V909" s="129"/>
      <c r="W909" s="163" t="s">
        <v>54</v>
      </c>
      <c r="X909" s="215"/>
      <c r="Y909" s="216">
        <v>0</v>
      </c>
      <c r="Z909" s="216">
        <v>0</v>
      </c>
      <c r="AA909" s="263"/>
      <c r="AB909" s="155"/>
      <c r="AC909" s="212"/>
    </row>
    <row r="910" spans="1:29" s="182" customFormat="1" hidden="1" x14ac:dyDescent="0.25">
      <c r="A910" s="131">
        <v>1</v>
      </c>
      <c r="B910" s="136">
        <v>1405045</v>
      </c>
      <c r="C910" s="128" t="s">
        <v>934</v>
      </c>
      <c r="D910" s="129" t="s">
        <v>1101</v>
      </c>
      <c r="E910" s="147" t="s">
        <v>38</v>
      </c>
      <c r="F910" s="129" t="s">
        <v>1043</v>
      </c>
      <c r="G910" s="147" t="s">
        <v>1731</v>
      </c>
      <c r="H910" s="191">
        <f t="shared" si="15"/>
        <v>0</v>
      </c>
      <c r="I910" s="225"/>
      <c r="J910" s="149"/>
      <c r="K910" s="147"/>
      <c r="L910" s="147"/>
      <c r="M910" s="147">
        <v>12</v>
      </c>
      <c r="N910" s="289">
        <v>523</v>
      </c>
      <c r="O910" s="196"/>
      <c r="P910" s="180"/>
      <c r="Q910" s="174"/>
      <c r="R910" s="206">
        <v>0</v>
      </c>
      <c r="S910" s="168"/>
      <c r="T910" s="129" t="s">
        <v>64</v>
      </c>
      <c r="U910" s="147" t="s">
        <v>37</v>
      </c>
      <c r="V910" s="129"/>
      <c r="W910" s="163" t="s">
        <v>54</v>
      </c>
      <c r="X910" s="215"/>
      <c r="Y910" s="216">
        <v>0</v>
      </c>
      <c r="Z910" s="216">
        <v>0</v>
      </c>
      <c r="AA910" s="263"/>
      <c r="AB910" s="155"/>
      <c r="AC910" s="212"/>
    </row>
    <row r="911" spans="1:29" hidden="1" x14ac:dyDescent="0.25">
      <c r="A911" s="131">
        <v>1</v>
      </c>
      <c r="B911" s="136">
        <v>1405046</v>
      </c>
      <c r="C911" s="128" t="s">
        <v>934</v>
      </c>
      <c r="D911" s="129" t="s">
        <v>1102</v>
      </c>
      <c r="E911" s="147" t="s">
        <v>38</v>
      </c>
      <c r="F911" s="129" t="s">
        <v>1043</v>
      </c>
      <c r="G911" s="147" t="s">
        <v>1731</v>
      </c>
      <c r="H911" s="191">
        <f t="shared" si="15"/>
        <v>0</v>
      </c>
      <c r="I911" s="225"/>
      <c r="J911" s="149"/>
      <c r="K911" s="147"/>
      <c r="L911" s="147"/>
      <c r="M911" s="147">
        <v>12</v>
      </c>
      <c r="N911" s="289">
        <v>523</v>
      </c>
      <c r="O911" s="196"/>
      <c r="P911" s="180"/>
      <c r="Q911" s="174"/>
      <c r="R911" s="206">
        <v>0</v>
      </c>
      <c r="S911" s="168"/>
      <c r="T911" s="129" t="s">
        <v>64</v>
      </c>
      <c r="U911" s="147" t="s">
        <v>37</v>
      </c>
      <c r="V911" s="129"/>
      <c r="W911" s="163" t="s">
        <v>54</v>
      </c>
      <c r="X911" s="215"/>
      <c r="Y911" s="216">
        <v>0</v>
      </c>
      <c r="Z911" s="216">
        <v>0</v>
      </c>
      <c r="AA911" s="263"/>
      <c r="AB911" s="155"/>
      <c r="AC911" s="212"/>
    </row>
    <row r="912" spans="1:29" hidden="1" x14ac:dyDescent="0.25">
      <c r="A912" s="131">
        <v>1</v>
      </c>
      <c r="B912" s="136">
        <v>1405047</v>
      </c>
      <c r="C912" s="128" t="s">
        <v>934</v>
      </c>
      <c r="D912" s="129" t="s">
        <v>1103</v>
      </c>
      <c r="E912" s="147" t="s">
        <v>38</v>
      </c>
      <c r="F912" s="129" t="s">
        <v>1043</v>
      </c>
      <c r="G912" s="147" t="s">
        <v>1731</v>
      </c>
      <c r="H912" s="191">
        <f t="shared" si="15"/>
        <v>0</v>
      </c>
      <c r="I912" s="225"/>
      <c r="J912" s="149"/>
      <c r="K912" s="147">
        <v>11</v>
      </c>
      <c r="L912" s="147">
        <v>1</v>
      </c>
      <c r="M912" s="147">
        <v>12</v>
      </c>
      <c r="N912" s="289"/>
      <c r="O912" s="196"/>
      <c r="P912" s="180"/>
      <c r="Q912" s="174"/>
      <c r="R912" s="206">
        <v>0</v>
      </c>
      <c r="S912" s="168"/>
      <c r="T912" s="129" t="s">
        <v>64</v>
      </c>
      <c r="U912" s="147" t="s">
        <v>37</v>
      </c>
      <c r="V912" s="129"/>
      <c r="W912" s="163" t="s">
        <v>54</v>
      </c>
      <c r="X912" s="215"/>
      <c r="Y912" s="216">
        <v>0</v>
      </c>
      <c r="Z912" s="216">
        <v>0</v>
      </c>
      <c r="AA912" s="263"/>
      <c r="AB912" s="155"/>
      <c r="AC912" s="212"/>
    </row>
    <row r="913" spans="1:29" hidden="1" x14ac:dyDescent="0.25">
      <c r="A913" s="131">
        <v>1</v>
      </c>
      <c r="B913" s="136">
        <v>1405048</v>
      </c>
      <c r="C913" s="128" t="s">
        <v>934</v>
      </c>
      <c r="D913" s="129" t="s">
        <v>1104</v>
      </c>
      <c r="E913" s="147" t="s">
        <v>38</v>
      </c>
      <c r="F913" s="129" t="s">
        <v>1043</v>
      </c>
      <c r="G913" s="147" t="s">
        <v>1731</v>
      </c>
      <c r="H913" s="191">
        <f t="shared" si="15"/>
        <v>0</v>
      </c>
      <c r="I913" s="225"/>
      <c r="J913" s="149"/>
      <c r="K913" s="147">
        <v>11</v>
      </c>
      <c r="L913" s="147">
        <v>1</v>
      </c>
      <c r="M913" s="147">
        <v>12</v>
      </c>
      <c r="N913" s="289"/>
      <c r="O913" s="196"/>
      <c r="P913" s="180"/>
      <c r="Q913" s="174"/>
      <c r="R913" s="206">
        <v>0</v>
      </c>
      <c r="S913" s="168"/>
      <c r="T913" s="129" t="s">
        <v>64</v>
      </c>
      <c r="U913" s="147" t="s">
        <v>37</v>
      </c>
      <c r="V913" s="129"/>
      <c r="W913" s="163" t="s">
        <v>54</v>
      </c>
      <c r="X913" s="215"/>
      <c r="Y913" s="216">
        <v>0</v>
      </c>
      <c r="Z913" s="216">
        <v>0</v>
      </c>
      <c r="AA913" s="263"/>
      <c r="AB913" s="155"/>
      <c r="AC913" s="212"/>
    </row>
    <row r="914" spans="1:29" s="182" customFormat="1" hidden="1" x14ac:dyDescent="0.25">
      <c r="A914" s="131">
        <v>1</v>
      </c>
      <c r="B914" s="136">
        <v>1405049</v>
      </c>
      <c r="C914" s="128" t="s">
        <v>934</v>
      </c>
      <c r="D914" s="129" t="s">
        <v>1105</v>
      </c>
      <c r="E914" s="147" t="s">
        <v>38</v>
      </c>
      <c r="F914" s="129" t="s">
        <v>1043</v>
      </c>
      <c r="G914" s="147" t="s">
        <v>1731</v>
      </c>
      <c r="H914" s="191">
        <f t="shared" si="15"/>
        <v>0</v>
      </c>
      <c r="I914" s="225"/>
      <c r="J914" s="149"/>
      <c r="K914" s="147">
        <v>11</v>
      </c>
      <c r="L914" s="147">
        <v>1</v>
      </c>
      <c r="M914" s="147">
        <v>12</v>
      </c>
      <c r="N914" s="289"/>
      <c r="O914" s="196"/>
      <c r="P914" s="180"/>
      <c r="Q914" s="174"/>
      <c r="R914" s="206">
        <v>0</v>
      </c>
      <c r="S914" s="168"/>
      <c r="T914" s="129" t="s">
        <v>64</v>
      </c>
      <c r="U914" s="147" t="s">
        <v>37</v>
      </c>
      <c r="V914" s="129"/>
      <c r="W914" s="163" t="s">
        <v>54</v>
      </c>
      <c r="X914" s="215"/>
      <c r="Y914" s="216">
        <v>0</v>
      </c>
      <c r="Z914" s="216">
        <v>0</v>
      </c>
      <c r="AA914" s="263"/>
      <c r="AB914" s="155"/>
      <c r="AC914" s="212"/>
    </row>
    <row r="915" spans="1:29" s="182" customFormat="1" hidden="1" x14ac:dyDescent="0.25">
      <c r="A915" s="131">
        <v>1</v>
      </c>
      <c r="B915" s="136">
        <v>1405050</v>
      </c>
      <c r="C915" s="128" t="s">
        <v>934</v>
      </c>
      <c r="D915" s="129" t="s">
        <v>1106</v>
      </c>
      <c r="E915" s="147" t="s">
        <v>38</v>
      </c>
      <c r="F915" s="129" t="s">
        <v>1043</v>
      </c>
      <c r="G915" s="147" t="s">
        <v>1731</v>
      </c>
      <c r="H915" s="191">
        <f t="shared" si="15"/>
        <v>0</v>
      </c>
      <c r="I915" s="225"/>
      <c r="J915" s="149"/>
      <c r="K915" s="147">
        <v>11</v>
      </c>
      <c r="L915" s="147">
        <v>1</v>
      </c>
      <c r="M915" s="147">
        <v>12</v>
      </c>
      <c r="N915" s="289"/>
      <c r="O915" s="196"/>
      <c r="P915" s="180"/>
      <c r="Q915" s="174"/>
      <c r="R915" s="206">
        <v>0</v>
      </c>
      <c r="S915" s="168"/>
      <c r="T915" s="129" t="s">
        <v>64</v>
      </c>
      <c r="U915" s="147" t="s">
        <v>37</v>
      </c>
      <c r="V915" s="129"/>
      <c r="W915" s="163" t="s">
        <v>54</v>
      </c>
      <c r="X915" s="215"/>
      <c r="Y915" s="216">
        <v>0</v>
      </c>
      <c r="Z915" s="216">
        <v>0</v>
      </c>
      <c r="AA915" s="263"/>
      <c r="AB915" s="155"/>
      <c r="AC915" s="212"/>
    </row>
    <row r="916" spans="1:29" s="182" customFormat="1" hidden="1" x14ac:dyDescent="0.25">
      <c r="A916" s="131">
        <v>1</v>
      </c>
      <c r="B916" s="136">
        <v>1405051</v>
      </c>
      <c r="C916" s="128" t="s">
        <v>934</v>
      </c>
      <c r="D916" s="129" t="s">
        <v>1107</v>
      </c>
      <c r="E916" s="147" t="s">
        <v>38</v>
      </c>
      <c r="F916" s="129" t="s">
        <v>1043</v>
      </c>
      <c r="G916" s="147" t="s">
        <v>1731</v>
      </c>
      <c r="H916" s="191">
        <f t="shared" si="15"/>
        <v>0</v>
      </c>
      <c r="I916" s="225"/>
      <c r="J916" s="149"/>
      <c r="K916" s="147">
        <v>11</v>
      </c>
      <c r="L916" s="147">
        <v>1</v>
      </c>
      <c r="M916" s="147">
        <v>12</v>
      </c>
      <c r="N916" s="289"/>
      <c r="O916" s="196"/>
      <c r="P916" s="180"/>
      <c r="Q916" s="174"/>
      <c r="R916" s="206">
        <v>0</v>
      </c>
      <c r="S916" s="168"/>
      <c r="T916" s="129" t="s">
        <v>64</v>
      </c>
      <c r="U916" s="147" t="s">
        <v>37</v>
      </c>
      <c r="V916" s="129"/>
      <c r="W916" s="163" t="s">
        <v>54</v>
      </c>
      <c r="X916" s="215"/>
      <c r="Y916" s="216">
        <v>0</v>
      </c>
      <c r="Z916" s="216">
        <v>0</v>
      </c>
      <c r="AA916" s="263"/>
      <c r="AB916" s="155"/>
      <c r="AC916" s="212"/>
    </row>
    <row r="917" spans="1:29" hidden="1" x14ac:dyDescent="0.25">
      <c r="A917" s="131">
        <v>1</v>
      </c>
      <c r="B917" s="136">
        <v>1405052</v>
      </c>
      <c r="C917" s="128" t="s">
        <v>934</v>
      </c>
      <c r="D917" s="129" t="s">
        <v>1108</v>
      </c>
      <c r="E917" s="147" t="s">
        <v>38</v>
      </c>
      <c r="F917" s="129" t="s">
        <v>1043</v>
      </c>
      <c r="G917" s="147" t="s">
        <v>1731</v>
      </c>
      <c r="H917" s="191">
        <f t="shared" si="15"/>
        <v>0</v>
      </c>
      <c r="I917" s="225"/>
      <c r="J917" s="149"/>
      <c r="K917" s="147">
        <v>11</v>
      </c>
      <c r="L917" s="147">
        <v>1</v>
      </c>
      <c r="M917" s="147">
        <v>12</v>
      </c>
      <c r="N917" s="289"/>
      <c r="O917" s="196"/>
      <c r="P917" s="180"/>
      <c r="Q917" s="174"/>
      <c r="R917" s="206">
        <v>0</v>
      </c>
      <c r="S917" s="168"/>
      <c r="T917" s="129" t="s">
        <v>64</v>
      </c>
      <c r="U917" s="147" t="s">
        <v>37</v>
      </c>
      <c r="V917" s="129"/>
      <c r="W917" s="163" t="s">
        <v>54</v>
      </c>
      <c r="X917" s="215"/>
      <c r="Y917" s="216">
        <v>0</v>
      </c>
      <c r="Z917" s="216">
        <v>0</v>
      </c>
      <c r="AA917" s="263"/>
      <c r="AB917" s="155"/>
      <c r="AC917" s="212"/>
    </row>
    <row r="918" spans="1:29" s="182" customFormat="1" hidden="1" x14ac:dyDescent="0.25">
      <c r="A918" s="131">
        <v>1</v>
      </c>
      <c r="B918" s="136">
        <v>1405053</v>
      </c>
      <c r="C918" s="128" t="s">
        <v>934</v>
      </c>
      <c r="D918" s="129" t="s">
        <v>1109</v>
      </c>
      <c r="E918" s="147" t="s">
        <v>38</v>
      </c>
      <c r="F918" s="129" t="s">
        <v>1043</v>
      </c>
      <c r="G918" s="147" t="s">
        <v>1731</v>
      </c>
      <c r="H918" s="191">
        <f t="shared" si="15"/>
        <v>0</v>
      </c>
      <c r="I918" s="225"/>
      <c r="J918" s="149"/>
      <c r="K918" s="147">
        <v>11</v>
      </c>
      <c r="L918" s="147">
        <v>1</v>
      </c>
      <c r="M918" s="147">
        <v>12</v>
      </c>
      <c r="N918" s="289"/>
      <c r="O918" s="196"/>
      <c r="P918" s="180"/>
      <c r="Q918" s="174"/>
      <c r="R918" s="206">
        <v>0</v>
      </c>
      <c r="S918" s="168"/>
      <c r="T918" s="129" t="s">
        <v>64</v>
      </c>
      <c r="U918" s="147" t="s">
        <v>37</v>
      </c>
      <c r="V918" s="129"/>
      <c r="W918" s="163" t="s">
        <v>54</v>
      </c>
      <c r="X918" s="215"/>
      <c r="Y918" s="216">
        <v>0</v>
      </c>
      <c r="Z918" s="216">
        <v>0</v>
      </c>
      <c r="AA918" s="263"/>
      <c r="AB918" s="155"/>
      <c r="AC918" s="212"/>
    </row>
    <row r="919" spans="1:29" s="182" customFormat="1" hidden="1" x14ac:dyDescent="0.25">
      <c r="A919" s="131">
        <v>1</v>
      </c>
      <c r="B919" s="136">
        <v>1405054</v>
      </c>
      <c r="C919" s="128" t="s">
        <v>934</v>
      </c>
      <c r="D919" s="129" t="s">
        <v>1110</v>
      </c>
      <c r="E919" s="147" t="s">
        <v>38</v>
      </c>
      <c r="F919" s="129" t="s">
        <v>1043</v>
      </c>
      <c r="G919" s="147" t="s">
        <v>1731</v>
      </c>
      <c r="H919" s="191">
        <f t="shared" si="15"/>
        <v>0</v>
      </c>
      <c r="I919" s="225"/>
      <c r="J919" s="149"/>
      <c r="K919" s="147">
        <v>11</v>
      </c>
      <c r="L919" s="147">
        <v>1</v>
      </c>
      <c r="M919" s="147">
        <v>12</v>
      </c>
      <c r="N919" s="289"/>
      <c r="O919" s="196"/>
      <c r="P919" s="180"/>
      <c r="Q919" s="174"/>
      <c r="R919" s="206">
        <v>0</v>
      </c>
      <c r="S919" s="168"/>
      <c r="T919" s="129" t="s">
        <v>64</v>
      </c>
      <c r="U919" s="147" t="s">
        <v>37</v>
      </c>
      <c r="V919" s="129"/>
      <c r="W919" s="163" t="s">
        <v>54</v>
      </c>
      <c r="X919" s="215"/>
      <c r="Y919" s="216">
        <v>0</v>
      </c>
      <c r="Z919" s="216">
        <v>0</v>
      </c>
      <c r="AA919" s="263"/>
      <c r="AB919" s="155"/>
      <c r="AC919" s="212"/>
    </row>
    <row r="920" spans="1:29" s="182" customFormat="1" hidden="1" x14ac:dyDescent="0.25">
      <c r="A920" s="131">
        <v>1</v>
      </c>
      <c r="B920" s="136">
        <v>1405055</v>
      </c>
      <c r="C920" s="128" t="s">
        <v>934</v>
      </c>
      <c r="D920" s="129" t="s">
        <v>1111</v>
      </c>
      <c r="E920" s="147" t="s">
        <v>38</v>
      </c>
      <c r="F920" s="129" t="s">
        <v>1043</v>
      </c>
      <c r="G920" s="147" t="s">
        <v>1731</v>
      </c>
      <c r="H920" s="191">
        <f t="shared" si="15"/>
        <v>0</v>
      </c>
      <c r="I920" s="225"/>
      <c r="J920" s="149"/>
      <c r="K920" s="147">
        <v>11</v>
      </c>
      <c r="L920" s="147">
        <v>1</v>
      </c>
      <c r="M920" s="147">
        <v>12</v>
      </c>
      <c r="N920" s="289"/>
      <c r="O920" s="196"/>
      <c r="P920" s="180"/>
      <c r="Q920" s="174"/>
      <c r="R920" s="206">
        <v>0</v>
      </c>
      <c r="S920" s="168"/>
      <c r="T920" s="129" t="s">
        <v>64</v>
      </c>
      <c r="U920" s="147" t="s">
        <v>37</v>
      </c>
      <c r="V920" s="129"/>
      <c r="W920" s="163" t="s">
        <v>54</v>
      </c>
      <c r="X920" s="215"/>
      <c r="Y920" s="216">
        <v>0</v>
      </c>
      <c r="Z920" s="216">
        <v>0</v>
      </c>
      <c r="AA920" s="263"/>
      <c r="AB920" s="155"/>
      <c r="AC920" s="212"/>
    </row>
    <row r="921" spans="1:29" s="182" customFormat="1" hidden="1" x14ac:dyDescent="0.25">
      <c r="A921" s="131">
        <v>1</v>
      </c>
      <c r="B921" s="136">
        <v>1405056</v>
      </c>
      <c r="C921" s="128" t="s">
        <v>934</v>
      </c>
      <c r="D921" s="129" t="s">
        <v>1112</v>
      </c>
      <c r="E921" s="147" t="s">
        <v>38</v>
      </c>
      <c r="F921" s="129" t="s">
        <v>1043</v>
      </c>
      <c r="G921" s="147" t="s">
        <v>1731</v>
      </c>
      <c r="H921" s="191">
        <f t="shared" si="15"/>
        <v>0</v>
      </c>
      <c r="I921" s="225"/>
      <c r="J921" s="149"/>
      <c r="K921" s="147">
        <v>11</v>
      </c>
      <c r="L921" s="147">
        <v>1</v>
      </c>
      <c r="M921" s="147">
        <v>12</v>
      </c>
      <c r="N921" s="289"/>
      <c r="O921" s="196"/>
      <c r="P921" s="180"/>
      <c r="Q921" s="174"/>
      <c r="R921" s="206">
        <v>0</v>
      </c>
      <c r="S921" s="168"/>
      <c r="T921" s="129" t="s">
        <v>64</v>
      </c>
      <c r="U921" s="147" t="s">
        <v>37</v>
      </c>
      <c r="V921" s="129"/>
      <c r="W921" s="163" t="s">
        <v>54</v>
      </c>
      <c r="X921" s="215"/>
      <c r="Y921" s="216">
        <v>0</v>
      </c>
      <c r="Z921" s="216">
        <v>0</v>
      </c>
      <c r="AA921" s="263"/>
      <c r="AB921" s="155"/>
      <c r="AC921" s="212"/>
    </row>
    <row r="922" spans="1:29" s="182" customFormat="1" hidden="1" x14ac:dyDescent="0.25">
      <c r="A922" s="131">
        <v>1</v>
      </c>
      <c r="B922" s="136">
        <v>1405057</v>
      </c>
      <c r="C922" s="128" t="s">
        <v>934</v>
      </c>
      <c r="D922" s="129" t="s">
        <v>1113</v>
      </c>
      <c r="E922" s="147" t="s">
        <v>38</v>
      </c>
      <c r="F922" s="129" t="s">
        <v>1043</v>
      </c>
      <c r="G922" s="147" t="s">
        <v>1731</v>
      </c>
      <c r="H922" s="191">
        <f t="shared" si="15"/>
        <v>0</v>
      </c>
      <c r="I922" s="225"/>
      <c r="J922" s="149"/>
      <c r="K922" s="147">
        <v>11</v>
      </c>
      <c r="L922" s="147">
        <v>1</v>
      </c>
      <c r="M922" s="147">
        <v>12</v>
      </c>
      <c r="N922" s="289"/>
      <c r="O922" s="196"/>
      <c r="P922" s="180"/>
      <c r="Q922" s="174"/>
      <c r="R922" s="206">
        <v>0</v>
      </c>
      <c r="S922" s="168"/>
      <c r="T922" s="129" t="s">
        <v>64</v>
      </c>
      <c r="U922" s="147" t="s">
        <v>37</v>
      </c>
      <c r="V922" s="129"/>
      <c r="W922" s="163" t="s">
        <v>54</v>
      </c>
      <c r="X922" s="215"/>
      <c r="Y922" s="216">
        <v>0</v>
      </c>
      <c r="Z922" s="216">
        <v>0</v>
      </c>
      <c r="AA922" s="263"/>
      <c r="AB922" s="155"/>
      <c r="AC922" s="212"/>
    </row>
    <row r="923" spans="1:29" hidden="1" x14ac:dyDescent="0.25">
      <c r="A923" s="131">
        <v>1</v>
      </c>
      <c r="B923" s="136">
        <v>1405058</v>
      </c>
      <c r="C923" s="128" t="s">
        <v>934</v>
      </c>
      <c r="D923" s="129" t="s">
        <v>1114</v>
      </c>
      <c r="E923" s="147" t="s">
        <v>38</v>
      </c>
      <c r="F923" s="129" t="s">
        <v>1043</v>
      </c>
      <c r="G923" s="147" t="s">
        <v>1731</v>
      </c>
      <c r="H923" s="191">
        <f t="shared" si="15"/>
        <v>0</v>
      </c>
      <c r="I923" s="225"/>
      <c r="J923" s="149"/>
      <c r="K923" s="147">
        <v>11</v>
      </c>
      <c r="L923" s="147">
        <v>1</v>
      </c>
      <c r="M923" s="147">
        <v>12</v>
      </c>
      <c r="N923" s="289"/>
      <c r="O923" s="196"/>
      <c r="P923" s="180"/>
      <c r="Q923" s="174"/>
      <c r="R923" s="206">
        <v>0</v>
      </c>
      <c r="S923" s="168"/>
      <c r="T923" s="129" t="s">
        <v>64</v>
      </c>
      <c r="U923" s="147" t="s">
        <v>37</v>
      </c>
      <c r="V923" s="129"/>
      <c r="W923" s="163" t="s">
        <v>54</v>
      </c>
      <c r="X923" s="215"/>
      <c r="Y923" s="216">
        <v>0</v>
      </c>
      <c r="Z923" s="216">
        <v>0</v>
      </c>
      <c r="AA923" s="263"/>
      <c r="AB923" s="155"/>
      <c r="AC923" s="212"/>
    </row>
    <row r="924" spans="1:29" hidden="1" x14ac:dyDescent="0.25">
      <c r="A924" s="131">
        <v>1</v>
      </c>
      <c r="B924" s="136">
        <v>1405059</v>
      </c>
      <c r="C924" s="128" t="s">
        <v>934</v>
      </c>
      <c r="D924" s="129" t="s">
        <v>1115</v>
      </c>
      <c r="E924" s="147" t="s">
        <v>38</v>
      </c>
      <c r="F924" s="129" t="s">
        <v>1043</v>
      </c>
      <c r="G924" s="147" t="s">
        <v>1731</v>
      </c>
      <c r="H924" s="191">
        <f t="shared" si="15"/>
        <v>0</v>
      </c>
      <c r="I924" s="225"/>
      <c r="J924" s="149"/>
      <c r="K924" s="147">
        <v>11</v>
      </c>
      <c r="L924" s="147">
        <v>1</v>
      </c>
      <c r="M924" s="147">
        <v>12</v>
      </c>
      <c r="N924" s="289"/>
      <c r="O924" s="196"/>
      <c r="P924" s="180"/>
      <c r="Q924" s="174"/>
      <c r="R924" s="206">
        <v>0</v>
      </c>
      <c r="S924" s="168"/>
      <c r="T924" s="129" t="s">
        <v>64</v>
      </c>
      <c r="U924" s="147" t="s">
        <v>37</v>
      </c>
      <c r="V924" s="129"/>
      <c r="W924" s="163" t="s">
        <v>54</v>
      </c>
      <c r="X924" s="215"/>
      <c r="Y924" s="216">
        <v>0</v>
      </c>
      <c r="Z924" s="216">
        <v>0</v>
      </c>
      <c r="AA924" s="263"/>
      <c r="AB924" s="155"/>
      <c r="AC924" s="212"/>
    </row>
    <row r="925" spans="1:29" hidden="1" x14ac:dyDescent="0.25">
      <c r="A925" s="131">
        <v>1</v>
      </c>
      <c r="B925" s="136">
        <v>1405060</v>
      </c>
      <c r="C925" s="128" t="s">
        <v>934</v>
      </c>
      <c r="D925" s="129" t="s">
        <v>1116</v>
      </c>
      <c r="E925" s="147" t="s">
        <v>38</v>
      </c>
      <c r="F925" s="129" t="s">
        <v>1043</v>
      </c>
      <c r="G925" s="147" t="s">
        <v>1731</v>
      </c>
      <c r="H925" s="191">
        <f t="shared" si="15"/>
        <v>0</v>
      </c>
      <c r="I925" s="225"/>
      <c r="J925" s="149"/>
      <c r="K925" s="147"/>
      <c r="L925" s="147"/>
      <c r="M925" s="147">
        <v>12</v>
      </c>
      <c r="N925" s="289">
        <v>4150</v>
      </c>
      <c r="O925" s="196"/>
      <c r="P925" s="180"/>
      <c r="Q925" s="174"/>
      <c r="R925" s="206">
        <v>0</v>
      </c>
      <c r="S925" s="168"/>
      <c r="T925" s="129" t="s">
        <v>64</v>
      </c>
      <c r="U925" s="147" t="s">
        <v>37</v>
      </c>
      <c r="V925" s="129"/>
      <c r="W925" s="163" t="s">
        <v>54</v>
      </c>
      <c r="X925" s="215"/>
      <c r="Y925" s="216">
        <v>0</v>
      </c>
      <c r="Z925" s="216">
        <v>0</v>
      </c>
      <c r="AA925" s="263"/>
      <c r="AB925" s="155"/>
      <c r="AC925" s="212"/>
    </row>
    <row r="926" spans="1:29" hidden="1" x14ac:dyDescent="0.25">
      <c r="A926" s="131">
        <v>1</v>
      </c>
      <c r="B926" s="136">
        <v>1405061</v>
      </c>
      <c r="C926" s="128" t="s">
        <v>934</v>
      </c>
      <c r="D926" s="129" t="s">
        <v>1117</v>
      </c>
      <c r="E926" s="147" t="s">
        <v>38</v>
      </c>
      <c r="F926" s="129" t="s">
        <v>1043</v>
      </c>
      <c r="G926" s="147" t="s">
        <v>1731</v>
      </c>
      <c r="H926" s="191">
        <f t="shared" si="15"/>
        <v>0</v>
      </c>
      <c r="I926" s="225"/>
      <c r="J926" s="149"/>
      <c r="K926" s="147">
        <v>11</v>
      </c>
      <c r="L926" s="147">
        <v>1</v>
      </c>
      <c r="M926" s="147">
        <v>12</v>
      </c>
      <c r="N926" s="289"/>
      <c r="O926" s="196"/>
      <c r="P926" s="180"/>
      <c r="Q926" s="174"/>
      <c r="R926" s="206">
        <v>0</v>
      </c>
      <c r="S926" s="168"/>
      <c r="T926" s="129" t="s">
        <v>64</v>
      </c>
      <c r="U926" s="147" t="s">
        <v>37</v>
      </c>
      <c r="V926" s="129"/>
      <c r="W926" s="163" t="s">
        <v>54</v>
      </c>
      <c r="X926" s="215"/>
      <c r="Y926" s="216">
        <v>0</v>
      </c>
      <c r="Z926" s="216">
        <v>0</v>
      </c>
      <c r="AA926" s="263"/>
      <c r="AB926" s="155"/>
      <c r="AC926" s="212"/>
    </row>
    <row r="927" spans="1:29" hidden="1" x14ac:dyDescent="0.25">
      <c r="A927" s="131">
        <v>1</v>
      </c>
      <c r="B927" s="136">
        <v>1405062</v>
      </c>
      <c r="C927" s="128" t="s">
        <v>934</v>
      </c>
      <c r="D927" s="129" t="s">
        <v>1118</v>
      </c>
      <c r="E927" s="147" t="s">
        <v>38</v>
      </c>
      <c r="F927" s="129" t="s">
        <v>1043</v>
      </c>
      <c r="G927" s="147" t="s">
        <v>1731</v>
      </c>
      <c r="H927" s="191">
        <f t="shared" si="15"/>
        <v>0</v>
      </c>
      <c r="I927" s="225"/>
      <c r="J927" s="149"/>
      <c r="K927" s="147">
        <v>11</v>
      </c>
      <c r="L927" s="147">
        <v>1</v>
      </c>
      <c r="M927" s="147">
        <v>12</v>
      </c>
      <c r="N927" s="289"/>
      <c r="O927" s="196"/>
      <c r="P927" s="180"/>
      <c r="Q927" s="174"/>
      <c r="R927" s="206">
        <v>0</v>
      </c>
      <c r="S927" s="168"/>
      <c r="T927" s="129" t="s">
        <v>64</v>
      </c>
      <c r="U927" s="147" t="s">
        <v>37</v>
      </c>
      <c r="V927" s="129"/>
      <c r="W927" s="163" t="s">
        <v>54</v>
      </c>
      <c r="X927" s="215"/>
      <c r="Y927" s="216">
        <v>0</v>
      </c>
      <c r="Z927" s="216">
        <v>0</v>
      </c>
      <c r="AA927" s="263"/>
      <c r="AB927" s="155"/>
      <c r="AC927" s="212"/>
    </row>
    <row r="928" spans="1:29" hidden="1" x14ac:dyDescent="0.25">
      <c r="A928" s="131">
        <v>1</v>
      </c>
      <c r="B928" s="136">
        <v>1405063</v>
      </c>
      <c r="C928" s="128" t="s">
        <v>934</v>
      </c>
      <c r="D928" s="129" t="s">
        <v>1119</v>
      </c>
      <c r="E928" s="147" t="s">
        <v>38</v>
      </c>
      <c r="F928" s="129" t="s">
        <v>1043</v>
      </c>
      <c r="G928" s="147" t="s">
        <v>1731</v>
      </c>
      <c r="H928" s="191">
        <f t="shared" si="15"/>
        <v>0</v>
      </c>
      <c r="I928" s="225"/>
      <c r="J928" s="149"/>
      <c r="K928" s="147"/>
      <c r="L928" s="147"/>
      <c r="M928" s="147">
        <v>12</v>
      </c>
      <c r="N928" s="289">
        <v>4150</v>
      </c>
      <c r="O928" s="196"/>
      <c r="P928" s="180"/>
      <c r="Q928" s="174"/>
      <c r="R928" s="206">
        <v>0</v>
      </c>
      <c r="S928" s="168"/>
      <c r="T928" s="129" t="s">
        <v>64</v>
      </c>
      <c r="U928" s="147" t="s">
        <v>37</v>
      </c>
      <c r="V928" s="129"/>
      <c r="W928" s="163" t="s">
        <v>54</v>
      </c>
      <c r="X928" s="215"/>
      <c r="Y928" s="216">
        <v>0</v>
      </c>
      <c r="Z928" s="216">
        <v>0</v>
      </c>
      <c r="AA928" s="263"/>
      <c r="AB928" s="155"/>
      <c r="AC928" s="212"/>
    </row>
    <row r="929" spans="1:29" hidden="1" x14ac:dyDescent="0.25">
      <c r="A929" s="131">
        <v>1</v>
      </c>
      <c r="B929" s="136">
        <v>1405064</v>
      </c>
      <c r="C929" s="128" t="s">
        <v>934</v>
      </c>
      <c r="D929" s="129" t="s">
        <v>1120</v>
      </c>
      <c r="E929" s="147" t="s">
        <v>38</v>
      </c>
      <c r="F929" s="129" t="s">
        <v>1043</v>
      </c>
      <c r="G929" s="147" t="s">
        <v>1731</v>
      </c>
      <c r="H929" s="191">
        <f t="shared" si="15"/>
        <v>0</v>
      </c>
      <c r="I929" s="225"/>
      <c r="J929" s="149"/>
      <c r="K929" s="147"/>
      <c r="L929" s="147"/>
      <c r="M929" s="147">
        <v>12</v>
      </c>
      <c r="N929" s="289">
        <v>4150</v>
      </c>
      <c r="O929" s="196"/>
      <c r="P929" s="180"/>
      <c r="Q929" s="174"/>
      <c r="R929" s="206">
        <v>0</v>
      </c>
      <c r="S929" s="168"/>
      <c r="T929" s="129" t="s">
        <v>64</v>
      </c>
      <c r="U929" s="147" t="s">
        <v>37</v>
      </c>
      <c r="V929" s="129"/>
      <c r="W929" s="163" t="s">
        <v>54</v>
      </c>
      <c r="X929" s="215"/>
      <c r="Y929" s="216">
        <v>0</v>
      </c>
      <c r="Z929" s="216">
        <v>0</v>
      </c>
      <c r="AA929" s="263"/>
      <c r="AB929" s="155"/>
      <c r="AC929" s="212"/>
    </row>
    <row r="930" spans="1:29" hidden="1" x14ac:dyDescent="0.25">
      <c r="A930" s="131">
        <v>1</v>
      </c>
      <c r="B930" s="136">
        <v>1405065</v>
      </c>
      <c r="C930" s="128" t="s">
        <v>934</v>
      </c>
      <c r="D930" s="129" t="s">
        <v>1121</v>
      </c>
      <c r="E930" s="147" t="s">
        <v>38</v>
      </c>
      <c r="F930" s="129" t="s">
        <v>1043</v>
      </c>
      <c r="G930" s="147" t="s">
        <v>1731</v>
      </c>
      <c r="H930" s="191">
        <f t="shared" si="15"/>
        <v>0</v>
      </c>
      <c r="I930" s="225"/>
      <c r="J930" s="149"/>
      <c r="K930" s="147"/>
      <c r="L930" s="147"/>
      <c r="M930" s="147">
        <v>12</v>
      </c>
      <c r="N930" s="289">
        <v>3200</v>
      </c>
      <c r="O930" s="196"/>
      <c r="P930" s="180"/>
      <c r="Q930" s="174"/>
      <c r="R930" s="206">
        <v>0</v>
      </c>
      <c r="S930" s="168"/>
      <c r="T930" s="129" t="s">
        <v>64</v>
      </c>
      <c r="U930" s="147" t="s">
        <v>37</v>
      </c>
      <c r="V930" s="129"/>
      <c r="W930" s="163" t="s">
        <v>54</v>
      </c>
      <c r="X930" s="215"/>
      <c r="Y930" s="216">
        <v>0</v>
      </c>
      <c r="Z930" s="216">
        <v>0</v>
      </c>
      <c r="AA930" s="263"/>
      <c r="AB930" s="155"/>
      <c r="AC930" s="212"/>
    </row>
    <row r="931" spans="1:29" hidden="1" x14ac:dyDescent="0.25">
      <c r="A931" s="131">
        <v>1</v>
      </c>
      <c r="B931" s="136">
        <v>1405066</v>
      </c>
      <c r="C931" s="128" t="s">
        <v>934</v>
      </c>
      <c r="D931" s="129" t="s">
        <v>1122</v>
      </c>
      <c r="E931" s="147" t="s">
        <v>38</v>
      </c>
      <c r="F931" s="129" t="s">
        <v>1043</v>
      </c>
      <c r="G931" s="147" t="s">
        <v>1731</v>
      </c>
      <c r="H931" s="191">
        <f t="shared" si="15"/>
        <v>0</v>
      </c>
      <c r="I931" s="225"/>
      <c r="J931" s="149"/>
      <c r="K931" s="147"/>
      <c r="L931" s="147"/>
      <c r="M931" s="147">
        <v>12</v>
      </c>
      <c r="N931" s="289">
        <v>3200</v>
      </c>
      <c r="O931" s="196"/>
      <c r="P931" s="180"/>
      <c r="Q931" s="174"/>
      <c r="R931" s="206">
        <v>0</v>
      </c>
      <c r="S931" s="168"/>
      <c r="T931" s="129" t="s">
        <v>64</v>
      </c>
      <c r="U931" s="147" t="s">
        <v>37</v>
      </c>
      <c r="V931" s="129"/>
      <c r="W931" s="163" t="s">
        <v>54</v>
      </c>
      <c r="X931" s="215"/>
      <c r="Y931" s="216">
        <v>0</v>
      </c>
      <c r="Z931" s="216">
        <v>0</v>
      </c>
      <c r="AA931" s="263"/>
      <c r="AB931" s="155"/>
      <c r="AC931" s="212"/>
    </row>
    <row r="932" spans="1:29" hidden="1" x14ac:dyDescent="0.25">
      <c r="A932" s="131">
        <v>1</v>
      </c>
      <c r="B932" s="136">
        <v>1405067</v>
      </c>
      <c r="C932" s="128" t="s">
        <v>934</v>
      </c>
      <c r="D932" s="129" t="s">
        <v>1123</v>
      </c>
      <c r="E932" s="147" t="s">
        <v>38</v>
      </c>
      <c r="F932" s="129" t="s">
        <v>1043</v>
      </c>
      <c r="G932" s="147" t="s">
        <v>1731</v>
      </c>
      <c r="H932" s="191">
        <f t="shared" si="15"/>
        <v>0</v>
      </c>
      <c r="I932" s="225"/>
      <c r="J932" s="149"/>
      <c r="K932" s="147"/>
      <c r="L932" s="147"/>
      <c r="M932" s="147">
        <v>12</v>
      </c>
      <c r="N932" s="289">
        <v>3200</v>
      </c>
      <c r="O932" s="196"/>
      <c r="P932" s="180"/>
      <c r="Q932" s="174"/>
      <c r="R932" s="206">
        <v>0</v>
      </c>
      <c r="S932" s="168"/>
      <c r="T932" s="129" t="s">
        <v>64</v>
      </c>
      <c r="U932" s="147" t="s">
        <v>37</v>
      </c>
      <c r="V932" s="129"/>
      <c r="W932" s="163" t="s">
        <v>54</v>
      </c>
      <c r="X932" s="215"/>
      <c r="Y932" s="216">
        <v>0</v>
      </c>
      <c r="Z932" s="216">
        <v>0</v>
      </c>
      <c r="AA932" s="263"/>
      <c r="AB932" s="155"/>
      <c r="AC932" s="212"/>
    </row>
    <row r="933" spans="1:29" hidden="1" x14ac:dyDescent="0.25">
      <c r="A933" s="131">
        <v>1</v>
      </c>
      <c r="B933" s="136">
        <v>1405068</v>
      </c>
      <c r="C933" s="128" t="s">
        <v>934</v>
      </c>
      <c r="D933" s="129" t="s">
        <v>1124</v>
      </c>
      <c r="E933" s="147" t="s">
        <v>38</v>
      </c>
      <c r="F933" s="129" t="s">
        <v>1043</v>
      </c>
      <c r="G933" s="147" t="s">
        <v>1731</v>
      </c>
      <c r="H933" s="191">
        <f t="shared" si="15"/>
        <v>0</v>
      </c>
      <c r="I933" s="225"/>
      <c r="J933" s="149"/>
      <c r="K933" s="147"/>
      <c r="L933" s="147"/>
      <c r="M933" s="147">
        <v>12</v>
      </c>
      <c r="N933" s="289">
        <v>3200</v>
      </c>
      <c r="O933" s="196"/>
      <c r="P933" s="180"/>
      <c r="Q933" s="174"/>
      <c r="R933" s="206">
        <v>0</v>
      </c>
      <c r="S933" s="168"/>
      <c r="T933" s="129" t="s">
        <v>64</v>
      </c>
      <c r="U933" s="147" t="s">
        <v>37</v>
      </c>
      <c r="V933" s="129"/>
      <c r="W933" s="163" t="s">
        <v>54</v>
      </c>
      <c r="X933" s="215"/>
      <c r="Y933" s="216">
        <v>0</v>
      </c>
      <c r="Z933" s="216">
        <v>0</v>
      </c>
      <c r="AA933" s="263"/>
      <c r="AB933" s="155"/>
      <c r="AC933" s="212"/>
    </row>
    <row r="934" spans="1:29" hidden="1" x14ac:dyDescent="0.25">
      <c r="A934" s="131">
        <v>1</v>
      </c>
      <c r="B934" s="136">
        <v>1405069</v>
      </c>
      <c r="C934" s="128" t="s">
        <v>934</v>
      </c>
      <c r="D934" s="129" t="s">
        <v>1125</v>
      </c>
      <c r="E934" s="147" t="s">
        <v>38</v>
      </c>
      <c r="F934" s="129" t="s">
        <v>1043</v>
      </c>
      <c r="G934" s="147" t="s">
        <v>1731</v>
      </c>
      <c r="H934" s="191">
        <f t="shared" si="15"/>
        <v>0</v>
      </c>
      <c r="I934" s="225"/>
      <c r="J934" s="149"/>
      <c r="K934" s="147">
        <v>11</v>
      </c>
      <c r="L934" s="147">
        <v>1</v>
      </c>
      <c r="M934" s="147">
        <v>12</v>
      </c>
      <c r="N934" s="289"/>
      <c r="O934" s="196"/>
      <c r="P934" s="180"/>
      <c r="Q934" s="174"/>
      <c r="R934" s="206">
        <v>0</v>
      </c>
      <c r="S934" s="168"/>
      <c r="T934" s="129" t="s">
        <v>64</v>
      </c>
      <c r="U934" s="147" t="s">
        <v>37</v>
      </c>
      <c r="V934" s="129"/>
      <c r="W934" s="163" t="s">
        <v>54</v>
      </c>
      <c r="X934" s="215"/>
      <c r="Y934" s="216">
        <v>0</v>
      </c>
      <c r="Z934" s="216">
        <v>0</v>
      </c>
      <c r="AA934" s="263"/>
      <c r="AB934" s="155"/>
      <c r="AC934" s="212"/>
    </row>
    <row r="935" spans="1:29" hidden="1" x14ac:dyDescent="0.25">
      <c r="A935" s="131">
        <v>1</v>
      </c>
      <c r="B935" s="136">
        <v>1405070</v>
      </c>
      <c r="C935" s="128" t="s">
        <v>934</v>
      </c>
      <c r="D935" s="129" t="s">
        <v>1126</v>
      </c>
      <c r="E935" s="147" t="s">
        <v>38</v>
      </c>
      <c r="F935" s="129" t="s">
        <v>1043</v>
      </c>
      <c r="G935" s="147" t="s">
        <v>1731</v>
      </c>
      <c r="H935" s="191">
        <f t="shared" si="15"/>
        <v>0</v>
      </c>
      <c r="I935" s="225"/>
      <c r="J935" s="149"/>
      <c r="K935" s="147">
        <v>11</v>
      </c>
      <c r="L935" s="147">
        <v>1</v>
      </c>
      <c r="M935" s="147">
        <v>12</v>
      </c>
      <c r="N935" s="289"/>
      <c r="O935" s="196"/>
      <c r="P935" s="180"/>
      <c r="Q935" s="174"/>
      <c r="R935" s="206">
        <v>0</v>
      </c>
      <c r="S935" s="168"/>
      <c r="T935" s="129" t="s">
        <v>64</v>
      </c>
      <c r="U935" s="147" t="s">
        <v>37</v>
      </c>
      <c r="V935" s="129"/>
      <c r="W935" s="163" t="s">
        <v>54</v>
      </c>
      <c r="X935" s="215"/>
      <c r="Y935" s="216">
        <v>0</v>
      </c>
      <c r="Z935" s="216">
        <v>0</v>
      </c>
      <c r="AA935" s="263"/>
      <c r="AB935" s="155"/>
      <c r="AC935" s="212"/>
    </row>
    <row r="936" spans="1:29" hidden="1" x14ac:dyDescent="0.25">
      <c r="A936" s="131">
        <v>1</v>
      </c>
      <c r="B936" s="136">
        <v>1405071</v>
      </c>
      <c r="C936" s="128" t="s">
        <v>934</v>
      </c>
      <c r="D936" s="129" t="s">
        <v>1127</v>
      </c>
      <c r="E936" s="147" t="s">
        <v>38</v>
      </c>
      <c r="F936" s="129" t="s">
        <v>1043</v>
      </c>
      <c r="G936" s="147" t="s">
        <v>1731</v>
      </c>
      <c r="H936" s="191">
        <f t="shared" si="15"/>
        <v>0</v>
      </c>
      <c r="I936" s="225"/>
      <c r="J936" s="149"/>
      <c r="K936" s="147">
        <v>11</v>
      </c>
      <c r="L936" s="147">
        <v>1</v>
      </c>
      <c r="M936" s="147">
        <v>12</v>
      </c>
      <c r="N936" s="289"/>
      <c r="O936" s="196"/>
      <c r="P936" s="180"/>
      <c r="Q936" s="174"/>
      <c r="R936" s="206">
        <v>0</v>
      </c>
      <c r="S936" s="168"/>
      <c r="T936" s="129" t="s">
        <v>64</v>
      </c>
      <c r="U936" s="147" t="s">
        <v>37</v>
      </c>
      <c r="V936" s="129"/>
      <c r="W936" s="163" t="s">
        <v>54</v>
      </c>
      <c r="X936" s="215"/>
      <c r="Y936" s="216">
        <v>0</v>
      </c>
      <c r="Z936" s="216">
        <v>0</v>
      </c>
      <c r="AA936" s="263"/>
      <c r="AB936" s="155"/>
      <c r="AC936" s="212"/>
    </row>
    <row r="937" spans="1:29" hidden="1" x14ac:dyDescent="0.25">
      <c r="A937" s="131">
        <v>1</v>
      </c>
      <c r="B937" s="136">
        <v>1405072</v>
      </c>
      <c r="C937" s="128" t="s">
        <v>934</v>
      </c>
      <c r="D937" s="129" t="s">
        <v>1128</v>
      </c>
      <c r="E937" s="147" t="s">
        <v>38</v>
      </c>
      <c r="F937" s="129" t="s">
        <v>1043</v>
      </c>
      <c r="G937" s="147" t="s">
        <v>1731</v>
      </c>
      <c r="H937" s="191">
        <f t="shared" si="15"/>
        <v>0</v>
      </c>
      <c r="I937" s="225"/>
      <c r="J937" s="149"/>
      <c r="K937" s="147">
        <v>11</v>
      </c>
      <c r="L937" s="147">
        <v>1</v>
      </c>
      <c r="M937" s="147">
        <v>12</v>
      </c>
      <c r="N937" s="289"/>
      <c r="O937" s="196"/>
      <c r="P937" s="180"/>
      <c r="Q937" s="174"/>
      <c r="R937" s="206">
        <v>0</v>
      </c>
      <c r="S937" s="168"/>
      <c r="T937" s="129" t="s">
        <v>64</v>
      </c>
      <c r="U937" s="147" t="s">
        <v>37</v>
      </c>
      <c r="V937" s="129"/>
      <c r="W937" s="163" t="s">
        <v>54</v>
      </c>
      <c r="X937" s="215"/>
      <c r="Y937" s="216">
        <v>0</v>
      </c>
      <c r="Z937" s="216">
        <v>0</v>
      </c>
      <c r="AA937" s="263"/>
      <c r="AB937" s="155"/>
      <c r="AC937" s="212"/>
    </row>
    <row r="938" spans="1:29" hidden="1" x14ac:dyDescent="0.25">
      <c r="A938" s="131">
        <v>1</v>
      </c>
      <c r="B938" s="136">
        <v>1405073</v>
      </c>
      <c r="C938" s="128" t="s">
        <v>934</v>
      </c>
      <c r="D938" s="129" t="s">
        <v>1129</v>
      </c>
      <c r="E938" s="147" t="s">
        <v>38</v>
      </c>
      <c r="F938" s="129" t="s">
        <v>1043</v>
      </c>
      <c r="G938" s="147" t="s">
        <v>1731</v>
      </c>
      <c r="H938" s="191">
        <f t="shared" si="15"/>
        <v>0</v>
      </c>
      <c r="I938" s="225"/>
      <c r="J938" s="149"/>
      <c r="K938" s="147">
        <v>11</v>
      </c>
      <c r="L938" s="147">
        <v>1</v>
      </c>
      <c r="M938" s="147">
        <v>12</v>
      </c>
      <c r="N938" s="289"/>
      <c r="O938" s="196"/>
      <c r="P938" s="180"/>
      <c r="Q938" s="174"/>
      <c r="R938" s="206">
        <v>0</v>
      </c>
      <c r="S938" s="168"/>
      <c r="T938" s="129" t="s">
        <v>64</v>
      </c>
      <c r="U938" s="147" t="s">
        <v>37</v>
      </c>
      <c r="V938" s="129"/>
      <c r="W938" s="163" t="s">
        <v>54</v>
      </c>
      <c r="X938" s="215"/>
      <c r="Y938" s="216">
        <v>0</v>
      </c>
      <c r="Z938" s="216">
        <v>0</v>
      </c>
      <c r="AA938" s="263"/>
      <c r="AB938" s="155"/>
      <c r="AC938" s="212"/>
    </row>
    <row r="939" spans="1:29" hidden="1" x14ac:dyDescent="0.25">
      <c r="A939" s="131">
        <v>1</v>
      </c>
      <c r="B939" s="136">
        <v>1405074</v>
      </c>
      <c r="C939" s="128" t="s">
        <v>934</v>
      </c>
      <c r="D939" s="129" t="s">
        <v>1130</v>
      </c>
      <c r="E939" s="147" t="s">
        <v>38</v>
      </c>
      <c r="F939" s="129" t="s">
        <v>1043</v>
      </c>
      <c r="G939" s="147" t="s">
        <v>1731</v>
      </c>
      <c r="H939" s="191">
        <f t="shared" si="15"/>
        <v>0</v>
      </c>
      <c r="I939" s="225"/>
      <c r="J939" s="149"/>
      <c r="K939" s="147">
        <v>11</v>
      </c>
      <c r="L939" s="147">
        <v>1</v>
      </c>
      <c r="M939" s="147">
        <v>12</v>
      </c>
      <c r="N939" s="289"/>
      <c r="O939" s="196"/>
      <c r="P939" s="180"/>
      <c r="Q939" s="174"/>
      <c r="R939" s="206">
        <v>0</v>
      </c>
      <c r="S939" s="168"/>
      <c r="T939" s="129" t="s">
        <v>64</v>
      </c>
      <c r="U939" s="147" t="s">
        <v>37</v>
      </c>
      <c r="V939" s="129"/>
      <c r="W939" s="163" t="s">
        <v>54</v>
      </c>
      <c r="X939" s="215"/>
      <c r="Y939" s="216">
        <v>0</v>
      </c>
      <c r="Z939" s="216">
        <v>0</v>
      </c>
      <c r="AA939" s="263"/>
      <c r="AB939" s="155"/>
      <c r="AC939" s="212"/>
    </row>
    <row r="940" spans="1:29" hidden="1" x14ac:dyDescent="0.25">
      <c r="A940" s="131">
        <v>1</v>
      </c>
      <c r="B940" s="136">
        <v>1405075</v>
      </c>
      <c r="C940" s="128" t="s">
        <v>934</v>
      </c>
      <c r="D940" s="129" t="s">
        <v>1131</v>
      </c>
      <c r="E940" s="147" t="s">
        <v>38</v>
      </c>
      <c r="F940" s="129" t="s">
        <v>1043</v>
      </c>
      <c r="G940" s="147" t="s">
        <v>1731</v>
      </c>
      <c r="H940" s="191">
        <f t="shared" si="15"/>
        <v>0</v>
      </c>
      <c r="I940" s="225"/>
      <c r="J940" s="149"/>
      <c r="K940" s="147">
        <v>11</v>
      </c>
      <c r="L940" s="147">
        <v>1</v>
      </c>
      <c r="M940" s="147">
        <v>12</v>
      </c>
      <c r="N940" s="289"/>
      <c r="O940" s="196"/>
      <c r="P940" s="180"/>
      <c r="Q940" s="174"/>
      <c r="R940" s="206">
        <v>0</v>
      </c>
      <c r="S940" s="168"/>
      <c r="T940" s="129" t="s">
        <v>64</v>
      </c>
      <c r="U940" s="147" t="s">
        <v>37</v>
      </c>
      <c r="V940" s="129"/>
      <c r="W940" s="163" t="s">
        <v>54</v>
      </c>
      <c r="X940" s="215"/>
      <c r="Y940" s="216">
        <v>0</v>
      </c>
      <c r="Z940" s="216">
        <v>0</v>
      </c>
      <c r="AA940" s="263"/>
      <c r="AB940" s="155"/>
      <c r="AC940" s="212"/>
    </row>
    <row r="941" spans="1:29" hidden="1" x14ac:dyDescent="0.25">
      <c r="A941" s="131">
        <v>1</v>
      </c>
      <c r="B941" s="136">
        <v>1405076</v>
      </c>
      <c r="C941" s="128" t="s">
        <v>934</v>
      </c>
      <c r="D941" s="129" t="s">
        <v>1132</v>
      </c>
      <c r="E941" s="147" t="s">
        <v>38</v>
      </c>
      <c r="F941" s="129" t="s">
        <v>1043</v>
      </c>
      <c r="G941" s="147" t="s">
        <v>1731</v>
      </c>
      <c r="H941" s="191">
        <f t="shared" si="15"/>
        <v>0</v>
      </c>
      <c r="I941" s="225"/>
      <c r="J941" s="149"/>
      <c r="K941" s="147">
        <v>11</v>
      </c>
      <c r="L941" s="147">
        <v>1</v>
      </c>
      <c r="M941" s="147">
        <v>12</v>
      </c>
      <c r="N941" s="289"/>
      <c r="O941" s="196"/>
      <c r="P941" s="180"/>
      <c r="Q941" s="174"/>
      <c r="R941" s="206">
        <v>0</v>
      </c>
      <c r="S941" s="168"/>
      <c r="T941" s="129" t="s">
        <v>64</v>
      </c>
      <c r="U941" s="147" t="s">
        <v>37</v>
      </c>
      <c r="V941" s="129"/>
      <c r="W941" s="163" t="s">
        <v>54</v>
      </c>
      <c r="X941" s="215"/>
      <c r="Y941" s="216">
        <v>0</v>
      </c>
      <c r="Z941" s="216">
        <v>0</v>
      </c>
      <c r="AA941" s="263"/>
      <c r="AB941" s="155"/>
      <c r="AC941" s="212"/>
    </row>
    <row r="942" spans="1:29" hidden="1" x14ac:dyDescent="0.25">
      <c r="A942" s="131">
        <v>1</v>
      </c>
      <c r="B942" s="136">
        <v>1405077</v>
      </c>
      <c r="C942" s="128" t="s">
        <v>934</v>
      </c>
      <c r="D942" s="129" t="s">
        <v>1133</v>
      </c>
      <c r="E942" s="147" t="s">
        <v>38</v>
      </c>
      <c r="F942" s="129" t="s">
        <v>1043</v>
      </c>
      <c r="G942" s="147" t="s">
        <v>1731</v>
      </c>
      <c r="H942" s="191">
        <f t="shared" si="15"/>
        <v>0</v>
      </c>
      <c r="I942" s="225"/>
      <c r="J942" s="149"/>
      <c r="K942" s="147">
        <v>11</v>
      </c>
      <c r="L942" s="147">
        <v>1</v>
      </c>
      <c r="M942" s="147">
        <v>12</v>
      </c>
      <c r="N942" s="289"/>
      <c r="O942" s="196"/>
      <c r="P942" s="180"/>
      <c r="Q942" s="174"/>
      <c r="R942" s="206">
        <v>0</v>
      </c>
      <c r="S942" s="168"/>
      <c r="T942" s="129" t="s">
        <v>64</v>
      </c>
      <c r="U942" s="147" t="s">
        <v>37</v>
      </c>
      <c r="V942" s="129"/>
      <c r="W942" s="163" t="s">
        <v>54</v>
      </c>
      <c r="X942" s="215"/>
      <c r="Y942" s="216">
        <v>0</v>
      </c>
      <c r="Z942" s="216">
        <v>0</v>
      </c>
      <c r="AA942" s="263"/>
      <c r="AB942" s="155"/>
      <c r="AC942" s="212"/>
    </row>
    <row r="943" spans="1:29" hidden="1" x14ac:dyDescent="0.25">
      <c r="A943" s="131">
        <v>1</v>
      </c>
      <c r="B943" s="136">
        <v>1405078</v>
      </c>
      <c r="C943" s="128" t="s">
        <v>934</v>
      </c>
      <c r="D943" s="129" t="s">
        <v>1134</v>
      </c>
      <c r="E943" s="147" t="s">
        <v>38</v>
      </c>
      <c r="F943" s="129" t="s">
        <v>1043</v>
      </c>
      <c r="G943" s="147" t="s">
        <v>1731</v>
      </c>
      <c r="H943" s="191">
        <f t="shared" si="15"/>
        <v>0</v>
      </c>
      <c r="I943" s="225"/>
      <c r="J943" s="149"/>
      <c r="K943" s="147">
        <v>11</v>
      </c>
      <c r="L943" s="147">
        <v>1</v>
      </c>
      <c r="M943" s="147">
        <v>12</v>
      </c>
      <c r="N943" s="289"/>
      <c r="O943" s="196"/>
      <c r="P943" s="180"/>
      <c r="Q943" s="174"/>
      <c r="R943" s="206">
        <v>0</v>
      </c>
      <c r="S943" s="168"/>
      <c r="T943" s="129" t="s">
        <v>64</v>
      </c>
      <c r="U943" s="147" t="s">
        <v>37</v>
      </c>
      <c r="V943" s="129"/>
      <c r="W943" s="163" t="s">
        <v>54</v>
      </c>
      <c r="X943" s="215"/>
      <c r="Y943" s="216">
        <v>0</v>
      </c>
      <c r="Z943" s="216">
        <v>0</v>
      </c>
      <c r="AA943" s="263"/>
      <c r="AB943" s="155"/>
      <c r="AC943" s="212"/>
    </row>
    <row r="944" spans="1:29" s="214" customFormat="1" hidden="1" x14ac:dyDescent="0.25">
      <c r="A944" s="131">
        <v>1</v>
      </c>
      <c r="B944" s="136">
        <v>1405079</v>
      </c>
      <c r="C944" s="128" t="s">
        <v>934</v>
      </c>
      <c r="D944" s="129" t="s">
        <v>1135</v>
      </c>
      <c r="E944" s="147" t="s">
        <v>38</v>
      </c>
      <c r="F944" s="129" t="s">
        <v>1043</v>
      </c>
      <c r="G944" s="147" t="s">
        <v>1731</v>
      </c>
      <c r="H944" s="191">
        <f t="shared" si="15"/>
        <v>0</v>
      </c>
      <c r="I944" s="225"/>
      <c r="J944" s="149"/>
      <c r="K944" s="147">
        <v>11</v>
      </c>
      <c r="L944" s="147">
        <v>1</v>
      </c>
      <c r="M944" s="147">
        <v>12</v>
      </c>
      <c r="N944" s="289"/>
      <c r="O944" s="196"/>
      <c r="P944" s="180"/>
      <c r="Q944" s="174"/>
      <c r="R944" s="206">
        <v>0</v>
      </c>
      <c r="S944" s="168"/>
      <c r="T944" s="129" t="s">
        <v>64</v>
      </c>
      <c r="U944" s="147" t="s">
        <v>37</v>
      </c>
      <c r="V944" s="129"/>
      <c r="W944" s="163" t="s">
        <v>54</v>
      </c>
      <c r="X944" s="215"/>
      <c r="Y944" s="216">
        <v>0</v>
      </c>
      <c r="Z944" s="216">
        <v>0</v>
      </c>
      <c r="AA944" s="263"/>
      <c r="AB944" s="155"/>
      <c r="AC944" s="212"/>
    </row>
    <row r="945" spans="1:29" hidden="1" x14ac:dyDescent="0.25">
      <c r="A945" s="131">
        <v>1</v>
      </c>
      <c r="B945" s="136">
        <v>1405080</v>
      </c>
      <c r="C945" s="128" t="s">
        <v>934</v>
      </c>
      <c r="D945" s="129" t="s">
        <v>1136</v>
      </c>
      <c r="E945" s="147" t="s">
        <v>38</v>
      </c>
      <c r="F945" s="129" t="s">
        <v>1043</v>
      </c>
      <c r="G945" s="147" t="s">
        <v>1731</v>
      </c>
      <c r="H945" s="191">
        <f t="shared" si="15"/>
        <v>0</v>
      </c>
      <c r="I945" s="225"/>
      <c r="J945" s="149"/>
      <c r="K945" s="147"/>
      <c r="L945" s="147"/>
      <c r="M945" s="147">
        <v>12</v>
      </c>
      <c r="N945" s="289">
        <v>3200</v>
      </c>
      <c r="O945" s="196"/>
      <c r="P945" s="180"/>
      <c r="Q945" s="174"/>
      <c r="R945" s="206">
        <v>0</v>
      </c>
      <c r="S945" s="168"/>
      <c r="T945" s="129" t="s">
        <v>64</v>
      </c>
      <c r="U945" s="147" t="s">
        <v>37</v>
      </c>
      <c r="V945" s="129"/>
      <c r="W945" s="163" t="s">
        <v>54</v>
      </c>
      <c r="X945" s="215"/>
      <c r="Y945" s="216">
        <v>0</v>
      </c>
      <c r="Z945" s="216">
        <v>0</v>
      </c>
      <c r="AA945" s="263"/>
      <c r="AB945" s="155"/>
      <c r="AC945" s="212"/>
    </row>
    <row r="946" spans="1:29" hidden="1" x14ac:dyDescent="0.25">
      <c r="A946" s="131">
        <v>1</v>
      </c>
      <c r="B946" s="136">
        <v>1405081</v>
      </c>
      <c r="C946" s="128" t="s">
        <v>934</v>
      </c>
      <c r="D946" s="129" t="s">
        <v>1137</v>
      </c>
      <c r="E946" s="147" t="s">
        <v>38</v>
      </c>
      <c r="F946" s="129" t="s">
        <v>1043</v>
      </c>
      <c r="G946" s="147" t="s">
        <v>1731</v>
      </c>
      <c r="H946" s="191">
        <f t="shared" si="15"/>
        <v>0</v>
      </c>
      <c r="I946" s="225"/>
      <c r="J946" s="149"/>
      <c r="K946" s="147">
        <v>11</v>
      </c>
      <c r="L946" s="147">
        <v>1</v>
      </c>
      <c r="M946" s="147">
        <v>12</v>
      </c>
      <c r="N946" s="289"/>
      <c r="O946" s="196"/>
      <c r="P946" s="180"/>
      <c r="Q946" s="174"/>
      <c r="R946" s="206">
        <v>0</v>
      </c>
      <c r="S946" s="168"/>
      <c r="T946" s="129" t="s">
        <v>64</v>
      </c>
      <c r="U946" s="147" t="s">
        <v>37</v>
      </c>
      <c r="V946" s="129"/>
      <c r="W946" s="163" t="s">
        <v>54</v>
      </c>
      <c r="X946" s="215"/>
      <c r="Y946" s="216">
        <v>0</v>
      </c>
      <c r="Z946" s="216">
        <v>0</v>
      </c>
      <c r="AA946" s="263"/>
      <c r="AB946" s="155"/>
      <c r="AC946" s="212"/>
    </row>
    <row r="947" spans="1:29" hidden="1" x14ac:dyDescent="0.25">
      <c r="A947" s="131">
        <v>1</v>
      </c>
      <c r="B947" s="136">
        <v>1405082</v>
      </c>
      <c r="C947" s="128" t="s">
        <v>934</v>
      </c>
      <c r="D947" s="129" t="s">
        <v>1138</v>
      </c>
      <c r="E947" s="147" t="s">
        <v>38</v>
      </c>
      <c r="F947" s="129" t="s">
        <v>1043</v>
      </c>
      <c r="G947" s="147" t="s">
        <v>1731</v>
      </c>
      <c r="H947" s="191">
        <f t="shared" si="15"/>
        <v>0</v>
      </c>
      <c r="I947" s="225"/>
      <c r="J947" s="149"/>
      <c r="K947" s="147">
        <v>11</v>
      </c>
      <c r="L947" s="147">
        <v>1</v>
      </c>
      <c r="M947" s="147">
        <v>12</v>
      </c>
      <c r="N947" s="289"/>
      <c r="O947" s="196"/>
      <c r="P947" s="180"/>
      <c r="Q947" s="174"/>
      <c r="R947" s="206">
        <v>0</v>
      </c>
      <c r="S947" s="168"/>
      <c r="T947" s="129" t="s">
        <v>64</v>
      </c>
      <c r="U947" s="147" t="s">
        <v>37</v>
      </c>
      <c r="V947" s="129"/>
      <c r="W947" s="163" t="s">
        <v>54</v>
      </c>
      <c r="X947" s="215"/>
      <c r="Y947" s="216">
        <v>0</v>
      </c>
      <c r="Z947" s="216">
        <v>0</v>
      </c>
      <c r="AA947" s="263"/>
      <c r="AB947" s="155"/>
      <c r="AC947" s="212"/>
    </row>
    <row r="948" spans="1:29" hidden="1" x14ac:dyDescent="0.25">
      <c r="A948" s="131">
        <v>1</v>
      </c>
      <c r="B948" s="136">
        <v>1405083</v>
      </c>
      <c r="C948" s="128" t="s">
        <v>934</v>
      </c>
      <c r="D948" s="129" t="s">
        <v>1139</v>
      </c>
      <c r="E948" s="147" t="s">
        <v>38</v>
      </c>
      <c r="F948" s="129" t="s">
        <v>1043</v>
      </c>
      <c r="G948" s="147" t="s">
        <v>1731</v>
      </c>
      <c r="H948" s="191">
        <f t="shared" si="15"/>
        <v>0</v>
      </c>
      <c r="I948" s="225"/>
      <c r="J948" s="149"/>
      <c r="K948" s="147">
        <v>11</v>
      </c>
      <c r="L948" s="147">
        <v>1</v>
      </c>
      <c r="M948" s="147">
        <v>12</v>
      </c>
      <c r="N948" s="289"/>
      <c r="O948" s="196"/>
      <c r="P948" s="180"/>
      <c r="Q948" s="174"/>
      <c r="R948" s="206">
        <v>0</v>
      </c>
      <c r="S948" s="168"/>
      <c r="T948" s="129" t="s">
        <v>64</v>
      </c>
      <c r="U948" s="147" t="s">
        <v>37</v>
      </c>
      <c r="V948" s="129"/>
      <c r="W948" s="163" t="s">
        <v>54</v>
      </c>
      <c r="X948" s="215"/>
      <c r="Y948" s="216">
        <v>0</v>
      </c>
      <c r="Z948" s="216">
        <v>0</v>
      </c>
      <c r="AA948" s="263"/>
      <c r="AB948" s="155"/>
      <c r="AC948" s="212"/>
    </row>
    <row r="949" spans="1:29" hidden="1" x14ac:dyDescent="0.25">
      <c r="A949" s="131">
        <v>1</v>
      </c>
      <c r="B949" s="136">
        <v>1405084</v>
      </c>
      <c r="C949" s="128" t="s">
        <v>934</v>
      </c>
      <c r="D949" s="129" t="s">
        <v>1140</v>
      </c>
      <c r="E949" s="147" t="s">
        <v>38</v>
      </c>
      <c r="F949" s="129" t="s">
        <v>1043</v>
      </c>
      <c r="G949" s="147" t="s">
        <v>1731</v>
      </c>
      <c r="H949" s="191">
        <f t="shared" si="15"/>
        <v>0</v>
      </c>
      <c r="I949" s="225"/>
      <c r="J949" s="149"/>
      <c r="K949" s="147">
        <v>11</v>
      </c>
      <c r="L949" s="147">
        <v>1</v>
      </c>
      <c r="M949" s="147">
        <v>12</v>
      </c>
      <c r="N949" s="289"/>
      <c r="O949" s="196"/>
      <c r="P949" s="180"/>
      <c r="Q949" s="174"/>
      <c r="R949" s="206">
        <v>0</v>
      </c>
      <c r="S949" s="168"/>
      <c r="T949" s="129" t="s">
        <v>64</v>
      </c>
      <c r="U949" s="147" t="s">
        <v>37</v>
      </c>
      <c r="V949" s="129"/>
      <c r="W949" s="163" t="s">
        <v>54</v>
      </c>
      <c r="X949" s="215"/>
      <c r="Y949" s="216">
        <v>0</v>
      </c>
      <c r="Z949" s="216">
        <v>0</v>
      </c>
      <c r="AA949" s="263"/>
      <c r="AB949" s="155"/>
      <c r="AC949" s="212"/>
    </row>
    <row r="950" spans="1:29" s="182" customFormat="1" hidden="1" x14ac:dyDescent="0.25">
      <c r="A950" s="131">
        <v>1</v>
      </c>
      <c r="B950" s="136">
        <v>1405085</v>
      </c>
      <c r="C950" s="128" t="s">
        <v>934</v>
      </c>
      <c r="D950" s="129" t="s">
        <v>1142</v>
      </c>
      <c r="E950" s="147" t="s">
        <v>38</v>
      </c>
      <c r="F950" s="129" t="s">
        <v>1043</v>
      </c>
      <c r="G950" s="147" t="s">
        <v>1731</v>
      </c>
      <c r="H950" s="191">
        <f t="shared" si="15"/>
        <v>0</v>
      </c>
      <c r="I950" s="225"/>
      <c r="J950" s="149"/>
      <c r="K950" s="147">
        <v>11</v>
      </c>
      <c r="L950" s="147">
        <v>1</v>
      </c>
      <c r="M950" s="147">
        <v>12</v>
      </c>
      <c r="N950" s="289"/>
      <c r="O950" s="196"/>
      <c r="P950" s="180"/>
      <c r="Q950" s="174"/>
      <c r="R950" s="206">
        <v>0</v>
      </c>
      <c r="S950" s="168"/>
      <c r="T950" s="129" t="s">
        <v>64</v>
      </c>
      <c r="U950" s="147" t="s">
        <v>37</v>
      </c>
      <c r="V950" s="129"/>
      <c r="W950" s="163" t="s">
        <v>54</v>
      </c>
      <c r="X950" s="215"/>
      <c r="Y950" s="216">
        <v>0</v>
      </c>
      <c r="Z950" s="216">
        <v>0</v>
      </c>
      <c r="AA950" s="263"/>
      <c r="AB950" s="155"/>
      <c r="AC950" s="212"/>
    </row>
    <row r="951" spans="1:29" s="182" customFormat="1" hidden="1" x14ac:dyDescent="0.25">
      <c r="A951" s="131">
        <v>1</v>
      </c>
      <c r="B951" s="136">
        <v>1405086</v>
      </c>
      <c r="C951" s="128" t="s">
        <v>934</v>
      </c>
      <c r="D951" s="129" t="s">
        <v>1143</v>
      </c>
      <c r="E951" s="147" t="s">
        <v>38</v>
      </c>
      <c r="F951" s="129" t="s">
        <v>1043</v>
      </c>
      <c r="G951" s="147" t="s">
        <v>1731</v>
      </c>
      <c r="H951" s="191">
        <f t="shared" si="15"/>
        <v>0</v>
      </c>
      <c r="I951" s="225"/>
      <c r="J951" s="149"/>
      <c r="K951" s="147">
        <v>11</v>
      </c>
      <c r="L951" s="147">
        <v>1</v>
      </c>
      <c r="M951" s="147">
        <v>12</v>
      </c>
      <c r="N951" s="289"/>
      <c r="O951" s="196"/>
      <c r="P951" s="180"/>
      <c r="Q951" s="174"/>
      <c r="R951" s="206">
        <v>0</v>
      </c>
      <c r="S951" s="168"/>
      <c r="T951" s="129" t="s">
        <v>64</v>
      </c>
      <c r="U951" s="147" t="s">
        <v>37</v>
      </c>
      <c r="V951" s="129"/>
      <c r="W951" s="163" t="s">
        <v>54</v>
      </c>
      <c r="X951" s="215"/>
      <c r="Y951" s="216">
        <v>0</v>
      </c>
      <c r="Z951" s="216">
        <v>0</v>
      </c>
      <c r="AA951" s="263"/>
      <c r="AB951" s="155"/>
      <c r="AC951" s="212"/>
    </row>
    <row r="952" spans="1:29" s="182" customFormat="1" hidden="1" x14ac:dyDescent="0.25">
      <c r="A952" s="131">
        <v>1</v>
      </c>
      <c r="B952" s="136">
        <v>1405087</v>
      </c>
      <c r="C952" s="128" t="s">
        <v>934</v>
      </c>
      <c r="D952" s="129" t="s">
        <v>1144</v>
      </c>
      <c r="E952" s="147" t="s">
        <v>38</v>
      </c>
      <c r="F952" s="129" t="s">
        <v>1043</v>
      </c>
      <c r="G952" s="147" t="s">
        <v>1731</v>
      </c>
      <c r="H952" s="191">
        <f t="shared" si="15"/>
        <v>0</v>
      </c>
      <c r="I952" s="225"/>
      <c r="J952" s="149"/>
      <c r="K952" s="147">
        <v>11</v>
      </c>
      <c r="L952" s="147">
        <v>1</v>
      </c>
      <c r="M952" s="147">
        <v>12</v>
      </c>
      <c r="N952" s="289"/>
      <c r="O952" s="196"/>
      <c r="P952" s="180"/>
      <c r="Q952" s="174"/>
      <c r="R952" s="206">
        <v>0</v>
      </c>
      <c r="S952" s="168"/>
      <c r="T952" s="129" t="s">
        <v>64</v>
      </c>
      <c r="U952" s="147" t="s">
        <v>37</v>
      </c>
      <c r="V952" s="129"/>
      <c r="W952" s="163" t="s">
        <v>54</v>
      </c>
      <c r="X952" s="215"/>
      <c r="Y952" s="216">
        <v>0</v>
      </c>
      <c r="Z952" s="216">
        <v>0</v>
      </c>
      <c r="AA952" s="263"/>
      <c r="AB952" s="155"/>
      <c r="AC952" s="212"/>
    </row>
    <row r="953" spans="1:29" s="182" customFormat="1" hidden="1" x14ac:dyDescent="0.25">
      <c r="A953" s="131">
        <v>1</v>
      </c>
      <c r="B953" s="136">
        <v>1405088</v>
      </c>
      <c r="C953" s="128" t="s">
        <v>934</v>
      </c>
      <c r="D953" s="129" t="s">
        <v>1145</v>
      </c>
      <c r="E953" s="147" t="s">
        <v>38</v>
      </c>
      <c r="F953" s="129" t="s">
        <v>1043</v>
      </c>
      <c r="G953" s="147" t="s">
        <v>1731</v>
      </c>
      <c r="H953" s="191">
        <f t="shared" si="15"/>
        <v>0</v>
      </c>
      <c r="I953" s="225"/>
      <c r="J953" s="149"/>
      <c r="K953" s="147">
        <v>11</v>
      </c>
      <c r="L953" s="147">
        <v>1</v>
      </c>
      <c r="M953" s="147">
        <v>12</v>
      </c>
      <c r="N953" s="289"/>
      <c r="O953" s="196"/>
      <c r="P953" s="180"/>
      <c r="Q953" s="174"/>
      <c r="R953" s="206">
        <v>0</v>
      </c>
      <c r="S953" s="168"/>
      <c r="T953" s="129" t="s">
        <v>64</v>
      </c>
      <c r="U953" s="147" t="s">
        <v>37</v>
      </c>
      <c r="V953" s="129"/>
      <c r="W953" s="163" t="s">
        <v>54</v>
      </c>
      <c r="X953" s="215"/>
      <c r="Y953" s="216">
        <v>0</v>
      </c>
      <c r="Z953" s="216">
        <v>0</v>
      </c>
      <c r="AA953" s="263"/>
      <c r="AB953" s="155"/>
      <c r="AC953" s="212"/>
    </row>
    <row r="954" spans="1:29" s="182" customFormat="1" hidden="1" x14ac:dyDescent="0.25">
      <c r="A954" s="131">
        <v>1</v>
      </c>
      <c r="B954" s="136">
        <v>1405089</v>
      </c>
      <c r="C954" s="128" t="s">
        <v>934</v>
      </c>
      <c r="D954" s="129" t="s">
        <v>1146</v>
      </c>
      <c r="E954" s="147" t="s">
        <v>38</v>
      </c>
      <c r="F954" s="129" t="s">
        <v>1043</v>
      </c>
      <c r="G954" s="147" t="s">
        <v>1731</v>
      </c>
      <c r="H954" s="191">
        <f t="shared" si="15"/>
        <v>0</v>
      </c>
      <c r="I954" s="225"/>
      <c r="J954" s="149"/>
      <c r="K954" s="147">
        <v>11</v>
      </c>
      <c r="L954" s="147">
        <v>1</v>
      </c>
      <c r="M954" s="147">
        <v>12</v>
      </c>
      <c r="N954" s="289"/>
      <c r="O954" s="196"/>
      <c r="P954" s="180"/>
      <c r="Q954" s="174"/>
      <c r="R954" s="206">
        <v>0</v>
      </c>
      <c r="S954" s="168"/>
      <c r="T954" s="129" t="s">
        <v>64</v>
      </c>
      <c r="U954" s="147" t="s">
        <v>37</v>
      </c>
      <c r="V954" s="129"/>
      <c r="W954" s="163" t="s">
        <v>54</v>
      </c>
      <c r="X954" s="215"/>
      <c r="Y954" s="216">
        <v>0</v>
      </c>
      <c r="Z954" s="216">
        <v>0</v>
      </c>
      <c r="AA954" s="263"/>
      <c r="AB954" s="155"/>
      <c r="AC954" s="212"/>
    </row>
    <row r="955" spans="1:29" s="182" customFormat="1" hidden="1" x14ac:dyDescent="0.25">
      <c r="A955" s="131">
        <v>1</v>
      </c>
      <c r="B955" s="136">
        <v>1405090</v>
      </c>
      <c r="C955" s="128" t="s">
        <v>934</v>
      </c>
      <c r="D955" s="129" t="s">
        <v>1147</v>
      </c>
      <c r="E955" s="147" t="s">
        <v>38</v>
      </c>
      <c r="F955" s="129" t="s">
        <v>1043</v>
      </c>
      <c r="G955" s="147" t="s">
        <v>1731</v>
      </c>
      <c r="H955" s="191">
        <f t="shared" si="15"/>
        <v>0</v>
      </c>
      <c r="I955" s="225"/>
      <c r="J955" s="149"/>
      <c r="K955" s="147">
        <v>11</v>
      </c>
      <c r="L955" s="147">
        <v>1</v>
      </c>
      <c r="M955" s="147">
        <v>12</v>
      </c>
      <c r="N955" s="289"/>
      <c r="O955" s="196"/>
      <c r="P955" s="180"/>
      <c r="Q955" s="174"/>
      <c r="R955" s="206">
        <v>0</v>
      </c>
      <c r="S955" s="168"/>
      <c r="T955" s="129" t="s">
        <v>64</v>
      </c>
      <c r="U955" s="147" t="s">
        <v>37</v>
      </c>
      <c r="V955" s="129"/>
      <c r="W955" s="163" t="s">
        <v>54</v>
      </c>
      <c r="X955" s="215"/>
      <c r="Y955" s="216">
        <v>0</v>
      </c>
      <c r="Z955" s="216">
        <v>0</v>
      </c>
      <c r="AA955" s="263"/>
      <c r="AB955" s="155"/>
      <c r="AC955" s="212"/>
    </row>
    <row r="956" spans="1:29" s="182" customFormat="1" hidden="1" x14ac:dyDescent="0.25">
      <c r="A956" s="131">
        <v>1</v>
      </c>
      <c r="B956" s="136">
        <v>1405091</v>
      </c>
      <c r="C956" s="128" t="s">
        <v>934</v>
      </c>
      <c r="D956" s="129" t="s">
        <v>1148</v>
      </c>
      <c r="E956" s="147" t="s">
        <v>38</v>
      </c>
      <c r="F956" s="129" t="s">
        <v>1043</v>
      </c>
      <c r="G956" s="147" t="s">
        <v>1731</v>
      </c>
      <c r="H956" s="191">
        <f t="shared" si="15"/>
        <v>0</v>
      </c>
      <c r="I956" s="225"/>
      <c r="J956" s="149"/>
      <c r="K956" s="147">
        <v>11</v>
      </c>
      <c r="L956" s="147">
        <v>1</v>
      </c>
      <c r="M956" s="147">
        <v>12</v>
      </c>
      <c r="N956" s="289"/>
      <c r="O956" s="196"/>
      <c r="P956" s="180"/>
      <c r="Q956" s="174"/>
      <c r="R956" s="206">
        <v>0</v>
      </c>
      <c r="S956" s="168"/>
      <c r="T956" s="129" t="s">
        <v>64</v>
      </c>
      <c r="U956" s="147" t="s">
        <v>37</v>
      </c>
      <c r="V956" s="129"/>
      <c r="W956" s="163" t="s">
        <v>54</v>
      </c>
      <c r="X956" s="215"/>
      <c r="Y956" s="216">
        <v>0</v>
      </c>
      <c r="Z956" s="216">
        <v>0</v>
      </c>
      <c r="AA956" s="263"/>
      <c r="AB956" s="155"/>
      <c r="AC956" s="212"/>
    </row>
    <row r="957" spans="1:29" hidden="1" x14ac:dyDescent="0.25">
      <c r="A957" s="131">
        <v>1</v>
      </c>
      <c r="B957" s="136">
        <v>1405092</v>
      </c>
      <c r="C957" s="128" t="s">
        <v>934</v>
      </c>
      <c r="D957" s="129" t="s">
        <v>1149</v>
      </c>
      <c r="E957" s="147" t="s">
        <v>38</v>
      </c>
      <c r="F957" s="129" t="s">
        <v>1043</v>
      </c>
      <c r="G957" s="147" t="s">
        <v>1731</v>
      </c>
      <c r="H957" s="191">
        <f t="shared" si="15"/>
        <v>0</v>
      </c>
      <c r="I957" s="225"/>
      <c r="J957" s="149"/>
      <c r="K957" s="147">
        <v>11</v>
      </c>
      <c r="L957" s="147">
        <v>1</v>
      </c>
      <c r="M957" s="147">
        <v>12</v>
      </c>
      <c r="N957" s="289"/>
      <c r="O957" s="196"/>
      <c r="P957" s="180"/>
      <c r="Q957" s="174"/>
      <c r="R957" s="206">
        <v>0</v>
      </c>
      <c r="S957" s="168"/>
      <c r="T957" s="129" t="s">
        <v>64</v>
      </c>
      <c r="U957" s="147" t="s">
        <v>37</v>
      </c>
      <c r="V957" s="129"/>
      <c r="W957" s="163" t="s">
        <v>54</v>
      </c>
      <c r="X957" s="215"/>
      <c r="Y957" s="216">
        <v>0</v>
      </c>
      <c r="Z957" s="216">
        <v>0</v>
      </c>
      <c r="AA957" s="263"/>
      <c r="AB957" s="155"/>
      <c r="AC957" s="212"/>
    </row>
    <row r="958" spans="1:29" hidden="1" x14ac:dyDescent="0.25">
      <c r="A958" s="131">
        <v>1</v>
      </c>
      <c r="B958" s="136">
        <v>1405093</v>
      </c>
      <c r="C958" s="128" t="s">
        <v>934</v>
      </c>
      <c r="D958" s="129" t="s">
        <v>1150</v>
      </c>
      <c r="E958" s="147" t="s">
        <v>38</v>
      </c>
      <c r="F958" s="129" t="s">
        <v>1043</v>
      </c>
      <c r="G958" s="147" t="s">
        <v>1731</v>
      </c>
      <c r="H958" s="191">
        <f t="shared" si="15"/>
        <v>0</v>
      </c>
      <c r="I958" s="225"/>
      <c r="J958" s="149"/>
      <c r="K958" s="147">
        <v>11</v>
      </c>
      <c r="L958" s="147">
        <v>1</v>
      </c>
      <c r="M958" s="147">
        <v>12</v>
      </c>
      <c r="N958" s="289"/>
      <c r="O958" s="196"/>
      <c r="P958" s="180"/>
      <c r="Q958" s="174"/>
      <c r="R958" s="206">
        <v>0</v>
      </c>
      <c r="S958" s="168"/>
      <c r="T958" s="129" t="s">
        <v>64</v>
      </c>
      <c r="U958" s="147" t="s">
        <v>37</v>
      </c>
      <c r="V958" s="129"/>
      <c r="W958" s="163" t="s">
        <v>54</v>
      </c>
      <c r="X958" s="215"/>
      <c r="Y958" s="216">
        <v>0</v>
      </c>
      <c r="Z958" s="216">
        <v>0</v>
      </c>
      <c r="AA958" s="263"/>
      <c r="AB958" s="155"/>
      <c r="AC958" s="212"/>
    </row>
    <row r="959" spans="1:29" s="182" customFormat="1" hidden="1" x14ac:dyDescent="0.25">
      <c r="A959" s="131">
        <v>1</v>
      </c>
      <c r="B959" s="136">
        <v>1405094</v>
      </c>
      <c r="C959" s="128" t="s">
        <v>934</v>
      </c>
      <c r="D959" s="129" t="s">
        <v>1151</v>
      </c>
      <c r="E959" s="147" t="s">
        <v>38</v>
      </c>
      <c r="F959" s="129" t="s">
        <v>1043</v>
      </c>
      <c r="G959" s="147" t="s">
        <v>1731</v>
      </c>
      <c r="H959" s="191">
        <f t="shared" si="15"/>
        <v>0</v>
      </c>
      <c r="I959" s="225"/>
      <c r="J959" s="149"/>
      <c r="K959" s="147">
        <v>11</v>
      </c>
      <c r="L959" s="147">
        <v>1</v>
      </c>
      <c r="M959" s="147">
        <v>12</v>
      </c>
      <c r="N959" s="289"/>
      <c r="O959" s="196"/>
      <c r="P959" s="180"/>
      <c r="Q959" s="174"/>
      <c r="R959" s="206">
        <v>0</v>
      </c>
      <c r="S959" s="168"/>
      <c r="T959" s="129" t="s">
        <v>64</v>
      </c>
      <c r="U959" s="147" t="s">
        <v>37</v>
      </c>
      <c r="V959" s="129"/>
      <c r="W959" s="163" t="s">
        <v>54</v>
      </c>
      <c r="X959" s="215"/>
      <c r="Y959" s="216">
        <v>0</v>
      </c>
      <c r="Z959" s="216">
        <v>0</v>
      </c>
      <c r="AA959" s="263"/>
      <c r="AB959" s="155"/>
      <c r="AC959" s="212"/>
    </row>
    <row r="960" spans="1:29" s="182" customFormat="1" hidden="1" x14ac:dyDescent="0.25">
      <c r="A960" s="131">
        <v>1</v>
      </c>
      <c r="B960" s="136">
        <v>1405095</v>
      </c>
      <c r="C960" s="128" t="s">
        <v>934</v>
      </c>
      <c r="D960" s="129" t="s">
        <v>1152</v>
      </c>
      <c r="E960" s="147" t="s">
        <v>38</v>
      </c>
      <c r="F960" s="129" t="s">
        <v>1043</v>
      </c>
      <c r="G960" s="147" t="s">
        <v>1731</v>
      </c>
      <c r="H960" s="191">
        <f t="shared" si="15"/>
        <v>0</v>
      </c>
      <c r="I960" s="225"/>
      <c r="J960" s="149"/>
      <c r="K960" s="147">
        <v>11</v>
      </c>
      <c r="L960" s="147">
        <v>1</v>
      </c>
      <c r="M960" s="147">
        <v>12</v>
      </c>
      <c r="N960" s="289"/>
      <c r="O960" s="196"/>
      <c r="P960" s="180"/>
      <c r="Q960" s="174"/>
      <c r="R960" s="206">
        <v>0</v>
      </c>
      <c r="S960" s="168"/>
      <c r="T960" s="129" t="s">
        <v>64</v>
      </c>
      <c r="U960" s="147" t="s">
        <v>37</v>
      </c>
      <c r="V960" s="129"/>
      <c r="W960" s="163" t="s">
        <v>54</v>
      </c>
      <c r="X960" s="215"/>
      <c r="Y960" s="216">
        <v>0</v>
      </c>
      <c r="Z960" s="216">
        <v>0</v>
      </c>
      <c r="AA960" s="263"/>
      <c r="AB960" s="155"/>
      <c r="AC960" s="212"/>
    </row>
    <row r="961" spans="1:29" s="182" customFormat="1" hidden="1" x14ac:dyDescent="0.25">
      <c r="A961" s="131">
        <v>1</v>
      </c>
      <c r="B961" s="136">
        <v>1405096</v>
      </c>
      <c r="C961" s="128" t="s">
        <v>934</v>
      </c>
      <c r="D961" s="129" t="s">
        <v>1153</v>
      </c>
      <c r="E961" s="147" t="s">
        <v>38</v>
      </c>
      <c r="F961" s="129" t="s">
        <v>1043</v>
      </c>
      <c r="G961" s="147" t="s">
        <v>1731</v>
      </c>
      <c r="H961" s="191">
        <f t="shared" si="15"/>
        <v>0</v>
      </c>
      <c r="I961" s="225"/>
      <c r="J961" s="149"/>
      <c r="K961" s="147">
        <v>11</v>
      </c>
      <c r="L961" s="147">
        <v>1</v>
      </c>
      <c r="M961" s="147">
        <v>12</v>
      </c>
      <c r="N961" s="289"/>
      <c r="O961" s="196"/>
      <c r="P961" s="180"/>
      <c r="Q961" s="174"/>
      <c r="R961" s="206">
        <v>0</v>
      </c>
      <c r="S961" s="168"/>
      <c r="T961" s="129" t="s">
        <v>64</v>
      </c>
      <c r="U961" s="147" t="s">
        <v>37</v>
      </c>
      <c r="V961" s="129"/>
      <c r="W961" s="163" t="s">
        <v>54</v>
      </c>
      <c r="X961" s="215"/>
      <c r="Y961" s="216">
        <v>0</v>
      </c>
      <c r="Z961" s="216">
        <v>0</v>
      </c>
      <c r="AA961" s="263"/>
      <c r="AB961" s="155"/>
      <c r="AC961" s="212"/>
    </row>
    <row r="962" spans="1:29" s="182" customFormat="1" hidden="1" x14ac:dyDescent="0.25">
      <c r="A962" s="131">
        <v>1</v>
      </c>
      <c r="B962" s="136">
        <v>1405097</v>
      </c>
      <c r="C962" s="128" t="s">
        <v>934</v>
      </c>
      <c r="D962" s="129" t="s">
        <v>1154</v>
      </c>
      <c r="E962" s="147" t="s">
        <v>38</v>
      </c>
      <c r="F962" s="129" t="s">
        <v>1043</v>
      </c>
      <c r="G962" s="147" t="s">
        <v>1731</v>
      </c>
      <c r="H962" s="191">
        <f t="shared" si="15"/>
        <v>0</v>
      </c>
      <c r="I962" s="225"/>
      <c r="J962" s="149"/>
      <c r="K962" s="147">
        <v>11</v>
      </c>
      <c r="L962" s="147">
        <v>1</v>
      </c>
      <c r="M962" s="147">
        <v>12</v>
      </c>
      <c r="N962" s="289"/>
      <c r="O962" s="196"/>
      <c r="P962" s="180"/>
      <c r="Q962" s="174"/>
      <c r="R962" s="206">
        <v>0</v>
      </c>
      <c r="S962" s="168"/>
      <c r="T962" s="129" t="s">
        <v>64</v>
      </c>
      <c r="U962" s="147" t="s">
        <v>37</v>
      </c>
      <c r="V962" s="129"/>
      <c r="W962" s="163" t="s">
        <v>54</v>
      </c>
      <c r="X962" s="215"/>
      <c r="Y962" s="216">
        <v>0</v>
      </c>
      <c r="Z962" s="216">
        <v>0</v>
      </c>
      <c r="AA962" s="263"/>
      <c r="AB962" s="155"/>
      <c r="AC962" s="212"/>
    </row>
    <row r="963" spans="1:29" s="182" customFormat="1" hidden="1" x14ac:dyDescent="0.25">
      <c r="A963" s="131">
        <v>1</v>
      </c>
      <c r="B963" s="136">
        <v>1405098</v>
      </c>
      <c r="C963" s="128" t="s">
        <v>934</v>
      </c>
      <c r="D963" s="129" t="s">
        <v>1155</v>
      </c>
      <c r="E963" s="147" t="s">
        <v>38</v>
      </c>
      <c r="F963" s="129" t="s">
        <v>1043</v>
      </c>
      <c r="G963" s="147" t="s">
        <v>1731</v>
      </c>
      <c r="H963" s="191">
        <f t="shared" ref="H963:H1015" si="16">Q963+R963</f>
        <v>0</v>
      </c>
      <c r="I963" s="225"/>
      <c r="J963" s="149"/>
      <c r="K963" s="147">
        <v>11</v>
      </c>
      <c r="L963" s="147">
        <v>1</v>
      </c>
      <c r="M963" s="147">
        <v>12</v>
      </c>
      <c r="N963" s="289"/>
      <c r="O963" s="196"/>
      <c r="P963" s="180"/>
      <c r="Q963" s="174"/>
      <c r="R963" s="206">
        <v>0</v>
      </c>
      <c r="S963" s="168"/>
      <c r="T963" s="129" t="s">
        <v>64</v>
      </c>
      <c r="U963" s="147" t="s">
        <v>37</v>
      </c>
      <c r="V963" s="129"/>
      <c r="W963" s="163" t="s">
        <v>54</v>
      </c>
      <c r="X963" s="215"/>
      <c r="Y963" s="216">
        <v>0</v>
      </c>
      <c r="Z963" s="216">
        <v>0</v>
      </c>
      <c r="AA963" s="263"/>
      <c r="AB963" s="155"/>
      <c r="AC963" s="212"/>
    </row>
    <row r="964" spans="1:29" hidden="1" x14ac:dyDescent="0.25">
      <c r="A964" s="131">
        <v>1</v>
      </c>
      <c r="B964" s="136">
        <v>1405099</v>
      </c>
      <c r="C964" s="128" t="s">
        <v>934</v>
      </c>
      <c r="D964" s="129" t="s">
        <v>1157</v>
      </c>
      <c r="E964" s="147" t="s">
        <v>38</v>
      </c>
      <c r="F964" s="129" t="s">
        <v>1043</v>
      </c>
      <c r="G964" s="147" t="s">
        <v>1731</v>
      </c>
      <c r="H964" s="191">
        <f t="shared" si="16"/>
        <v>0</v>
      </c>
      <c r="I964" s="225"/>
      <c r="J964" s="149"/>
      <c r="K964" s="147">
        <v>11</v>
      </c>
      <c r="L964" s="147">
        <v>1</v>
      </c>
      <c r="M964" s="147">
        <v>12</v>
      </c>
      <c r="N964" s="289"/>
      <c r="O964" s="196"/>
      <c r="P964" s="180"/>
      <c r="Q964" s="174"/>
      <c r="R964" s="206">
        <v>0</v>
      </c>
      <c r="S964" s="168"/>
      <c r="T964" s="129" t="s">
        <v>64</v>
      </c>
      <c r="U964" s="147" t="s">
        <v>37</v>
      </c>
      <c r="V964" s="129"/>
      <c r="W964" s="163" t="s">
        <v>54</v>
      </c>
      <c r="X964" s="215"/>
      <c r="Y964" s="216">
        <v>0</v>
      </c>
      <c r="Z964" s="216">
        <v>0</v>
      </c>
      <c r="AA964" s="263"/>
      <c r="AB964" s="155"/>
      <c r="AC964" s="212"/>
    </row>
    <row r="965" spans="1:29" s="182" customFormat="1" hidden="1" x14ac:dyDescent="0.25">
      <c r="A965" s="131">
        <v>1</v>
      </c>
      <c r="B965" s="136">
        <v>1405100</v>
      </c>
      <c r="C965" s="128" t="s">
        <v>934</v>
      </c>
      <c r="D965" s="129" t="s">
        <v>1158</v>
      </c>
      <c r="E965" s="147" t="s">
        <v>38</v>
      </c>
      <c r="F965" s="129" t="s">
        <v>1043</v>
      </c>
      <c r="G965" s="147" t="s">
        <v>1731</v>
      </c>
      <c r="H965" s="191">
        <f t="shared" si="16"/>
        <v>0</v>
      </c>
      <c r="I965" s="225"/>
      <c r="J965" s="149"/>
      <c r="K965" s="147"/>
      <c r="L965" s="147"/>
      <c r="M965" s="147">
        <v>12</v>
      </c>
      <c r="N965" s="289">
        <v>1100</v>
      </c>
      <c r="O965" s="196"/>
      <c r="P965" s="180"/>
      <c r="Q965" s="174"/>
      <c r="R965" s="206">
        <v>0</v>
      </c>
      <c r="S965" s="168"/>
      <c r="T965" s="129" t="s">
        <v>64</v>
      </c>
      <c r="U965" s="147" t="s">
        <v>37</v>
      </c>
      <c r="V965" s="129"/>
      <c r="W965" s="163" t="s">
        <v>54</v>
      </c>
      <c r="X965" s="215"/>
      <c r="Y965" s="216">
        <v>0</v>
      </c>
      <c r="Z965" s="216">
        <v>0</v>
      </c>
      <c r="AA965" s="263"/>
      <c r="AB965" s="155"/>
      <c r="AC965" s="212"/>
    </row>
    <row r="966" spans="1:29" s="182" customFormat="1" hidden="1" x14ac:dyDescent="0.25">
      <c r="A966" s="131">
        <v>1</v>
      </c>
      <c r="B966" s="136">
        <v>1405101</v>
      </c>
      <c r="C966" s="128" t="s">
        <v>934</v>
      </c>
      <c r="D966" s="129" t="s">
        <v>1159</v>
      </c>
      <c r="E966" s="147" t="s">
        <v>38</v>
      </c>
      <c r="F966" s="129" t="s">
        <v>1043</v>
      </c>
      <c r="G966" s="147" t="s">
        <v>1731</v>
      </c>
      <c r="H966" s="191">
        <f t="shared" si="16"/>
        <v>0</v>
      </c>
      <c r="I966" s="225"/>
      <c r="J966" s="149"/>
      <c r="K966" s="147"/>
      <c r="L966" s="147"/>
      <c r="M966" s="147">
        <v>12</v>
      </c>
      <c r="N966" s="289">
        <v>1100</v>
      </c>
      <c r="O966" s="196"/>
      <c r="P966" s="180"/>
      <c r="Q966" s="174"/>
      <c r="R966" s="206">
        <v>0</v>
      </c>
      <c r="S966" s="168"/>
      <c r="T966" s="129" t="s">
        <v>64</v>
      </c>
      <c r="U966" s="147" t="s">
        <v>37</v>
      </c>
      <c r="V966" s="129"/>
      <c r="W966" s="163" t="s">
        <v>54</v>
      </c>
      <c r="X966" s="215"/>
      <c r="Y966" s="216">
        <v>0</v>
      </c>
      <c r="Z966" s="216">
        <v>0</v>
      </c>
      <c r="AA966" s="263"/>
      <c r="AB966" s="155"/>
      <c r="AC966" s="212"/>
    </row>
    <row r="967" spans="1:29" s="182" customFormat="1" hidden="1" x14ac:dyDescent="0.25">
      <c r="A967" s="131">
        <v>1</v>
      </c>
      <c r="B967" s="136">
        <v>1405102</v>
      </c>
      <c r="C967" s="128" t="s">
        <v>934</v>
      </c>
      <c r="D967" s="129" t="s">
        <v>1160</v>
      </c>
      <c r="E967" s="147" t="s">
        <v>38</v>
      </c>
      <c r="F967" s="129" t="s">
        <v>1075</v>
      </c>
      <c r="G967" s="147" t="s">
        <v>1731</v>
      </c>
      <c r="H967" s="191">
        <f t="shared" si="16"/>
        <v>0</v>
      </c>
      <c r="I967" s="181" t="s">
        <v>2218</v>
      </c>
      <c r="J967" s="148">
        <v>45</v>
      </c>
      <c r="K967" s="147">
        <v>1</v>
      </c>
      <c r="L967" s="147">
        <v>1</v>
      </c>
      <c r="M967" s="147">
        <v>2</v>
      </c>
      <c r="N967" s="289"/>
      <c r="O967" s="195"/>
      <c r="P967" s="180"/>
      <c r="Q967" s="174"/>
      <c r="R967" s="206">
        <v>0</v>
      </c>
      <c r="S967" s="168" t="s">
        <v>35</v>
      </c>
      <c r="T967" s="129" t="s">
        <v>1075</v>
      </c>
      <c r="U967" s="147" t="s">
        <v>35</v>
      </c>
      <c r="V967" s="129"/>
      <c r="W967" s="147" t="s">
        <v>2464</v>
      </c>
      <c r="X967" s="215"/>
      <c r="Y967" s="216">
        <v>0</v>
      </c>
      <c r="Z967" s="216">
        <v>0</v>
      </c>
      <c r="AA967" s="263"/>
      <c r="AB967" s="305"/>
      <c r="AC967" s="214"/>
    </row>
    <row r="968" spans="1:29" s="182" customFormat="1" hidden="1" x14ac:dyDescent="0.25">
      <c r="A968" s="131">
        <v>1</v>
      </c>
      <c r="B968" s="136">
        <v>1405103</v>
      </c>
      <c r="C968" s="128" t="s">
        <v>934</v>
      </c>
      <c r="D968" s="129" t="s">
        <v>1164</v>
      </c>
      <c r="E968" s="147" t="s">
        <v>38</v>
      </c>
      <c r="F968" s="129" t="s">
        <v>1075</v>
      </c>
      <c r="G968" s="147" t="s">
        <v>1731</v>
      </c>
      <c r="H968" s="191">
        <f t="shared" si="16"/>
        <v>0</v>
      </c>
      <c r="I968" s="181" t="s">
        <v>2218</v>
      </c>
      <c r="J968" s="148">
        <v>45</v>
      </c>
      <c r="K968" s="147">
        <v>1</v>
      </c>
      <c r="L968" s="147">
        <v>1</v>
      </c>
      <c r="M968" s="147">
        <v>2</v>
      </c>
      <c r="N968" s="289"/>
      <c r="O968" s="195"/>
      <c r="P968" s="180"/>
      <c r="Q968" s="174"/>
      <c r="R968" s="206">
        <v>0</v>
      </c>
      <c r="S968" s="168" t="s">
        <v>35</v>
      </c>
      <c r="T968" s="129" t="s">
        <v>1075</v>
      </c>
      <c r="U968" s="147" t="s">
        <v>35</v>
      </c>
      <c r="V968" s="129"/>
      <c r="W968" s="147" t="s">
        <v>2464</v>
      </c>
      <c r="X968" s="215"/>
      <c r="Y968" s="216">
        <v>0</v>
      </c>
      <c r="Z968" s="216">
        <v>0</v>
      </c>
      <c r="AA968" s="263"/>
      <c r="AB968" s="305"/>
      <c r="AC968" s="214"/>
    </row>
    <row r="969" spans="1:29" s="182" customFormat="1" x14ac:dyDescent="0.25">
      <c r="A969" s="131">
        <v>1</v>
      </c>
      <c r="B969" s="136">
        <v>1406001</v>
      </c>
      <c r="C969" s="128" t="s">
        <v>934</v>
      </c>
      <c r="D969" s="127" t="s">
        <v>1165</v>
      </c>
      <c r="E969" s="147" t="s">
        <v>38</v>
      </c>
      <c r="F969" s="129" t="s">
        <v>1166</v>
      </c>
      <c r="G969" s="147" t="s">
        <v>1731</v>
      </c>
      <c r="H969" s="191">
        <f t="shared" si="16"/>
        <v>0.62</v>
      </c>
      <c r="I969" s="222" t="s">
        <v>2084</v>
      </c>
      <c r="J969" s="146">
        <v>30</v>
      </c>
      <c r="K969" s="147">
        <v>22</v>
      </c>
      <c r="L969" s="147">
        <v>2</v>
      </c>
      <c r="M969" s="147">
        <v>24</v>
      </c>
      <c r="N969" s="289">
        <v>20000</v>
      </c>
      <c r="O969" s="195">
        <v>0.52</v>
      </c>
      <c r="P969" s="180">
        <v>45076</v>
      </c>
      <c r="Q969" s="174">
        <v>0.56999999999999995</v>
      </c>
      <c r="R969" s="205">
        <v>0.05</v>
      </c>
      <c r="S969" s="165"/>
      <c r="T969" s="129" t="s">
        <v>36</v>
      </c>
      <c r="U969" s="147" t="s">
        <v>37</v>
      </c>
      <c r="V969" s="129"/>
      <c r="W969" s="147" t="s">
        <v>2213</v>
      </c>
      <c r="X969" s="215" t="s">
        <v>1009</v>
      </c>
      <c r="Y969" s="216">
        <v>18562.5</v>
      </c>
      <c r="Z969" s="216">
        <v>20625</v>
      </c>
      <c r="AA969" s="263"/>
      <c r="AB969" s="305"/>
      <c r="AC969" s="214"/>
    </row>
    <row r="970" spans="1:29" s="182" customFormat="1" hidden="1" x14ac:dyDescent="0.25">
      <c r="A970" s="131">
        <v>1</v>
      </c>
      <c r="B970" s="136">
        <v>1406005</v>
      </c>
      <c r="C970" s="128" t="s">
        <v>934</v>
      </c>
      <c r="D970" s="127" t="s">
        <v>1170</v>
      </c>
      <c r="E970" s="147" t="s">
        <v>38</v>
      </c>
      <c r="F970" s="138" t="s">
        <v>57</v>
      </c>
      <c r="G970" s="147" t="s">
        <v>1731</v>
      </c>
      <c r="H970" s="191">
        <f t="shared" si="16"/>
        <v>0</v>
      </c>
      <c r="I970" s="225"/>
      <c r="J970" s="149"/>
      <c r="K970" s="147">
        <v>12</v>
      </c>
      <c r="L970" s="147">
        <v>1</v>
      </c>
      <c r="M970" s="147">
        <v>13</v>
      </c>
      <c r="N970" s="289"/>
      <c r="O970" s="196"/>
      <c r="P970" s="180"/>
      <c r="Q970" s="174"/>
      <c r="R970" s="206">
        <v>0</v>
      </c>
      <c r="S970" s="168"/>
      <c r="T970" s="138" t="s">
        <v>57</v>
      </c>
      <c r="U970" s="147" t="s">
        <v>37</v>
      </c>
      <c r="V970" s="129"/>
      <c r="W970" s="163" t="s">
        <v>54</v>
      </c>
      <c r="X970" s="215"/>
      <c r="Y970" s="216">
        <v>0</v>
      </c>
      <c r="Z970" s="216">
        <v>0</v>
      </c>
      <c r="AA970" s="263"/>
      <c r="AB970" s="155"/>
      <c r="AC970" s="212"/>
    </row>
    <row r="971" spans="1:29" s="182" customFormat="1" hidden="1" x14ac:dyDescent="0.25">
      <c r="A971" s="131">
        <v>1</v>
      </c>
      <c r="B971" s="136">
        <v>1407001</v>
      </c>
      <c r="C971" s="128" t="s">
        <v>934</v>
      </c>
      <c r="D971" s="127" t="s">
        <v>1171</v>
      </c>
      <c r="E971" s="147" t="s">
        <v>38</v>
      </c>
      <c r="F971" s="129" t="s">
        <v>1173</v>
      </c>
      <c r="G971" s="147" t="s">
        <v>1731</v>
      </c>
      <c r="H971" s="191">
        <f t="shared" si="16"/>
        <v>0</v>
      </c>
      <c r="I971" s="225"/>
      <c r="J971" s="149"/>
      <c r="K971" s="147">
        <v>11</v>
      </c>
      <c r="L971" s="147">
        <v>1</v>
      </c>
      <c r="M971" s="147">
        <v>12</v>
      </c>
      <c r="N971" s="289"/>
      <c r="O971" s="196"/>
      <c r="P971" s="180"/>
      <c r="Q971" s="174"/>
      <c r="R971" s="206">
        <v>0</v>
      </c>
      <c r="S971" s="168"/>
      <c r="T971" s="129" t="s">
        <v>64</v>
      </c>
      <c r="U971" s="147" t="s">
        <v>37</v>
      </c>
      <c r="V971" s="129"/>
      <c r="W971" s="177" t="s">
        <v>2531</v>
      </c>
      <c r="X971" s="215"/>
      <c r="Y971" s="216">
        <v>0</v>
      </c>
      <c r="Z971" s="216">
        <v>0</v>
      </c>
      <c r="AA971" s="263"/>
      <c r="AB971" s="155"/>
      <c r="AC971" s="212"/>
    </row>
    <row r="972" spans="1:29" s="182" customFormat="1" hidden="1" x14ac:dyDescent="0.25">
      <c r="A972" s="131">
        <v>1</v>
      </c>
      <c r="B972" s="136">
        <v>1407002</v>
      </c>
      <c r="C972" s="128" t="s">
        <v>934</v>
      </c>
      <c r="D972" s="127" t="s">
        <v>1177</v>
      </c>
      <c r="E972" s="147" t="s">
        <v>38</v>
      </c>
      <c r="F972" s="129" t="s">
        <v>1178</v>
      </c>
      <c r="G972" s="147" t="s">
        <v>1731</v>
      </c>
      <c r="H972" s="191">
        <f t="shared" si="16"/>
        <v>0</v>
      </c>
      <c r="I972" s="225"/>
      <c r="J972" s="149"/>
      <c r="K972" s="147">
        <v>11</v>
      </c>
      <c r="L972" s="147">
        <v>1</v>
      </c>
      <c r="M972" s="147">
        <v>12</v>
      </c>
      <c r="N972" s="289">
        <v>20000</v>
      </c>
      <c r="O972" s="196"/>
      <c r="P972" s="180"/>
      <c r="Q972" s="174"/>
      <c r="R972" s="206">
        <v>0</v>
      </c>
      <c r="S972" s="168"/>
      <c r="T972" s="129" t="s">
        <v>64</v>
      </c>
      <c r="U972" s="147" t="s">
        <v>37</v>
      </c>
      <c r="V972" s="129"/>
      <c r="W972" s="163" t="s">
        <v>54</v>
      </c>
      <c r="X972" s="215"/>
      <c r="Y972" s="216">
        <v>0</v>
      </c>
      <c r="Z972" s="216">
        <v>0</v>
      </c>
      <c r="AA972" s="263"/>
      <c r="AB972" s="155"/>
      <c r="AC972" s="212"/>
    </row>
    <row r="973" spans="1:29" s="182" customFormat="1" hidden="1" x14ac:dyDescent="0.25">
      <c r="A973" s="131">
        <v>1</v>
      </c>
      <c r="B973" s="136">
        <v>1407003</v>
      </c>
      <c r="C973" s="128" t="s">
        <v>934</v>
      </c>
      <c r="D973" s="127" t="s">
        <v>1179</v>
      </c>
      <c r="E973" s="147" t="s">
        <v>38</v>
      </c>
      <c r="F973" s="129" t="s">
        <v>1075</v>
      </c>
      <c r="G973" s="147" t="s">
        <v>1731</v>
      </c>
      <c r="H973" s="191">
        <f t="shared" si="16"/>
        <v>0</v>
      </c>
      <c r="I973" s="181" t="s">
        <v>2218</v>
      </c>
      <c r="J973" s="148">
        <v>45</v>
      </c>
      <c r="K973" s="147">
        <v>1</v>
      </c>
      <c r="L973" s="147">
        <v>1</v>
      </c>
      <c r="M973" s="147">
        <v>2</v>
      </c>
      <c r="N973" s="289"/>
      <c r="O973" s="195"/>
      <c r="P973" s="180"/>
      <c r="Q973" s="174"/>
      <c r="R973" s="206">
        <v>0</v>
      </c>
      <c r="S973" s="168" t="s">
        <v>35</v>
      </c>
      <c r="T973" s="129" t="s">
        <v>1075</v>
      </c>
      <c r="U973" s="147" t="s">
        <v>35</v>
      </c>
      <c r="V973" s="129"/>
      <c r="W973" s="147" t="s">
        <v>2464</v>
      </c>
      <c r="X973" s="215"/>
      <c r="Y973" s="216">
        <v>0</v>
      </c>
      <c r="Z973" s="216">
        <v>0</v>
      </c>
      <c r="AA973" s="263"/>
      <c r="AB973" s="305"/>
      <c r="AC973" s="214"/>
    </row>
    <row r="974" spans="1:29" s="182" customFormat="1" hidden="1" x14ac:dyDescent="0.25">
      <c r="A974" s="131">
        <v>1</v>
      </c>
      <c r="B974" s="136">
        <v>1407004</v>
      </c>
      <c r="C974" s="128" t="s">
        <v>934</v>
      </c>
      <c r="D974" s="127" t="s">
        <v>1181</v>
      </c>
      <c r="E974" s="147" t="s">
        <v>38</v>
      </c>
      <c r="F974" s="138" t="s">
        <v>57</v>
      </c>
      <c r="G974" s="147" t="s">
        <v>1731</v>
      </c>
      <c r="H974" s="191">
        <f t="shared" si="16"/>
        <v>0</v>
      </c>
      <c r="I974" s="225"/>
      <c r="J974" s="149"/>
      <c r="K974" s="147">
        <v>12</v>
      </c>
      <c r="L974" s="147">
        <v>1</v>
      </c>
      <c r="M974" s="147">
        <v>13</v>
      </c>
      <c r="N974" s="289"/>
      <c r="O974" s="196"/>
      <c r="P974" s="180"/>
      <c r="Q974" s="174"/>
      <c r="R974" s="206">
        <v>0</v>
      </c>
      <c r="S974" s="168"/>
      <c r="T974" s="129" t="s">
        <v>64</v>
      </c>
      <c r="U974" s="147" t="s">
        <v>37</v>
      </c>
      <c r="V974" s="129"/>
      <c r="W974" s="163" t="s">
        <v>54</v>
      </c>
      <c r="X974" s="215"/>
      <c r="Y974" s="216">
        <v>0</v>
      </c>
      <c r="Z974" s="216">
        <v>0</v>
      </c>
      <c r="AA974" s="263"/>
      <c r="AB974" s="155"/>
      <c r="AC974" s="212"/>
    </row>
    <row r="975" spans="1:29" s="182" customFormat="1" hidden="1" x14ac:dyDescent="0.25">
      <c r="A975" s="131">
        <v>1</v>
      </c>
      <c r="B975" s="136">
        <v>1407005</v>
      </c>
      <c r="C975" s="128" t="s">
        <v>934</v>
      </c>
      <c r="D975" s="127" t="s">
        <v>1182</v>
      </c>
      <c r="E975" s="147" t="s">
        <v>38</v>
      </c>
      <c r="F975" s="138" t="s">
        <v>57</v>
      </c>
      <c r="G975" s="147" t="s">
        <v>1731</v>
      </c>
      <c r="H975" s="191">
        <f t="shared" si="16"/>
        <v>0</v>
      </c>
      <c r="I975" s="225"/>
      <c r="J975" s="149"/>
      <c r="K975" s="147">
        <v>12</v>
      </c>
      <c r="L975" s="147">
        <v>1</v>
      </c>
      <c r="M975" s="147">
        <v>13</v>
      </c>
      <c r="N975" s="289"/>
      <c r="O975" s="196"/>
      <c r="P975" s="180"/>
      <c r="Q975" s="174"/>
      <c r="R975" s="206">
        <v>0</v>
      </c>
      <c r="S975" s="168"/>
      <c r="T975" s="138" t="s">
        <v>57</v>
      </c>
      <c r="U975" s="147" t="s">
        <v>37</v>
      </c>
      <c r="V975" s="129"/>
      <c r="W975" s="163" t="s">
        <v>54</v>
      </c>
      <c r="X975" s="215"/>
      <c r="Y975" s="216">
        <v>0</v>
      </c>
      <c r="Z975" s="216">
        <v>0</v>
      </c>
      <c r="AA975" s="263"/>
      <c r="AB975" s="155"/>
      <c r="AC975" s="212"/>
    </row>
    <row r="976" spans="1:29" hidden="1" x14ac:dyDescent="0.25">
      <c r="A976" s="131">
        <v>1</v>
      </c>
      <c r="B976" s="136">
        <v>1407007</v>
      </c>
      <c r="C976" s="128" t="s">
        <v>934</v>
      </c>
      <c r="D976" s="129" t="s">
        <v>1183</v>
      </c>
      <c r="E976" s="147" t="s">
        <v>38</v>
      </c>
      <c r="F976" s="129" t="s">
        <v>1173</v>
      </c>
      <c r="G976" s="147" t="s">
        <v>1731</v>
      </c>
      <c r="H976" s="191">
        <f t="shared" si="16"/>
        <v>0</v>
      </c>
      <c r="I976" s="225"/>
      <c r="J976" s="149"/>
      <c r="K976" s="147">
        <v>11</v>
      </c>
      <c r="L976" s="147">
        <v>1</v>
      </c>
      <c r="M976" s="147">
        <v>12</v>
      </c>
      <c r="N976" s="289"/>
      <c r="O976" s="196"/>
      <c r="P976" s="180"/>
      <c r="Q976" s="174"/>
      <c r="R976" s="206">
        <v>0</v>
      </c>
      <c r="S976" s="168"/>
      <c r="T976" s="129" t="s">
        <v>64</v>
      </c>
      <c r="U976" s="147" t="s">
        <v>37</v>
      </c>
      <c r="V976" s="129"/>
      <c r="W976" s="177" t="s">
        <v>2531</v>
      </c>
      <c r="X976" s="215"/>
      <c r="Y976" s="216">
        <v>0</v>
      </c>
      <c r="Z976" s="216">
        <v>0</v>
      </c>
      <c r="AA976" s="263"/>
      <c r="AB976" s="155"/>
      <c r="AC976" s="212"/>
    </row>
    <row r="977" spans="1:29 16384:16384" s="182" customFormat="1" hidden="1" x14ac:dyDescent="0.25">
      <c r="A977" s="131">
        <v>1</v>
      </c>
      <c r="B977" s="136">
        <v>1407008</v>
      </c>
      <c r="C977" s="128" t="s">
        <v>934</v>
      </c>
      <c r="D977" s="129" t="s">
        <v>1184</v>
      </c>
      <c r="E977" s="147" t="s">
        <v>38</v>
      </c>
      <c r="F977" s="129" t="s">
        <v>1185</v>
      </c>
      <c r="G977" s="147" t="s">
        <v>1731</v>
      </c>
      <c r="H977" s="191">
        <f t="shared" si="16"/>
        <v>0</v>
      </c>
      <c r="I977" s="225"/>
      <c r="J977" s="149"/>
      <c r="K977" s="147">
        <v>11</v>
      </c>
      <c r="L977" s="147">
        <v>1</v>
      </c>
      <c r="M977" s="147">
        <v>12</v>
      </c>
      <c r="N977" s="289">
        <v>1000</v>
      </c>
      <c r="O977" s="196"/>
      <c r="P977" s="180"/>
      <c r="Q977" s="174"/>
      <c r="R977" s="206">
        <v>0</v>
      </c>
      <c r="S977" s="168"/>
      <c r="T977" s="129"/>
      <c r="U977" s="147" t="s">
        <v>37</v>
      </c>
      <c r="V977" s="129"/>
      <c r="W977" s="163" t="s">
        <v>54</v>
      </c>
      <c r="X977" s="215"/>
      <c r="Y977" s="216">
        <v>0</v>
      </c>
      <c r="Z977" s="216">
        <v>0</v>
      </c>
      <c r="AA977" s="263"/>
      <c r="AB977" s="155"/>
      <c r="AC977" s="212"/>
    </row>
    <row r="978" spans="1:29 16384:16384" hidden="1" x14ac:dyDescent="0.25">
      <c r="A978" s="131">
        <v>1</v>
      </c>
      <c r="B978" s="136">
        <v>1407009</v>
      </c>
      <c r="C978" s="128" t="s">
        <v>934</v>
      </c>
      <c r="D978" s="129" t="s">
        <v>1189</v>
      </c>
      <c r="E978" s="147" t="s">
        <v>38</v>
      </c>
      <c r="F978" s="129" t="s">
        <v>1173</v>
      </c>
      <c r="G978" s="147" t="s">
        <v>1731</v>
      </c>
      <c r="H978" s="191">
        <f t="shared" si="16"/>
        <v>0</v>
      </c>
      <c r="I978" s="225"/>
      <c r="J978" s="149"/>
      <c r="K978" s="147">
        <v>11</v>
      </c>
      <c r="L978" s="147">
        <v>1</v>
      </c>
      <c r="M978" s="147">
        <v>12</v>
      </c>
      <c r="N978" s="289"/>
      <c r="O978" s="196"/>
      <c r="P978" s="180"/>
      <c r="Q978" s="174"/>
      <c r="R978" s="206">
        <v>0</v>
      </c>
      <c r="S978" s="168"/>
      <c r="T978" s="129" t="s">
        <v>64</v>
      </c>
      <c r="U978" s="147" t="s">
        <v>37</v>
      </c>
      <c r="V978" s="129"/>
      <c r="W978" s="177" t="s">
        <v>2531</v>
      </c>
      <c r="X978" s="215"/>
      <c r="Y978" s="216">
        <v>0</v>
      </c>
      <c r="Z978" s="216">
        <v>0</v>
      </c>
      <c r="AA978" s="263"/>
      <c r="AB978" s="155"/>
      <c r="AC978" s="212"/>
    </row>
    <row r="979" spans="1:29 16384:16384" hidden="1" x14ac:dyDescent="0.25">
      <c r="A979" s="131">
        <v>1</v>
      </c>
      <c r="B979" s="136">
        <v>1407010</v>
      </c>
      <c r="C979" s="128" t="s">
        <v>934</v>
      </c>
      <c r="D979" s="129" t="s">
        <v>1190</v>
      </c>
      <c r="E979" s="147" t="s">
        <v>38</v>
      </c>
      <c r="F979" s="129" t="s">
        <v>36</v>
      </c>
      <c r="G979" s="147" t="s">
        <v>1731</v>
      </c>
      <c r="H979" s="191">
        <f t="shared" si="16"/>
        <v>0.1351</v>
      </c>
      <c r="I979" s="181" t="s">
        <v>2218</v>
      </c>
      <c r="J979" s="150"/>
      <c r="K979" s="147"/>
      <c r="L979" s="147"/>
      <c r="M979" s="147">
        <v>10</v>
      </c>
      <c r="N979" s="289"/>
      <c r="O979" s="196"/>
      <c r="P979" s="180"/>
      <c r="Q979" s="174">
        <v>0.1351</v>
      </c>
      <c r="R979" s="206">
        <v>0</v>
      </c>
      <c r="S979" s="165"/>
      <c r="T979" s="129" t="s">
        <v>36</v>
      </c>
      <c r="U979" s="147" t="s">
        <v>37</v>
      </c>
      <c r="V979" s="129"/>
      <c r="W979" s="163" t="s">
        <v>2531</v>
      </c>
      <c r="X979" s="215"/>
      <c r="Y979" s="216">
        <v>0</v>
      </c>
      <c r="Z979" s="216">
        <v>0</v>
      </c>
      <c r="AA979" s="263"/>
      <c r="AB979" s="305"/>
    </row>
    <row r="980" spans="1:29 16384:16384" s="182" customFormat="1" hidden="1" x14ac:dyDescent="0.25">
      <c r="A980" s="131">
        <v>1</v>
      </c>
      <c r="B980" s="136">
        <v>1407011</v>
      </c>
      <c r="C980" s="128" t="s">
        <v>934</v>
      </c>
      <c r="D980" s="129" t="s">
        <v>1191</v>
      </c>
      <c r="E980" s="147" t="s">
        <v>38</v>
      </c>
      <c r="F980" s="129" t="s">
        <v>36</v>
      </c>
      <c r="G980" s="147" t="s">
        <v>1731</v>
      </c>
      <c r="H980" s="191">
        <f t="shared" si="16"/>
        <v>0</v>
      </c>
      <c r="I980" s="181" t="s">
        <v>2218</v>
      </c>
      <c r="J980" s="149"/>
      <c r="K980" s="147"/>
      <c r="L980" s="147"/>
      <c r="M980" s="147">
        <v>7</v>
      </c>
      <c r="N980" s="289"/>
      <c r="O980" s="196"/>
      <c r="P980" s="180"/>
      <c r="Q980" s="174"/>
      <c r="R980" s="206">
        <v>0</v>
      </c>
      <c r="S980" s="168"/>
      <c r="T980" s="129" t="s">
        <v>36</v>
      </c>
      <c r="U980" s="147" t="s">
        <v>37</v>
      </c>
      <c r="V980" s="129"/>
      <c r="W980" s="163" t="s">
        <v>2531</v>
      </c>
      <c r="X980" s="215"/>
      <c r="Y980" s="216">
        <v>0</v>
      </c>
      <c r="Z980" s="216">
        <v>0</v>
      </c>
      <c r="AA980" s="263"/>
      <c r="AB980" s="305"/>
      <c r="AC980" s="214"/>
    </row>
    <row r="981" spans="1:29 16384:16384" s="182" customFormat="1" hidden="1" x14ac:dyDescent="0.25">
      <c r="A981" s="131">
        <v>1</v>
      </c>
      <c r="B981" s="136">
        <v>1407012</v>
      </c>
      <c r="C981" s="128" t="s">
        <v>934</v>
      </c>
      <c r="D981" s="129" t="s">
        <v>1192</v>
      </c>
      <c r="E981" s="147" t="s">
        <v>38</v>
      </c>
      <c r="F981" s="129" t="s">
        <v>36</v>
      </c>
      <c r="G981" s="147" t="s">
        <v>1731</v>
      </c>
      <c r="H981" s="191">
        <f t="shared" si="16"/>
        <v>0.17660000000000001</v>
      </c>
      <c r="I981" s="181" t="s">
        <v>2218</v>
      </c>
      <c r="J981" s="150"/>
      <c r="K981" s="147"/>
      <c r="L981" s="147"/>
      <c r="M981" s="147">
        <v>7</v>
      </c>
      <c r="N981" s="289"/>
      <c r="O981" s="196"/>
      <c r="P981" s="180"/>
      <c r="Q981" s="174">
        <v>0.17660000000000001</v>
      </c>
      <c r="R981" s="206">
        <v>0</v>
      </c>
      <c r="S981" s="165"/>
      <c r="T981" s="129" t="s">
        <v>36</v>
      </c>
      <c r="U981" s="147" t="s">
        <v>37</v>
      </c>
      <c r="V981" s="129"/>
      <c r="W981" s="163" t="s">
        <v>2531</v>
      </c>
      <c r="X981" s="215"/>
      <c r="Y981" s="216">
        <v>0</v>
      </c>
      <c r="Z981" s="216">
        <v>0</v>
      </c>
      <c r="AA981" s="263"/>
      <c r="AB981" s="305"/>
      <c r="AC981" s="214"/>
    </row>
    <row r="982" spans="1:29 16384:16384" s="182" customFormat="1" hidden="1" x14ac:dyDescent="0.25">
      <c r="A982" s="131">
        <v>1</v>
      </c>
      <c r="B982" s="136">
        <v>1407013</v>
      </c>
      <c r="C982" s="128" t="s">
        <v>934</v>
      </c>
      <c r="D982" s="129" t="s">
        <v>1193</v>
      </c>
      <c r="E982" s="147" t="s">
        <v>38</v>
      </c>
      <c r="F982" s="129" t="s">
        <v>36</v>
      </c>
      <c r="G982" s="147" t="s">
        <v>1731</v>
      </c>
      <c r="H982" s="191">
        <f t="shared" si="16"/>
        <v>0.24429999999999999</v>
      </c>
      <c r="I982" s="181" t="s">
        <v>2218</v>
      </c>
      <c r="J982" s="150"/>
      <c r="K982" s="147"/>
      <c r="L982" s="147"/>
      <c r="M982" s="147">
        <v>10</v>
      </c>
      <c r="N982" s="289"/>
      <c r="O982" s="196"/>
      <c r="P982" s="180"/>
      <c r="Q982" s="174">
        <v>0.24429999999999999</v>
      </c>
      <c r="R982" s="206">
        <v>0</v>
      </c>
      <c r="S982" s="165"/>
      <c r="T982" s="129" t="s">
        <v>36</v>
      </c>
      <c r="U982" s="147" t="s">
        <v>37</v>
      </c>
      <c r="V982" s="129"/>
      <c r="W982" s="163" t="s">
        <v>2531</v>
      </c>
      <c r="X982" s="215"/>
      <c r="Y982" s="216">
        <v>0</v>
      </c>
      <c r="Z982" s="216">
        <v>0</v>
      </c>
      <c r="AA982" s="263"/>
      <c r="AB982" s="305"/>
      <c r="AC982" s="214"/>
    </row>
    <row r="983" spans="1:29 16384:16384" s="182" customFormat="1" hidden="1" x14ac:dyDescent="0.25">
      <c r="A983" s="131">
        <v>1</v>
      </c>
      <c r="B983" s="136">
        <v>1407014</v>
      </c>
      <c r="C983" s="128" t="s">
        <v>934</v>
      </c>
      <c r="D983" s="129" t="s">
        <v>1194</v>
      </c>
      <c r="E983" s="147" t="s">
        <v>38</v>
      </c>
      <c r="F983" s="129" t="s">
        <v>36</v>
      </c>
      <c r="G983" s="147" t="s">
        <v>1731</v>
      </c>
      <c r="H983" s="191">
        <f t="shared" si="16"/>
        <v>8.1699999999999995E-2</v>
      </c>
      <c r="I983" s="181" t="s">
        <v>2218</v>
      </c>
      <c r="J983" s="150"/>
      <c r="K983" s="147"/>
      <c r="L983" s="147"/>
      <c r="M983" s="147">
        <v>4</v>
      </c>
      <c r="N983" s="289"/>
      <c r="O983" s="196"/>
      <c r="P983" s="180"/>
      <c r="Q983" s="174">
        <v>8.1699999999999995E-2</v>
      </c>
      <c r="R983" s="206">
        <v>0</v>
      </c>
      <c r="S983" s="165"/>
      <c r="T983" s="129" t="s">
        <v>36</v>
      </c>
      <c r="U983" s="147" t="s">
        <v>37</v>
      </c>
      <c r="V983" s="129"/>
      <c r="W983" s="163" t="s">
        <v>2531</v>
      </c>
      <c r="X983" s="215"/>
      <c r="Y983" s="216">
        <v>0</v>
      </c>
      <c r="Z983" s="216">
        <v>0</v>
      </c>
      <c r="AA983" s="263"/>
      <c r="AB983" s="305"/>
      <c r="AC983" s="214"/>
    </row>
    <row r="984" spans="1:29 16384:16384" s="182" customFormat="1" hidden="1" x14ac:dyDescent="0.25">
      <c r="A984" s="131">
        <v>1</v>
      </c>
      <c r="B984" s="136">
        <v>1407015</v>
      </c>
      <c r="C984" s="128" t="s">
        <v>934</v>
      </c>
      <c r="D984" s="129" t="s">
        <v>1195</v>
      </c>
      <c r="E984" s="147" t="s">
        <v>38</v>
      </c>
      <c r="F984" s="129" t="s">
        <v>36</v>
      </c>
      <c r="G984" s="147" t="s">
        <v>1731</v>
      </c>
      <c r="H984" s="191">
        <f t="shared" si="16"/>
        <v>0</v>
      </c>
      <c r="I984" s="181" t="s">
        <v>2218</v>
      </c>
      <c r="J984" s="149"/>
      <c r="K984" s="147">
        <v>2</v>
      </c>
      <c r="L984" s="147">
        <v>1</v>
      </c>
      <c r="M984" s="147">
        <v>3</v>
      </c>
      <c r="N984" s="289"/>
      <c r="O984" s="196"/>
      <c r="P984" s="180"/>
      <c r="Q984" s="174"/>
      <c r="R984" s="206">
        <v>0</v>
      </c>
      <c r="S984" s="165"/>
      <c r="T984" s="129" t="s">
        <v>36</v>
      </c>
      <c r="U984" s="147" t="s">
        <v>37</v>
      </c>
      <c r="V984" s="129"/>
      <c r="W984" s="163" t="s">
        <v>2531</v>
      </c>
      <c r="X984" s="215"/>
      <c r="Y984" s="216">
        <v>0</v>
      </c>
      <c r="Z984" s="216">
        <v>0</v>
      </c>
      <c r="AA984" s="263"/>
      <c r="AB984" s="305"/>
      <c r="AC984" s="214"/>
    </row>
    <row r="985" spans="1:29 16384:16384" hidden="1" x14ac:dyDescent="0.25">
      <c r="A985" s="131">
        <v>1</v>
      </c>
      <c r="B985" s="136">
        <v>1407016</v>
      </c>
      <c r="C985" s="128" t="s">
        <v>934</v>
      </c>
      <c r="D985" s="129" t="s">
        <v>1197</v>
      </c>
      <c r="E985" s="147" t="s">
        <v>38</v>
      </c>
      <c r="F985" s="129" t="s">
        <v>36</v>
      </c>
      <c r="G985" s="147" t="s">
        <v>1731</v>
      </c>
      <c r="H985" s="191">
        <f t="shared" si="16"/>
        <v>0</v>
      </c>
      <c r="I985" s="181" t="s">
        <v>2218</v>
      </c>
      <c r="J985" s="150"/>
      <c r="K985" s="147">
        <v>2</v>
      </c>
      <c r="L985" s="147">
        <v>1</v>
      </c>
      <c r="M985" s="147">
        <v>3</v>
      </c>
      <c r="N985" s="289"/>
      <c r="O985" s="196"/>
      <c r="P985" s="180"/>
      <c r="Q985" s="174"/>
      <c r="R985" s="206">
        <v>0</v>
      </c>
      <c r="S985" s="165"/>
      <c r="T985" s="129" t="s">
        <v>36</v>
      </c>
      <c r="U985" s="147" t="s">
        <v>37</v>
      </c>
      <c r="V985" s="129"/>
      <c r="W985" s="163" t="s">
        <v>2531</v>
      </c>
      <c r="X985" s="215"/>
      <c r="Y985" s="216">
        <v>0</v>
      </c>
      <c r="Z985" s="216">
        <v>0</v>
      </c>
      <c r="AA985" s="263"/>
      <c r="AB985" s="305"/>
    </row>
    <row r="986" spans="1:29 16384:16384" s="182" customFormat="1" x14ac:dyDescent="0.25">
      <c r="A986" s="131">
        <v>1</v>
      </c>
      <c r="B986" s="136">
        <v>1407017</v>
      </c>
      <c r="C986" s="129" t="s">
        <v>934</v>
      </c>
      <c r="D986" s="129" t="s">
        <v>1723</v>
      </c>
      <c r="E986" s="147" t="s">
        <v>38</v>
      </c>
      <c r="F986" s="129" t="s">
        <v>36</v>
      </c>
      <c r="G986" s="147" t="s">
        <v>1731</v>
      </c>
      <c r="H986" s="191">
        <f t="shared" si="16"/>
        <v>0.65500000000000003</v>
      </c>
      <c r="I986" s="181" t="s">
        <v>2218</v>
      </c>
      <c r="J986" s="150"/>
      <c r="K986" s="147">
        <v>6</v>
      </c>
      <c r="L986" s="147">
        <v>1</v>
      </c>
      <c r="M986" s="147">
        <v>7</v>
      </c>
      <c r="N986" s="289"/>
      <c r="O986" s="199">
        <v>0.3639</v>
      </c>
      <c r="P986" s="180">
        <v>45400</v>
      </c>
      <c r="Q986" s="174">
        <v>0.65500000000000003</v>
      </c>
      <c r="R986" s="206">
        <v>0</v>
      </c>
      <c r="S986" s="165"/>
      <c r="T986" s="129" t="s">
        <v>36</v>
      </c>
      <c r="U986" s="147" t="s">
        <v>37</v>
      </c>
      <c r="V986" s="129"/>
      <c r="W986" s="147" t="s">
        <v>2459</v>
      </c>
      <c r="X986" s="215" t="s">
        <v>1906</v>
      </c>
      <c r="Y986" s="216">
        <v>133812.70833333334</v>
      </c>
      <c r="Z986" s="216">
        <v>173956.52083333334</v>
      </c>
      <c r="AA986" s="263"/>
      <c r="AB986" s="305"/>
      <c r="AC986" s="214"/>
    </row>
    <row r="987" spans="1:29 16384:16384" s="182" customFormat="1" x14ac:dyDescent="0.25">
      <c r="A987" s="131">
        <v>1</v>
      </c>
      <c r="B987" s="136">
        <v>1407018</v>
      </c>
      <c r="C987" s="129" t="s">
        <v>934</v>
      </c>
      <c r="D987" s="129" t="s">
        <v>1200</v>
      </c>
      <c r="E987" s="147" t="s">
        <v>38</v>
      </c>
      <c r="F987" s="129" t="s">
        <v>1201</v>
      </c>
      <c r="G987" s="147" t="s">
        <v>1731</v>
      </c>
      <c r="H987" s="191">
        <f t="shared" si="16"/>
        <v>0.1525</v>
      </c>
      <c r="I987" s="222" t="s">
        <v>2084</v>
      </c>
      <c r="J987" s="146">
        <v>30</v>
      </c>
      <c r="K987" s="147">
        <v>11</v>
      </c>
      <c r="L987" s="147">
        <v>2</v>
      </c>
      <c r="M987" s="147">
        <v>13</v>
      </c>
      <c r="N987" s="289">
        <v>25000</v>
      </c>
      <c r="O987" s="195">
        <v>0.1118</v>
      </c>
      <c r="P987" s="180">
        <v>45280</v>
      </c>
      <c r="Q987" s="174">
        <v>0.10249999999999999</v>
      </c>
      <c r="R987" s="205">
        <v>0.05</v>
      </c>
      <c r="S987" s="165" t="s">
        <v>35</v>
      </c>
      <c r="T987" s="129" t="s">
        <v>2091</v>
      </c>
      <c r="U987" s="147" t="s">
        <v>37</v>
      </c>
      <c r="V987" s="129"/>
      <c r="W987" s="147" t="s">
        <v>2213</v>
      </c>
      <c r="X987" s="220" t="s">
        <v>1990</v>
      </c>
      <c r="Y987" s="216">
        <v>24168</v>
      </c>
      <c r="Z987" s="216">
        <v>28699.5</v>
      </c>
      <c r="AA987" s="263"/>
      <c r="AB987" s="305"/>
      <c r="AC987" s="214"/>
    </row>
    <row r="988" spans="1:29 16384:16384" s="182" customFormat="1" x14ac:dyDescent="0.25">
      <c r="A988" s="131">
        <v>1</v>
      </c>
      <c r="B988" s="136">
        <v>1407019</v>
      </c>
      <c r="C988" s="129" t="s">
        <v>934</v>
      </c>
      <c r="D988" s="129" t="s">
        <v>1202</v>
      </c>
      <c r="E988" s="147" t="s">
        <v>38</v>
      </c>
      <c r="F988" s="129" t="s">
        <v>1201</v>
      </c>
      <c r="G988" s="147" t="s">
        <v>1731</v>
      </c>
      <c r="H988" s="191">
        <f t="shared" si="16"/>
        <v>0.35639999999999999</v>
      </c>
      <c r="I988" s="222" t="s">
        <v>2084</v>
      </c>
      <c r="J988" s="146">
        <v>30</v>
      </c>
      <c r="K988" s="147">
        <v>11</v>
      </c>
      <c r="L988" s="147">
        <v>2</v>
      </c>
      <c r="M988" s="147">
        <v>13</v>
      </c>
      <c r="N988" s="289">
        <v>50000</v>
      </c>
      <c r="O988" s="195">
        <v>0.30669999999999997</v>
      </c>
      <c r="P988" s="180">
        <v>45398</v>
      </c>
      <c r="Q988" s="174">
        <v>0.30640000000000001</v>
      </c>
      <c r="R988" s="205">
        <v>0.05</v>
      </c>
      <c r="S988" s="165" t="s">
        <v>35</v>
      </c>
      <c r="T988" s="129" t="s">
        <v>2091</v>
      </c>
      <c r="U988" s="147" t="s">
        <v>37</v>
      </c>
      <c r="V988" s="129"/>
      <c r="W988" s="147" t="s">
        <v>2213</v>
      </c>
      <c r="X988" s="215" t="s">
        <v>1009</v>
      </c>
      <c r="Y988" s="216">
        <v>0</v>
      </c>
      <c r="Z988" s="216">
        <v>0</v>
      </c>
      <c r="AA988" s="263"/>
      <c r="AB988" s="305"/>
      <c r="AC988" s="214"/>
    </row>
    <row r="989" spans="1:29 16384:16384" s="182" customFormat="1" x14ac:dyDescent="0.25">
      <c r="A989" s="131">
        <v>1</v>
      </c>
      <c r="B989" s="136">
        <v>1407020</v>
      </c>
      <c r="C989" s="129" t="s">
        <v>934</v>
      </c>
      <c r="D989" s="129" t="s">
        <v>1203</v>
      </c>
      <c r="E989" s="147" t="s">
        <v>38</v>
      </c>
      <c r="F989" s="129" t="s">
        <v>1533</v>
      </c>
      <c r="G989" s="147" t="s">
        <v>1731</v>
      </c>
      <c r="H989" s="191">
        <f t="shared" si="16"/>
        <v>0.19</v>
      </c>
      <c r="I989" s="222" t="s">
        <v>2084</v>
      </c>
      <c r="J989" s="146">
        <v>0</v>
      </c>
      <c r="K989" s="147">
        <v>7</v>
      </c>
      <c r="L989" s="147">
        <v>2</v>
      </c>
      <c r="M989" s="147">
        <v>9</v>
      </c>
      <c r="N989" s="289">
        <v>75000</v>
      </c>
      <c r="O989" s="195"/>
      <c r="P989" s="180">
        <v>44956</v>
      </c>
      <c r="Q989" s="174">
        <v>0.14000000000000001</v>
      </c>
      <c r="R989" s="205">
        <v>0.05</v>
      </c>
      <c r="S989" s="165" t="s">
        <v>35</v>
      </c>
      <c r="T989" s="129" t="s">
        <v>2091</v>
      </c>
      <c r="U989" s="147" t="s">
        <v>37</v>
      </c>
      <c r="V989" s="129"/>
      <c r="W989" s="147" t="s">
        <v>2213</v>
      </c>
      <c r="X989" s="215" t="s">
        <v>1916</v>
      </c>
      <c r="Y989" s="216">
        <v>9646</v>
      </c>
      <c r="Z989" s="216">
        <v>12057.5</v>
      </c>
      <c r="AA989" s="263"/>
      <c r="AB989" s="305"/>
      <c r="AC989" s="214"/>
    </row>
    <row r="990" spans="1:29 16384:16384" s="182" customFormat="1" x14ac:dyDescent="0.25">
      <c r="A990" s="155">
        <v>1</v>
      </c>
      <c r="B990" s="136">
        <v>1407021</v>
      </c>
      <c r="C990" s="128" t="s">
        <v>934</v>
      </c>
      <c r="D990" s="127" t="s">
        <v>1656</v>
      </c>
      <c r="E990" s="147" t="s">
        <v>38</v>
      </c>
      <c r="F990" s="129" t="s">
        <v>1703</v>
      </c>
      <c r="G990" s="147" t="s">
        <v>1731</v>
      </c>
      <c r="H990" s="191">
        <f t="shared" si="16"/>
        <v>6.93</v>
      </c>
      <c r="I990" s="181" t="s">
        <v>2218</v>
      </c>
      <c r="J990" s="150"/>
      <c r="K990" s="147">
        <v>1</v>
      </c>
      <c r="L990" s="147">
        <v>1</v>
      </c>
      <c r="M990" s="147">
        <v>2</v>
      </c>
      <c r="N990" s="289"/>
      <c r="O990" s="196"/>
      <c r="P990" s="180"/>
      <c r="Q990" s="174">
        <v>6.88</v>
      </c>
      <c r="R990" s="205">
        <v>0.05</v>
      </c>
      <c r="S990" s="147"/>
      <c r="T990" s="129" t="s">
        <v>1703</v>
      </c>
      <c r="U990" s="147" t="s">
        <v>37</v>
      </c>
      <c r="V990" s="129"/>
      <c r="W990" s="147" t="s">
        <v>2459</v>
      </c>
      <c r="X990" s="215" t="s">
        <v>1906</v>
      </c>
      <c r="Y990" s="216">
        <v>878.25</v>
      </c>
      <c r="Z990" s="216">
        <v>1756.5</v>
      </c>
      <c r="AA990" s="263"/>
      <c r="AB990" s="305"/>
      <c r="AC990" s="214"/>
      <c r="XFD990" s="155"/>
    </row>
    <row r="991" spans="1:29 16384:16384" s="182" customFormat="1" x14ac:dyDescent="0.25">
      <c r="A991" s="131">
        <v>1</v>
      </c>
      <c r="B991" s="136">
        <v>1407022</v>
      </c>
      <c r="C991" s="128" t="s">
        <v>934</v>
      </c>
      <c r="D991" s="127" t="s">
        <v>1657</v>
      </c>
      <c r="E991" s="147" t="s">
        <v>38</v>
      </c>
      <c r="F991" s="129" t="s">
        <v>1703</v>
      </c>
      <c r="G991" s="147" t="s">
        <v>1731</v>
      </c>
      <c r="H991" s="191">
        <f t="shared" si="16"/>
        <v>11.780000000000001</v>
      </c>
      <c r="I991" s="181" t="s">
        <v>2218</v>
      </c>
      <c r="J991" s="150"/>
      <c r="K991" s="147">
        <v>1</v>
      </c>
      <c r="L991" s="147">
        <v>1</v>
      </c>
      <c r="M991" s="147">
        <v>2</v>
      </c>
      <c r="N991" s="289"/>
      <c r="O991" s="196"/>
      <c r="P991" s="180"/>
      <c r="Q991" s="174">
        <v>11.73</v>
      </c>
      <c r="R991" s="205">
        <v>0.05</v>
      </c>
      <c r="S991" s="147"/>
      <c r="T991" s="129" t="s">
        <v>1703</v>
      </c>
      <c r="U991" s="147" t="s">
        <v>37</v>
      </c>
      <c r="V991" s="129"/>
      <c r="W991" s="147" t="s">
        <v>2459</v>
      </c>
      <c r="X991" s="215" t="s">
        <v>1906</v>
      </c>
      <c r="Y991" s="216">
        <v>1064.3125</v>
      </c>
      <c r="Z991" s="216">
        <v>2128.625</v>
      </c>
      <c r="AA991" s="263"/>
      <c r="AB991" s="305"/>
      <c r="AC991" s="214"/>
    </row>
    <row r="992" spans="1:29 16384:16384" ht="24" x14ac:dyDescent="0.25">
      <c r="A992" s="141"/>
      <c r="B992" s="136">
        <v>1407023</v>
      </c>
      <c r="C992" s="128" t="s">
        <v>934</v>
      </c>
      <c r="D992" s="127" t="s">
        <v>2317</v>
      </c>
      <c r="E992" s="147" t="s">
        <v>38</v>
      </c>
      <c r="F992" s="129" t="s">
        <v>1943</v>
      </c>
      <c r="G992" s="147" t="s">
        <v>1731</v>
      </c>
      <c r="H992" s="191">
        <f t="shared" si="16"/>
        <v>3.28</v>
      </c>
      <c r="I992" s="222" t="s">
        <v>2461</v>
      </c>
      <c r="J992" s="146">
        <v>30</v>
      </c>
      <c r="K992" s="147">
        <v>21</v>
      </c>
      <c r="L992" s="147">
        <v>1</v>
      </c>
      <c r="M992" s="147">
        <v>22</v>
      </c>
      <c r="N992" s="289">
        <v>200</v>
      </c>
      <c r="O992" s="195"/>
      <c r="P992" s="180">
        <v>45919</v>
      </c>
      <c r="Q992" s="174">
        <v>3.28</v>
      </c>
      <c r="R992" s="205">
        <v>0</v>
      </c>
      <c r="S992" s="147"/>
      <c r="T992" s="129" t="s">
        <v>242</v>
      </c>
      <c r="U992" s="147" t="s">
        <v>35</v>
      </c>
      <c r="V992" s="129"/>
      <c r="W992" s="147" t="s">
        <v>2459</v>
      </c>
      <c r="X992" s="215" t="s">
        <v>1906</v>
      </c>
      <c r="Y992" s="216">
        <v>0</v>
      </c>
      <c r="Z992" s="216">
        <v>0</v>
      </c>
      <c r="AA992" s="265" t="s">
        <v>2134</v>
      </c>
      <c r="AB992" s="155"/>
      <c r="AC992" s="212"/>
    </row>
    <row r="993" spans="1:29" s="182" customFormat="1" ht="24" x14ac:dyDescent="0.25">
      <c r="A993" s="131"/>
      <c r="B993" s="136">
        <v>1407024</v>
      </c>
      <c r="C993" s="128" t="s">
        <v>934</v>
      </c>
      <c r="D993" s="127" t="s">
        <v>2317</v>
      </c>
      <c r="E993" s="147" t="s">
        <v>38</v>
      </c>
      <c r="F993" s="129" t="s">
        <v>1943</v>
      </c>
      <c r="G993" s="147" t="s">
        <v>1731</v>
      </c>
      <c r="H993" s="191">
        <f t="shared" si="16"/>
        <v>0</v>
      </c>
      <c r="I993" s="222" t="s">
        <v>2461</v>
      </c>
      <c r="J993" s="146">
        <v>30</v>
      </c>
      <c r="K993" s="147">
        <v>21</v>
      </c>
      <c r="L993" s="147">
        <v>1</v>
      </c>
      <c r="M993" s="147">
        <v>22</v>
      </c>
      <c r="N993" s="289"/>
      <c r="O993" s="195"/>
      <c r="P993" s="180"/>
      <c r="Q993" s="174"/>
      <c r="R993" s="205">
        <v>0</v>
      </c>
      <c r="S993" s="147"/>
      <c r="T993" s="129" t="s">
        <v>242</v>
      </c>
      <c r="U993" s="147" t="s">
        <v>35</v>
      </c>
      <c r="V993" s="129"/>
      <c r="W993" s="147" t="s">
        <v>2459</v>
      </c>
      <c r="X993" s="215" t="s">
        <v>1906</v>
      </c>
      <c r="Y993" s="216">
        <v>0</v>
      </c>
      <c r="Z993" s="216">
        <v>0</v>
      </c>
      <c r="AA993" s="265" t="s">
        <v>2134</v>
      </c>
      <c r="AB993" s="155"/>
      <c r="AC993" s="212"/>
    </row>
    <row r="994" spans="1:29" x14ac:dyDescent="0.25">
      <c r="B994" s="136">
        <v>1407026</v>
      </c>
      <c r="C994" s="128" t="s">
        <v>934</v>
      </c>
      <c r="D994" s="127" t="s">
        <v>1718</v>
      </c>
      <c r="E994" s="147" t="s">
        <v>38</v>
      </c>
      <c r="F994" s="129" t="s">
        <v>2465</v>
      </c>
      <c r="G994" s="147" t="s">
        <v>1731</v>
      </c>
      <c r="H994" s="191">
        <f t="shared" si="16"/>
        <v>8.3378115942028985E-2</v>
      </c>
      <c r="I994" s="181" t="s">
        <v>2218</v>
      </c>
      <c r="J994" s="146">
        <v>45</v>
      </c>
      <c r="K994" s="147">
        <v>11</v>
      </c>
      <c r="L994" s="147">
        <v>1</v>
      </c>
      <c r="M994" s="147">
        <v>12</v>
      </c>
      <c r="N994" s="289">
        <v>12000</v>
      </c>
      <c r="O994" s="195"/>
      <c r="P994" s="180">
        <v>45083</v>
      </c>
      <c r="Q994" s="174">
        <v>8.2110000000000002E-2</v>
      </c>
      <c r="R994" s="205">
        <v>1.2681159420289854E-3</v>
      </c>
      <c r="S994" s="147" t="s">
        <v>35</v>
      </c>
      <c r="T994" s="129" t="s">
        <v>1852</v>
      </c>
      <c r="U994" s="147" t="s">
        <v>35</v>
      </c>
      <c r="V994" s="129" t="s">
        <v>1715</v>
      </c>
      <c r="W994" s="147" t="s">
        <v>2215</v>
      </c>
      <c r="X994" s="215" t="s">
        <v>1906</v>
      </c>
      <c r="Y994" s="216">
        <v>338430</v>
      </c>
      <c r="Z994" s="216">
        <v>406116</v>
      </c>
      <c r="AA994" s="310">
        <v>45012</v>
      </c>
      <c r="AB994" s="305"/>
    </row>
    <row r="995" spans="1:29" s="182" customFormat="1" x14ac:dyDescent="0.25">
      <c r="A995" s="131"/>
      <c r="B995" s="136">
        <v>1407027</v>
      </c>
      <c r="C995" s="128" t="s">
        <v>934</v>
      </c>
      <c r="D995" s="127" t="s">
        <v>1741</v>
      </c>
      <c r="E995" s="147" t="s">
        <v>38</v>
      </c>
      <c r="F995" s="129" t="s">
        <v>2465</v>
      </c>
      <c r="G995" s="147" t="s">
        <v>1731</v>
      </c>
      <c r="H995" s="191">
        <f t="shared" si="16"/>
        <v>3.3433999999999999</v>
      </c>
      <c r="I995" s="181" t="s">
        <v>2218</v>
      </c>
      <c r="J995" s="148">
        <v>60</v>
      </c>
      <c r="K995" s="147">
        <v>1</v>
      </c>
      <c r="L995" s="147">
        <v>1</v>
      </c>
      <c r="M995" s="147">
        <v>2</v>
      </c>
      <c r="N995" s="289"/>
      <c r="O995" s="195"/>
      <c r="P995" s="180"/>
      <c r="Q995" s="174">
        <v>3.3433999999999999</v>
      </c>
      <c r="R995" s="205">
        <v>0</v>
      </c>
      <c r="S995" s="147" t="s">
        <v>35</v>
      </c>
      <c r="T995" s="129" t="s">
        <v>1852</v>
      </c>
      <c r="U995" s="147" t="s">
        <v>35</v>
      </c>
      <c r="V995" s="129" t="s">
        <v>1716</v>
      </c>
      <c r="W995" s="147" t="s">
        <v>2460</v>
      </c>
      <c r="X995" s="215" t="s">
        <v>1906</v>
      </c>
      <c r="Y995" s="216">
        <v>75206.666666666672</v>
      </c>
      <c r="Z995" s="216">
        <v>120330.66666666667</v>
      </c>
      <c r="AA995" s="265" t="s">
        <v>2134</v>
      </c>
      <c r="AB995" s="305"/>
      <c r="AC995" s="214"/>
    </row>
    <row r="996" spans="1:29" s="182" customFormat="1" x14ac:dyDescent="0.25">
      <c r="A996" s="131"/>
      <c r="B996" s="136">
        <v>1407028</v>
      </c>
      <c r="C996" s="128" t="s">
        <v>934</v>
      </c>
      <c r="D996" s="127" t="s">
        <v>1742</v>
      </c>
      <c r="E996" s="147" t="s">
        <v>38</v>
      </c>
      <c r="F996" s="129" t="s">
        <v>2465</v>
      </c>
      <c r="G996" s="147" t="s">
        <v>1731</v>
      </c>
      <c r="H996" s="191">
        <f t="shared" si="16"/>
        <v>3.3433999999999999</v>
      </c>
      <c r="I996" s="181" t="s">
        <v>2218</v>
      </c>
      <c r="J996" s="148">
        <v>60</v>
      </c>
      <c r="K996" s="147">
        <v>1</v>
      </c>
      <c r="L996" s="147">
        <v>1</v>
      </c>
      <c r="M996" s="147">
        <v>2</v>
      </c>
      <c r="N996" s="289"/>
      <c r="O996" s="195"/>
      <c r="P996" s="180"/>
      <c r="Q996" s="174">
        <v>3.3433999999999999</v>
      </c>
      <c r="R996" s="205">
        <v>0</v>
      </c>
      <c r="S996" s="147" t="s">
        <v>35</v>
      </c>
      <c r="T996" s="129" t="s">
        <v>1852</v>
      </c>
      <c r="U996" s="147" t="s">
        <v>35</v>
      </c>
      <c r="V996" s="129" t="s">
        <v>1717</v>
      </c>
      <c r="W996" s="147" t="s">
        <v>2460</v>
      </c>
      <c r="X996" s="215" t="s">
        <v>1906</v>
      </c>
      <c r="Y996" s="216">
        <v>37603.333333333336</v>
      </c>
      <c r="Z996" s="216">
        <v>60165.333333333336</v>
      </c>
      <c r="AA996" s="265" t="s">
        <v>2134</v>
      </c>
      <c r="AB996" s="305"/>
      <c r="AC996" s="214"/>
    </row>
    <row r="997" spans="1:29" ht="24" x14ac:dyDescent="0.25">
      <c r="B997" s="136">
        <v>1407029</v>
      </c>
      <c r="C997" s="128" t="s">
        <v>934</v>
      </c>
      <c r="D997" s="127" t="s">
        <v>2158</v>
      </c>
      <c r="E997" s="147" t="s">
        <v>38</v>
      </c>
      <c r="F997" s="129" t="s">
        <v>1910</v>
      </c>
      <c r="G997" s="147" t="s">
        <v>1731</v>
      </c>
      <c r="H997" s="191">
        <f t="shared" si="16"/>
        <v>0.15000000000000002</v>
      </c>
      <c r="I997" s="222" t="s">
        <v>2089</v>
      </c>
      <c r="J997" s="148">
        <v>30</v>
      </c>
      <c r="K997" s="147">
        <v>7</v>
      </c>
      <c r="L997" s="147">
        <v>1</v>
      </c>
      <c r="M997" s="147">
        <v>8</v>
      </c>
      <c r="N997" s="289">
        <v>25000</v>
      </c>
      <c r="O997" s="195">
        <v>8.2000000000000003E-2</v>
      </c>
      <c r="P997" s="180">
        <v>45450</v>
      </c>
      <c r="Q997" s="174">
        <v>0.1</v>
      </c>
      <c r="R997" s="205">
        <v>0.05</v>
      </c>
      <c r="S997" s="147" t="s">
        <v>35</v>
      </c>
      <c r="T997" s="129" t="s">
        <v>1799</v>
      </c>
      <c r="U997" s="147" t="s">
        <v>35</v>
      </c>
      <c r="V997" s="129"/>
      <c r="W997" s="147" t="s">
        <v>2213</v>
      </c>
      <c r="X997" s="215" t="s">
        <v>1009</v>
      </c>
      <c r="Y997" s="216">
        <v>18521.020833333336</v>
      </c>
      <c r="Z997" s="216">
        <v>23572.208333333336</v>
      </c>
      <c r="AA997" s="304">
        <v>46063</v>
      </c>
      <c r="AB997" s="305"/>
    </row>
    <row r="998" spans="1:29" ht="24" x14ac:dyDescent="0.25">
      <c r="B998" s="156">
        <v>1407030</v>
      </c>
      <c r="C998" s="128" t="s">
        <v>934</v>
      </c>
      <c r="D998" s="127" t="s">
        <v>1819</v>
      </c>
      <c r="E998" s="147" t="s">
        <v>38</v>
      </c>
      <c r="F998" s="129" t="s">
        <v>1817</v>
      </c>
      <c r="G998" s="147" t="s">
        <v>1731</v>
      </c>
      <c r="H998" s="191">
        <f t="shared" si="16"/>
        <v>0.12634000000000001</v>
      </c>
      <c r="I998" s="222" t="s">
        <v>2226</v>
      </c>
      <c r="J998" s="148">
        <v>30</v>
      </c>
      <c r="K998" s="147">
        <v>8</v>
      </c>
      <c r="L998" s="147">
        <v>8</v>
      </c>
      <c r="M998" s="147">
        <v>16</v>
      </c>
      <c r="N998" s="289">
        <v>160000</v>
      </c>
      <c r="O998" s="195"/>
      <c r="P998" s="180">
        <v>45474</v>
      </c>
      <c r="Q998" s="178">
        <v>0.11634</v>
      </c>
      <c r="R998" s="205">
        <v>0.01</v>
      </c>
      <c r="S998" s="147" t="s">
        <v>35</v>
      </c>
      <c r="T998" s="129" t="s">
        <v>2211</v>
      </c>
      <c r="U998" s="147" t="s">
        <v>37</v>
      </c>
      <c r="V998" s="147">
        <v>3500294</v>
      </c>
      <c r="W998" s="147" t="s">
        <v>2213</v>
      </c>
      <c r="X998" s="215" t="s">
        <v>1856</v>
      </c>
      <c r="Y998" s="216">
        <v>241887.41666666666</v>
      </c>
      <c r="Z998" s="216">
        <v>280080.16666666663</v>
      </c>
      <c r="AA998" s="263"/>
      <c r="AB998" s="305"/>
    </row>
    <row r="999" spans="1:29" ht="24" x14ac:dyDescent="0.25">
      <c r="B999" s="136">
        <v>1407031</v>
      </c>
      <c r="C999" s="128" t="s">
        <v>934</v>
      </c>
      <c r="D999" s="127" t="s">
        <v>1849</v>
      </c>
      <c r="E999" s="147" t="s">
        <v>38</v>
      </c>
      <c r="F999" s="175" t="s">
        <v>1954</v>
      </c>
      <c r="G999" s="147" t="s">
        <v>1731</v>
      </c>
      <c r="H999" s="191">
        <f t="shared" si="16"/>
        <v>0.12209230769230769</v>
      </c>
      <c r="I999" s="222" t="s">
        <v>2226</v>
      </c>
      <c r="J999" s="148">
        <v>0</v>
      </c>
      <c r="K999" s="147">
        <v>8</v>
      </c>
      <c r="L999" s="147">
        <v>8</v>
      </c>
      <c r="M999" s="147">
        <v>16</v>
      </c>
      <c r="N999" s="289">
        <v>130000</v>
      </c>
      <c r="O999" s="195"/>
      <c r="P999" s="180">
        <v>45474</v>
      </c>
      <c r="Q999" s="174">
        <v>0.10440000000000001</v>
      </c>
      <c r="R999" s="205">
        <v>1.7692307692307691E-2</v>
      </c>
      <c r="S999" s="147" t="s">
        <v>35</v>
      </c>
      <c r="T999" s="129" t="s">
        <v>2211</v>
      </c>
      <c r="U999" s="147" t="s">
        <v>37</v>
      </c>
      <c r="V999" s="147">
        <v>3500294</v>
      </c>
      <c r="W999" s="147" t="s">
        <v>2213</v>
      </c>
      <c r="X999" s="215" t="s">
        <v>1919</v>
      </c>
      <c r="Y999" s="216">
        <v>123397.875</v>
      </c>
      <c r="Z999" s="216">
        <v>142881.75</v>
      </c>
      <c r="AA999" s="263"/>
      <c r="AB999" s="305"/>
    </row>
    <row r="1000" spans="1:29" ht="24" x14ac:dyDescent="0.25">
      <c r="B1000" s="129">
        <v>1407032</v>
      </c>
      <c r="C1000" s="128" t="s">
        <v>934</v>
      </c>
      <c r="D1000" s="129" t="s">
        <v>1857</v>
      </c>
      <c r="E1000" s="147" t="s">
        <v>38</v>
      </c>
      <c r="F1000" s="129" t="s">
        <v>1862</v>
      </c>
      <c r="G1000" s="147" t="s">
        <v>1731</v>
      </c>
      <c r="H1000" s="191">
        <f t="shared" si="16"/>
        <v>6.0243243243243247E-2</v>
      </c>
      <c r="I1000" s="222" t="s">
        <v>2226</v>
      </c>
      <c r="J1000" s="146">
        <v>30</v>
      </c>
      <c r="K1000" s="147">
        <v>9</v>
      </c>
      <c r="L1000" s="147">
        <v>8</v>
      </c>
      <c r="M1000" s="147">
        <v>17</v>
      </c>
      <c r="N1000" s="289">
        <v>60000</v>
      </c>
      <c r="O1000" s="198"/>
      <c r="P1000" s="180">
        <v>45400</v>
      </c>
      <c r="Q1000" s="176">
        <v>3.15E-2</v>
      </c>
      <c r="R1000" s="207">
        <v>2.8743243243243243E-2</v>
      </c>
      <c r="S1000" s="165" t="s">
        <v>35</v>
      </c>
      <c r="T1000" s="129" t="s">
        <v>2211</v>
      </c>
      <c r="U1000" s="147" t="s">
        <v>37</v>
      </c>
      <c r="V1000" s="147">
        <v>3500330</v>
      </c>
      <c r="W1000" s="147" t="s">
        <v>2213</v>
      </c>
      <c r="X1000" s="215" t="s">
        <v>1856</v>
      </c>
      <c r="Y1000" s="216">
        <v>138180.83333333334</v>
      </c>
      <c r="Z1000" s="216">
        <v>158907.95833333334</v>
      </c>
      <c r="AA1000" s="263"/>
      <c r="AB1000" s="305"/>
    </row>
    <row r="1001" spans="1:29" hidden="1" x14ac:dyDescent="0.25">
      <c r="B1001" s="129">
        <v>1407033</v>
      </c>
      <c r="C1001" s="128" t="s">
        <v>934</v>
      </c>
      <c r="D1001" s="127" t="s">
        <v>1999</v>
      </c>
      <c r="E1001" s="147" t="s">
        <v>38</v>
      </c>
      <c r="F1001" s="129"/>
      <c r="G1001" s="147" t="s">
        <v>1731</v>
      </c>
      <c r="H1001" s="191">
        <f t="shared" si="16"/>
        <v>0</v>
      </c>
      <c r="I1001" s="134"/>
      <c r="J1001" s="146"/>
      <c r="K1001" s="147">
        <v>11</v>
      </c>
      <c r="L1001" s="147">
        <v>1</v>
      </c>
      <c r="M1001" s="147">
        <v>12</v>
      </c>
      <c r="N1001" s="289"/>
      <c r="O1001" s="195"/>
      <c r="P1001" s="180"/>
      <c r="Q1001" s="174"/>
      <c r="R1001" s="205">
        <v>0</v>
      </c>
      <c r="S1001" s="168"/>
      <c r="T1001" s="129"/>
      <c r="U1001" s="147" t="s">
        <v>37</v>
      </c>
      <c r="V1001" s="129"/>
      <c r="W1001" s="147" t="s">
        <v>2214</v>
      </c>
      <c r="X1001" s="215" t="s">
        <v>1906</v>
      </c>
      <c r="Y1001" s="216">
        <v>0</v>
      </c>
      <c r="Z1001" s="216">
        <v>0</v>
      </c>
      <c r="AA1001" s="263"/>
      <c r="AB1001" s="155"/>
      <c r="AC1001" s="212"/>
    </row>
    <row r="1002" spans="1:29" ht="48" x14ac:dyDescent="0.25">
      <c r="B1002" s="129">
        <v>1407034</v>
      </c>
      <c r="C1002" s="128" t="s">
        <v>934</v>
      </c>
      <c r="D1002" s="127" t="s">
        <v>2003</v>
      </c>
      <c r="E1002" s="147" t="s">
        <v>38</v>
      </c>
      <c r="F1002" s="129" t="s">
        <v>1909</v>
      </c>
      <c r="G1002" s="147" t="s">
        <v>1731</v>
      </c>
      <c r="H1002" s="191">
        <f t="shared" si="16"/>
        <v>0.44</v>
      </c>
      <c r="I1002" s="222" t="s">
        <v>2232</v>
      </c>
      <c r="J1002" s="146">
        <v>30</v>
      </c>
      <c r="K1002" s="147">
        <v>3</v>
      </c>
      <c r="L1002" s="147">
        <v>1</v>
      </c>
      <c r="M1002" s="147">
        <v>4</v>
      </c>
      <c r="N1002" s="289">
        <v>65000</v>
      </c>
      <c r="O1002" s="195">
        <v>0.151</v>
      </c>
      <c r="P1002" s="180">
        <v>45474</v>
      </c>
      <c r="Q1002" s="174">
        <v>0.44</v>
      </c>
      <c r="R1002" s="205">
        <v>0</v>
      </c>
      <c r="S1002" s="147" t="s">
        <v>35</v>
      </c>
      <c r="T1002" s="129" t="s">
        <v>1870</v>
      </c>
      <c r="U1002" s="147" t="s">
        <v>37</v>
      </c>
      <c r="V1002" s="136" t="s">
        <v>1991</v>
      </c>
      <c r="W1002" s="147" t="s">
        <v>2213</v>
      </c>
      <c r="X1002" s="215" t="s">
        <v>1906</v>
      </c>
      <c r="Y1002" s="216">
        <v>8612.9166666666679</v>
      </c>
      <c r="Z1002" s="216">
        <v>12304.166666666668</v>
      </c>
      <c r="AA1002" s="263"/>
      <c r="AB1002" s="305"/>
    </row>
    <row r="1003" spans="1:29" ht="24" x14ac:dyDescent="0.25">
      <c r="B1003" s="136">
        <v>1407035</v>
      </c>
      <c r="C1003" s="128" t="s">
        <v>934</v>
      </c>
      <c r="D1003" s="127" t="s">
        <v>1946</v>
      </c>
      <c r="E1003" s="147" t="s">
        <v>38</v>
      </c>
      <c r="F1003" s="129" t="s">
        <v>1909</v>
      </c>
      <c r="G1003" s="147" t="s">
        <v>1731</v>
      </c>
      <c r="H1003" s="191">
        <f t="shared" si="16"/>
        <v>2.85</v>
      </c>
      <c r="I1003" s="222" t="s">
        <v>2228</v>
      </c>
      <c r="J1003" s="146">
        <v>30</v>
      </c>
      <c r="K1003" s="147">
        <v>3</v>
      </c>
      <c r="L1003" s="147">
        <v>1</v>
      </c>
      <c r="M1003" s="147">
        <v>4</v>
      </c>
      <c r="N1003" s="289">
        <v>1000</v>
      </c>
      <c r="O1003" s="195">
        <v>15</v>
      </c>
      <c r="P1003" s="180">
        <v>45474</v>
      </c>
      <c r="Q1003" s="174">
        <v>2.85</v>
      </c>
      <c r="R1003" s="205">
        <v>0</v>
      </c>
      <c r="S1003" s="147" t="s">
        <v>35</v>
      </c>
      <c r="T1003" s="129" t="s">
        <v>1870</v>
      </c>
      <c r="U1003" s="147" t="s">
        <v>37</v>
      </c>
      <c r="V1003" s="129" t="s">
        <v>1992</v>
      </c>
      <c r="W1003" s="147" t="s">
        <v>2213</v>
      </c>
      <c r="X1003" s="215" t="s">
        <v>1906</v>
      </c>
      <c r="Y1003" s="216">
        <v>3469.083333333333</v>
      </c>
      <c r="Z1003" s="216">
        <v>4955.833333333333</v>
      </c>
      <c r="AA1003" s="263"/>
      <c r="AB1003" s="305"/>
    </row>
    <row r="1004" spans="1:29" hidden="1" x14ac:dyDescent="0.25">
      <c r="B1004" s="136">
        <v>1407036</v>
      </c>
      <c r="C1004" s="128" t="s">
        <v>934</v>
      </c>
      <c r="D1004" s="127" t="s">
        <v>1999</v>
      </c>
      <c r="E1004" s="147" t="s">
        <v>38</v>
      </c>
      <c r="F1004" s="129"/>
      <c r="G1004" s="147" t="s">
        <v>1731</v>
      </c>
      <c r="H1004" s="191">
        <f t="shared" si="16"/>
        <v>0</v>
      </c>
      <c r="I1004" s="134"/>
      <c r="J1004" s="150"/>
      <c r="K1004" s="147">
        <v>11</v>
      </c>
      <c r="L1004" s="147">
        <v>1</v>
      </c>
      <c r="M1004" s="147">
        <v>12</v>
      </c>
      <c r="N1004" s="289"/>
      <c r="O1004" s="195"/>
      <c r="P1004" s="180"/>
      <c r="Q1004" s="174"/>
      <c r="R1004" s="205"/>
      <c r="S1004" s="147"/>
      <c r="T1004" s="129"/>
      <c r="U1004" s="147" t="s">
        <v>37</v>
      </c>
      <c r="V1004" s="129"/>
      <c r="W1004" s="147" t="s">
        <v>2214</v>
      </c>
      <c r="X1004" s="215"/>
      <c r="Y1004" s="216">
        <v>0</v>
      </c>
      <c r="Z1004" s="216">
        <v>0</v>
      </c>
      <c r="AA1004" s="263"/>
      <c r="AB1004" s="155"/>
      <c r="AC1004" s="212"/>
    </row>
    <row r="1005" spans="1:29" x14ac:dyDescent="0.25">
      <c r="B1005" s="136">
        <v>1407037</v>
      </c>
      <c r="C1005" s="128" t="s">
        <v>934</v>
      </c>
      <c r="D1005" s="127" t="s">
        <v>1986</v>
      </c>
      <c r="E1005" s="147" t="s">
        <v>38</v>
      </c>
      <c r="F1005" s="129" t="s">
        <v>1855</v>
      </c>
      <c r="G1005" s="147" t="s">
        <v>1731</v>
      </c>
      <c r="H1005" s="191">
        <f t="shared" si="16"/>
        <v>9.3799999999999994E-2</v>
      </c>
      <c r="I1005" s="181" t="s">
        <v>2218</v>
      </c>
      <c r="J1005" s="150"/>
      <c r="K1005" s="147">
        <v>1</v>
      </c>
      <c r="L1005" s="147">
        <v>1</v>
      </c>
      <c r="M1005" s="147">
        <v>2</v>
      </c>
      <c r="N1005" s="289"/>
      <c r="O1005" s="195"/>
      <c r="P1005" s="180"/>
      <c r="Q1005" s="174">
        <v>4.3799999999999999E-2</v>
      </c>
      <c r="R1005" s="205">
        <v>0.05</v>
      </c>
      <c r="S1005" s="147" t="s">
        <v>35</v>
      </c>
      <c r="T1005" s="129" t="s">
        <v>2211</v>
      </c>
      <c r="U1005" s="147" t="s">
        <v>37</v>
      </c>
      <c r="V1005" s="147" t="s">
        <v>1987</v>
      </c>
      <c r="W1005" s="147" t="s">
        <v>2460</v>
      </c>
      <c r="X1005" s="215" t="s">
        <v>2009</v>
      </c>
      <c r="Y1005" s="216">
        <v>164459.875</v>
      </c>
      <c r="Z1005" s="216">
        <v>328919.75</v>
      </c>
      <c r="AA1005" s="263"/>
      <c r="AB1005" s="155"/>
      <c r="AC1005" s="212"/>
    </row>
    <row r="1006" spans="1:29" x14ac:dyDescent="0.25">
      <c r="B1006" s="136">
        <v>1407038</v>
      </c>
      <c r="C1006" s="128" t="s">
        <v>934</v>
      </c>
      <c r="D1006" s="127" t="s">
        <v>2024</v>
      </c>
      <c r="E1006" s="147" t="s">
        <v>38</v>
      </c>
      <c r="F1006" s="129" t="s">
        <v>2008</v>
      </c>
      <c r="G1006" s="147" t="s">
        <v>1731</v>
      </c>
      <c r="H1006" s="191">
        <f t="shared" si="16"/>
        <v>0.59199999999999997</v>
      </c>
      <c r="I1006" s="222" t="s">
        <v>2084</v>
      </c>
      <c r="J1006" s="146">
        <v>45</v>
      </c>
      <c r="K1006" s="147">
        <v>2</v>
      </c>
      <c r="L1006" s="147">
        <v>1</v>
      </c>
      <c r="M1006" s="147">
        <v>3</v>
      </c>
      <c r="N1006" s="289">
        <v>2500</v>
      </c>
      <c r="O1006" s="195"/>
      <c r="P1006" s="180">
        <v>45625</v>
      </c>
      <c r="Q1006" s="174">
        <v>0.52</v>
      </c>
      <c r="R1006" s="205">
        <v>7.1999999999999995E-2</v>
      </c>
      <c r="S1006" s="147"/>
      <c r="T1006" s="129" t="s">
        <v>2091</v>
      </c>
      <c r="U1006" s="147" t="s">
        <v>37</v>
      </c>
      <c r="V1006" s="129" t="s">
        <v>2011</v>
      </c>
      <c r="W1006" s="147" t="s">
        <v>2213</v>
      </c>
      <c r="X1006" s="215" t="s">
        <v>1009</v>
      </c>
      <c r="Y1006" s="216">
        <v>0</v>
      </c>
      <c r="Z1006" s="216">
        <v>0</v>
      </c>
      <c r="AA1006" s="263"/>
      <c r="AB1006" s="305"/>
    </row>
    <row r="1007" spans="1:29" s="182" customFormat="1" x14ac:dyDescent="0.25">
      <c r="A1007" s="131"/>
      <c r="B1007" s="136">
        <v>1407039</v>
      </c>
      <c r="C1007" s="128" t="s">
        <v>934</v>
      </c>
      <c r="D1007" s="127" t="s">
        <v>2127</v>
      </c>
      <c r="E1007" s="147" t="s">
        <v>38</v>
      </c>
      <c r="F1007" s="129" t="s">
        <v>2149</v>
      </c>
      <c r="G1007" s="147" t="s">
        <v>1731</v>
      </c>
      <c r="H1007" s="191" t="e">
        <f t="shared" si="16"/>
        <v>#VALUE!</v>
      </c>
      <c r="I1007" s="222" t="s">
        <v>2084</v>
      </c>
      <c r="J1007" s="146">
        <v>30</v>
      </c>
      <c r="K1007" s="147">
        <v>12</v>
      </c>
      <c r="L1007" s="147">
        <v>1</v>
      </c>
      <c r="M1007" s="147">
        <v>13</v>
      </c>
      <c r="N1007" s="289">
        <v>5000</v>
      </c>
      <c r="O1007" s="195"/>
      <c r="P1007" s="180">
        <v>45793</v>
      </c>
      <c r="Q1007" s="174">
        <v>0.2</v>
      </c>
      <c r="R1007" s="205" t="s">
        <v>2128</v>
      </c>
      <c r="S1007" s="147"/>
      <c r="T1007" s="129" t="s">
        <v>2019</v>
      </c>
      <c r="U1007" s="147" t="s">
        <v>37</v>
      </c>
      <c r="V1007" s="129"/>
      <c r="W1007" s="147" t="s">
        <v>2215</v>
      </c>
      <c r="X1007" s="215" t="s">
        <v>1009</v>
      </c>
      <c r="Y1007" s="216">
        <v>0</v>
      </c>
      <c r="Z1007" s="216">
        <v>0</v>
      </c>
      <c r="AA1007" s="263"/>
      <c r="AB1007" s="305"/>
      <c r="AC1007" s="214"/>
    </row>
    <row r="1008" spans="1:29" s="182" customFormat="1" x14ac:dyDescent="0.25">
      <c r="A1008" s="131"/>
      <c r="B1008" s="136">
        <v>1407040</v>
      </c>
      <c r="C1008" s="128" t="s">
        <v>934</v>
      </c>
      <c r="D1008" s="127" t="s">
        <v>2159</v>
      </c>
      <c r="E1008" s="147" t="s">
        <v>38</v>
      </c>
      <c r="F1008" s="129" t="s">
        <v>2043</v>
      </c>
      <c r="G1008" s="147" t="s">
        <v>1731</v>
      </c>
      <c r="H1008" s="191">
        <f t="shared" si="16"/>
        <v>0.34375</v>
      </c>
      <c r="I1008" s="222" t="s">
        <v>2084</v>
      </c>
      <c r="J1008" s="146">
        <v>0</v>
      </c>
      <c r="K1008" s="147">
        <v>10</v>
      </c>
      <c r="L1008" s="147">
        <v>2</v>
      </c>
      <c r="M1008" s="147">
        <v>12</v>
      </c>
      <c r="N1008" s="289">
        <v>5000</v>
      </c>
      <c r="O1008" s="195"/>
      <c r="P1008" s="180">
        <v>45700</v>
      </c>
      <c r="Q1008" s="266">
        <v>0.29375000000000001</v>
      </c>
      <c r="R1008" s="205">
        <v>0.05</v>
      </c>
      <c r="S1008" s="147"/>
      <c r="T1008" s="129" t="s">
        <v>102</v>
      </c>
      <c r="U1008" s="147" t="s">
        <v>35</v>
      </c>
      <c r="V1008" s="129"/>
      <c r="W1008" s="147" t="s">
        <v>2215</v>
      </c>
      <c r="X1008" s="215" t="s">
        <v>1009</v>
      </c>
      <c r="Y1008" s="216"/>
      <c r="Z1008" s="216"/>
      <c r="AA1008" s="265" t="s">
        <v>2536</v>
      </c>
      <c r="AB1008" s="155"/>
      <c r="AC1008" s="212"/>
    </row>
    <row r="1009" spans="1:16384" s="182" customFormat="1" ht="36" x14ac:dyDescent="0.25">
      <c r="A1009" s="131"/>
      <c r="B1009" s="136">
        <v>1407041</v>
      </c>
      <c r="C1009" s="128" t="s">
        <v>934</v>
      </c>
      <c r="D1009" s="127" t="s">
        <v>2545</v>
      </c>
      <c r="E1009" s="147" t="s">
        <v>38</v>
      </c>
      <c r="F1009" s="129" t="s">
        <v>2542</v>
      </c>
      <c r="G1009" s="147" t="s">
        <v>1731</v>
      </c>
      <c r="H1009" s="191">
        <f t="shared" si="16"/>
        <v>1.2491000000000001</v>
      </c>
      <c r="I1009" s="222" t="s">
        <v>2369</v>
      </c>
      <c r="J1009" s="146">
        <v>30</v>
      </c>
      <c r="K1009" s="147">
        <f>30/5</f>
        <v>6</v>
      </c>
      <c r="L1009" s="147">
        <v>8</v>
      </c>
      <c r="M1009" s="147">
        <v>14</v>
      </c>
      <c r="N1009" s="289">
        <v>1000</v>
      </c>
      <c r="O1009" s="266">
        <v>1.26</v>
      </c>
      <c r="P1009" s="180">
        <v>46062</v>
      </c>
      <c r="Q1009" s="266">
        <v>1.2491000000000001</v>
      </c>
      <c r="R1009" s="311">
        <v>0</v>
      </c>
      <c r="S1009" s="147"/>
      <c r="T1009" s="129" t="s">
        <v>2091</v>
      </c>
      <c r="U1009" s="147" t="s">
        <v>37</v>
      </c>
      <c r="V1009" s="129"/>
      <c r="W1009" s="147" t="s">
        <v>2215</v>
      </c>
      <c r="X1009" s="217" t="s">
        <v>1856</v>
      </c>
      <c r="Y1009" s="216"/>
      <c r="Z1009" s="216"/>
      <c r="AA1009" s="263"/>
      <c r="AB1009" s="305"/>
      <c r="AC1009" s="212"/>
    </row>
    <row r="1010" spans="1:16384" s="212" customFormat="1" ht="36" x14ac:dyDescent="0.25">
      <c r="A1010" s="270"/>
      <c r="B1010" s="128">
        <v>1407042</v>
      </c>
      <c r="C1010" s="128" t="s">
        <v>934</v>
      </c>
      <c r="D1010" s="129" t="s">
        <v>2438</v>
      </c>
      <c r="E1010" s="147" t="s">
        <v>38</v>
      </c>
      <c r="F1010" s="129" t="s">
        <v>2091</v>
      </c>
      <c r="G1010" s="147" t="s">
        <v>1731</v>
      </c>
      <c r="H1010" s="191">
        <f t="shared" si="16"/>
        <v>0.87</v>
      </c>
      <c r="I1010" s="136" t="s">
        <v>2437</v>
      </c>
      <c r="J1010" s="146">
        <v>90</v>
      </c>
      <c r="K1010" s="147">
        <v>11</v>
      </c>
      <c r="L1010" s="147">
        <v>1</v>
      </c>
      <c r="M1010" s="147">
        <v>12</v>
      </c>
      <c r="N1010" s="289">
        <v>2400</v>
      </c>
      <c r="O1010" s="180"/>
      <c r="P1010" s="266"/>
      <c r="Q1010" s="293">
        <v>0.87</v>
      </c>
      <c r="R1010" s="205">
        <v>0</v>
      </c>
      <c r="S1010" s="129"/>
      <c r="T1010" s="129" t="s">
        <v>2091</v>
      </c>
      <c r="U1010" s="147" t="s">
        <v>37</v>
      </c>
      <c r="V1010" s="147"/>
      <c r="W1010" s="147" t="s">
        <v>2215</v>
      </c>
      <c r="X1010" s="230" t="s">
        <v>1856</v>
      </c>
      <c r="Y1010" s="216"/>
      <c r="Z1010" s="263"/>
      <c r="AA1010" s="263"/>
      <c r="AB1010" s="305"/>
      <c r="AC1010" s="182"/>
      <c r="AD1010" s="182"/>
      <c r="AE1010" s="182"/>
      <c r="AF1010" s="182"/>
      <c r="AG1010" s="182"/>
      <c r="AH1010" s="182"/>
      <c r="AI1010" s="182"/>
      <c r="AJ1010" s="182"/>
      <c r="AK1010" s="182"/>
      <c r="AL1010" s="182"/>
      <c r="AM1010" s="182"/>
      <c r="AN1010" s="182"/>
      <c r="AO1010" s="182"/>
      <c r="AP1010" s="182"/>
      <c r="AQ1010" s="182"/>
      <c r="AR1010" s="182"/>
      <c r="AS1010" s="182"/>
      <c r="AT1010" s="182"/>
      <c r="AU1010" s="182"/>
      <c r="AV1010" s="182"/>
      <c r="AW1010" s="182"/>
      <c r="AX1010" s="182"/>
      <c r="AY1010" s="182"/>
      <c r="AZ1010" s="182"/>
      <c r="BA1010" s="182"/>
      <c r="BB1010" s="182"/>
      <c r="BC1010" s="182"/>
      <c r="BD1010" s="182"/>
      <c r="BE1010" s="182"/>
      <c r="BF1010" s="182"/>
      <c r="BG1010" s="182"/>
      <c r="BH1010" s="182"/>
      <c r="BI1010" s="182"/>
      <c r="BJ1010" s="182"/>
      <c r="BK1010" s="182"/>
      <c r="BL1010" s="182"/>
      <c r="BM1010" s="182"/>
      <c r="BN1010" s="182"/>
      <c r="BO1010" s="182"/>
      <c r="BP1010" s="182"/>
      <c r="BQ1010" s="182"/>
      <c r="BR1010" s="182"/>
      <c r="BS1010" s="182"/>
      <c r="BT1010" s="182"/>
      <c r="BU1010" s="182"/>
      <c r="BV1010" s="182"/>
      <c r="BW1010" s="182"/>
      <c r="BX1010" s="182"/>
      <c r="BY1010" s="182"/>
      <c r="BZ1010" s="182"/>
      <c r="CA1010" s="182"/>
      <c r="CB1010" s="182"/>
      <c r="CC1010" s="182"/>
      <c r="CD1010" s="182"/>
      <c r="CE1010" s="182"/>
      <c r="CF1010" s="182"/>
      <c r="CG1010" s="182"/>
      <c r="CH1010" s="182"/>
      <c r="CI1010" s="182"/>
      <c r="CJ1010" s="182"/>
      <c r="CK1010" s="182"/>
      <c r="CL1010" s="182"/>
      <c r="CM1010" s="182"/>
      <c r="CN1010" s="182"/>
      <c r="CO1010" s="182"/>
      <c r="CP1010" s="182"/>
      <c r="CQ1010" s="182"/>
      <c r="CR1010" s="182"/>
      <c r="CS1010" s="182"/>
      <c r="CT1010" s="182"/>
      <c r="CU1010" s="182"/>
      <c r="CV1010" s="182"/>
      <c r="CW1010" s="182"/>
      <c r="CX1010" s="182"/>
      <c r="CY1010" s="182"/>
      <c r="CZ1010" s="182"/>
      <c r="DA1010" s="182"/>
      <c r="DB1010" s="182"/>
      <c r="DC1010" s="182"/>
      <c r="DD1010" s="182"/>
      <c r="DE1010" s="182"/>
      <c r="DF1010" s="182"/>
      <c r="DG1010" s="182"/>
      <c r="DH1010" s="182"/>
      <c r="DI1010" s="182"/>
      <c r="DJ1010" s="182"/>
      <c r="DK1010" s="182"/>
      <c r="DL1010" s="182"/>
      <c r="DM1010" s="182"/>
      <c r="DN1010" s="182"/>
      <c r="DO1010" s="182"/>
      <c r="DP1010" s="182"/>
      <c r="DQ1010" s="182"/>
      <c r="DR1010" s="182"/>
      <c r="DS1010" s="182"/>
      <c r="DT1010" s="182"/>
      <c r="DU1010" s="182"/>
      <c r="DV1010" s="182"/>
      <c r="DW1010" s="182"/>
      <c r="DX1010" s="182"/>
      <c r="DY1010" s="182"/>
      <c r="DZ1010" s="182"/>
      <c r="EA1010" s="182"/>
      <c r="EB1010" s="182"/>
      <c r="EC1010" s="182"/>
      <c r="ED1010" s="182"/>
      <c r="EE1010" s="182"/>
      <c r="EF1010" s="182"/>
      <c r="EG1010" s="182"/>
      <c r="EH1010" s="182"/>
      <c r="EI1010" s="182"/>
      <c r="EJ1010" s="182"/>
      <c r="EK1010" s="182"/>
      <c r="EL1010" s="182"/>
      <c r="EM1010" s="182"/>
      <c r="EN1010" s="182"/>
      <c r="EO1010" s="182"/>
      <c r="EP1010" s="182"/>
      <c r="EQ1010" s="182"/>
      <c r="ER1010" s="182"/>
      <c r="ES1010" s="182"/>
      <c r="ET1010" s="182"/>
      <c r="EU1010" s="182"/>
      <c r="EV1010" s="182"/>
      <c r="EW1010" s="182"/>
      <c r="EX1010" s="182"/>
      <c r="EY1010" s="182"/>
      <c r="EZ1010" s="182"/>
      <c r="FA1010" s="182"/>
      <c r="FB1010" s="182"/>
      <c r="FC1010" s="182"/>
      <c r="FD1010" s="182"/>
      <c r="FE1010" s="182"/>
      <c r="FF1010" s="182"/>
      <c r="FG1010" s="182"/>
      <c r="FH1010" s="182"/>
      <c r="FI1010" s="182"/>
      <c r="FJ1010" s="182"/>
      <c r="FK1010" s="182"/>
      <c r="FL1010" s="182"/>
      <c r="FM1010" s="182"/>
      <c r="FN1010" s="182"/>
      <c r="FO1010" s="182"/>
      <c r="FP1010" s="182"/>
      <c r="FQ1010" s="182"/>
      <c r="FR1010" s="182"/>
      <c r="FS1010" s="182"/>
      <c r="FT1010" s="182"/>
      <c r="FU1010" s="182"/>
      <c r="FV1010" s="182"/>
      <c r="FW1010" s="182"/>
      <c r="FX1010" s="182"/>
      <c r="FY1010" s="182"/>
      <c r="FZ1010" s="182"/>
      <c r="GA1010" s="182"/>
      <c r="GB1010" s="182"/>
      <c r="GC1010" s="182"/>
      <c r="GD1010" s="182"/>
      <c r="GE1010" s="182"/>
      <c r="GF1010" s="182"/>
      <c r="GG1010" s="182"/>
      <c r="GH1010" s="182"/>
      <c r="GI1010" s="182"/>
      <c r="GJ1010" s="182"/>
      <c r="GK1010" s="182"/>
      <c r="GL1010" s="182"/>
      <c r="GM1010" s="182"/>
      <c r="GN1010" s="182"/>
      <c r="GO1010" s="182"/>
      <c r="GP1010" s="182"/>
      <c r="GQ1010" s="182"/>
      <c r="GR1010" s="182"/>
      <c r="GS1010" s="182"/>
      <c r="GT1010" s="182"/>
      <c r="GU1010" s="182"/>
      <c r="GV1010" s="182"/>
      <c r="GW1010" s="182"/>
      <c r="GX1010" s="182"/>
      <c r="GY1010" s="182"/>
      <c r="GZ1010" s="182"/>
      <c r="HA1010" s="182"/>
      <c r="HB1010" s="182"/>
      <c r="HC1010" s="182"/>
      <c r="HD1010" s="182"/>
      <c r="HE1010" s="182"/>
      <c r="HF1010" s="182"/>
      <c r="HG1010" s="182"/>
      <c r="HH1010" s="182"/>
      <c r="HI1010" s="182"/>
      <c r="HJ1010" s="182"/>
      <c r="HK1010" s="182"/>
      <c r="HL1010" s="182"/>
      <c r="HM1010" s="182"/>
      <c r="HN1010" s="182"/>
      <c r="HO1010" s="182"/>
      <c r="HP1010" s="182"/>
      <c r="HQ1010" s="182"/>
      <c r="HR1010" s="182"/>
      <c r="HS1010" s="182"/>
      <c r="HT1010" s="182"/>
      <c r="HU1010" s="182"/>
      <c r="HV1010" s="182"/>
      <c r="HW1010" s="182"/>
      <c r="HX1010" s="182"/>
      <c r="HY1010" s="182"/>
      <c r="HZ1010" s="182"/>
      <c r="IA1010" s="182"/>
      <c r="IB1010" s="182"/>
      <c r="IC1010" s="182"/>
      <c r="ID1010" s="182"/>
      <c r="IE1010" s="182"/>
      <c r="IF1010" s="182"/>
      <c r="IG1010" s="182"/>
      <c r="IH1010" s="182"/>
      <c r="II1010" s="182"/>
      <c r="IJ1010" s="182"/>
      <c r="IK1010" s="182"/>
      <c r="IL1010" s="182"/>
      <c r="IM1010" s="182"/>
      <c r="IN1010" s="182"/>
      <c r="IO1010" s="182"/>
      <c r="IP1010" s="182"/>
      <c r="IQ1010" s="182"/>
      <c r="IR1010" s="182"/>
      <c r="IS1010" s="182"/>
      <c r="IT1010" s="182"/>
      <c r="IU1010" s="182"/>
      <c r="IV1010" s="182"/>
      <c r="IW1010" s="182"/>
      <c r="IX1010" s="182"/>
      <c r="IY1010" s="182"/>
      <c r="IZ1010" s="182"/>
      <c r="JA1010" s="182"/>
      <c r="JB1010" s="182"/>
      <c r="JC1010" s="182"/>
      <c r="JD1010" s="182"/>
      <c r="JE1010" s="182"/>
      <c r="JF1010" s="182"/>
      <c r="JG1010" s="182"/>
      <c r="JH1010" s="182"/>
      <c r="JI1010" s="182"/>
      <c r="JJ1010" s="182"/>
      <c r="JK1010" s="182"/>
      <c r="JL1010" s="182"/>
      <c r="JM1010" s="182"/>
      <c r="JN1010" s="182"/>
      <c r="JO1010" s="182"/>
      <c r="JP1010" s="182"/>
      <c r="JQ1010" s="182"/>
      <c r="JR1010" s="182"/>
      <c r="JS1010" s="182"/>
      <c r="JT1010" s="182"/>
      <c r="JU1010" s="182"/>
      <c r="JV1010" s="182"/>
      <c r="JW1010" s="182"/>
      <c r="JX1010" s="182"/>
      <c r="JY1010" s="182"/>
      <c r="JZ1010" s="182"/>
      <c r="KA1010" s="182"/>
      <c r="KB1010" s="182"/>
      <c r="KC1010" s="182"/>
      <c r="KD1010" s="182"/>
      <c r="KE1010" s="182"/>
      <c r="KF1010" s="182"/>
      <c r="KG1010" s="182"/>
      <c r="KH1010" s="182"/>
      <c r="KI1010" s="182"/>
      <c r="KJ1010" s="182"/>
      <c r="KK1010" s="182"/>
      <c r="KL1010" s="182"/>
      <c r="KM1010" s="182"/>
      <c r="KN1010" s="182"/>
      <c r="KO1010" s="182"/>
      <c r="KP1010" s="182"/>
      <c r="KQ1010" s="182"/>
      <c r="KR1010" s="182"/>
      <c r="KS1010" s="182"/>
      <c r="KT1010" s="182"/>
      <c r="KU1010" s="182"/>
      <c r="KV1010" s="182"/>
      <c r="KW1010" s="182"/>
      <c r="KX1010" s="182"/>
      <c r="KY1010" s="182"/>
      <c r="KZ1010" s="182"/>
      <c r="LA1010" s="182"/>
      <c r="LB1010" s="182"/>
      <c r="LC1010" s="182"/>
      <c r="LD1010" s="182"/>
      <c r="LE1010" s="182"/>
      <c r="LF1010" s="182"/>
      <c r="LG1010" s="182"/>
      <c r="LH1010" s="182"/>
      <c r="LI1010" s="182"/>
      <c r="LJ1010" s="182"/>
      <c r="LK1010" s="182"/>
      <c r="LL1010" s="182"/>
      <c r="LM1010" s="182"/>
      <c r="LN1010" s="182"/>
      <c r="LO1010" s="182"/>
      <c r="LP1010" s="182"/>
      <c r="LQ1010" s="182"/>
      <c r="LR1010" s="182"/>
      <c r="LS1010" s="182"/>
      <c r="LT1010" s="182"/>
      <c r="LU1010" s="182"/>
      <c r="LV1010" s="182"/>
      <c r="LW1010" s="182"/>
      <c r="LX1010" s="182"/>
      <c r="LY1010" s="182"/>
      <c r="LZ1010" s="182"/>
      <c r="MA1010" s="182"/>
      <c r="MB1010" s="182"/>
      <c r="MC1010" s="182"/>
      <c r="MD1010" s="182"/>
      <c r="ME1010" s="182"/>
      <c r="MF1010" s="182"/>
      <c r="MG1010" s="182"/>
      <c r="MH1010" s="182"/>
      <c r="MI1010" s="182"/>
      <c r="MJ1010" s="182"/>
      <c r="MK1010" s="182"/>
      <c r="ML1010" s="182"/>
      <c r="MM1010" s="182"/>
      <c r="MN1010" s="182"/>
      <c r="MO1010" s="182"/>
      <c r="MP1010" s="182"/>
      <c r="MQ1010" s="182"/>
      <c r="MR1010" s="182"/>
      <c r="MS1010" s="182"/>
      <c r="MT1010" s="182"/>
      <c r="MU1010" s="182"/>
      <c r="MV1010" s="182"/>
      <c r="MW1010" s="182"/>
      <c r="MX1010" s="182"/>
      <c r="MY1010" s="182"/>
      <c r="MZ1010" s="182"/>
      <c r="NA1010" s="182"/>
      <c r="NB1010" s="182"/>
      <c r="NC1010" s="182"/>
      <c r="ND1010" s="182"/>
      <c r="NE1010" s="182"/>
      <c r="NF1010" s="182"/>
      <c r="NG1010" s="182"/>
      <c r="NH1010" s="182"/>
      <c r="NI1010" s="182"/>
      <c r="NJ1010" s="182"/>
      <c r="NK1010" s="182"/>
      <c r="NL1010" s="182"/>
      <c r="NM1010" s="182"/>
      <c r="NN1010" s="182"/>
      <c r="NO1010" s="182"/>
      <c r="NP1010" s="182"/>
      <c r="NQ1010" s="182"/>
      <c r="NR1010" s="182"/>
      <c r="NS1010" s="182"/>
      <c r="NT1010" s="182"/>
      <c r="NU1010" s="182"/>
      <c r="NV1010" s="182"/>
      <c r="NW1010" s="182"/>
      <c r="NX1010" s="182"/>
      <c r="NY1010" s="182"/>
      <c r="NZ1010" s="182"/>
      <c r="OA1010" s="182"/>
      <c r="OB1010" s="182"/>
      <c r="OC1010" s="182"/>
      <c r="OD1010" s="182"/>
      <c r="OE1010" s="182"/>
      <c r="OF1010" s="182"/>
      <c r="OG1010" s="182"/>
      <c r="OH1010" s="182"/>
      <c r="OI1010" s="182"/>
      <c r="OJ1010" s="182"/>
      <c r="OK1010" s="182"/>
      <c r="OL1010" s="182"/>
      <c r="OM1010" s="182"/>
      <c r="ON1010" s="182"/>
      <c r="OO1010" s="182"/>
      <c r="OP1010" s="182"/>
      <c r="OQ1010" s="182"/>
      <c r="OR1010" s="182"/>
      <c r="OS1010" s="182"/>
      <c r="OT1010" s="182"/>
      <c r="OU1010" s="182"/>
      <c r="OV1010" s="182"/>
      <c r="OW1010" s="182"/>
      <c r="OX1010" s="182"/>
      <c r="OY1010" s="182"/>
      <c r="OZ1010" s="182"/>
      <c r="PA1010" s="182"/>
      <c r="PB1010" s="182"/>
      <c r="PC1010" s="182"/>
      <c r="PD1010" s="182"/>
      <c r="PE1010" s="182"/>
      <c r="PF1010" s="182"/>
      <c r="PG1010" s="182"/>
      <c r="PH1010" s="182"/>
      <c r="PI1010" s="182"/>
      <c r="PJ1010" s="182"/>
      <c r="PK1010" s="182"/>
      <c r="PL1010" s="182"/>
      <c r="PM1010" s="182"/>
      <c r="PN1010" s="182"/>
      <c r="PO1010" s="182"/>
      <c r="PP1010" s="182"/>
      <c r="PQ1010" s="182"/>
      <c r="PR1010" s="182"/>
      <c r="PS1010" s="182"/>
      <c r="PT1010" s="182"/>
      <c r="PU1010" s="182"/>
      <c r="PV1010" s="182"/>
      <c r="PW1010" s="182"/>
      <c r="PX1010" s="182"/>
      <c r="PY1010" s="182"/>
      <c r="PZ1010" s="182"/>
      <c r="QA1010" s="182"/>
      <c r="QB1010" s="182"/>
      <c r="QC1010" s="182"/>
      <c r="QD1010" s="182"/>
      <c r="QE1010" s="182"/>
      <c r="QF1010" s="182"/>
      <c r="QG1010" s="182"/>
      <c r="QH1010" s="182"/>
      <c r="QI1010" s="182"/>
      <c r="QJ1010" s="182"/>
      <c r="QK1010" s="182"/>
      <c r="QL1010" s="182"/>
      <c r="QM1010" s="182"/>
      <c r="QN1010" s="182"/>
      <c r="QO1010" s="182"/>
      <c r="QP1010" s="182"/>
      <c r="QQ1010" s="182"/>
      <c r="QR1010" s="182"/>
      <c r="QS1010" s="182"/>
      <c r="QT1010" s="182"/>
      <c r="QU1010" s="182"/>
      <c r="QV1010" s="182"/>
      <c r="QW1010" s="182"/>
      <c r="QX1010" s="182"/>
      <c r="QY1010" s="182"/>
      <c r="QZ1010" s="182"/>
      <c r="RA1010" s="182"/>
      <c r="RB1010" s="182"/>
      <c r="RC1010" s="182"/>
      <c r="RD1010" s="182"/>
      <c r="RE1010" s="182"/>
      <c r="RF1010" s="182"/>
      <c r="RG1010" s="182"/>
      <c r="RH1010" s="182"/>
      <c r="RI1010" s="182"/>
      <c r="RJ1010" s="182"/>
      <c r="RK1010" s="182"/>
      <c r="RL1010" s="182"/>
      <c r="RM1010" s="182"/>
      <c r="RN1010" s="182"/>
      <c r="RO1010" s="182"/>
      <c r="RP1010" s="182"/>
      <c r="RQ1010" s="182"/>
      <c r="RR1010" s="182"/>
      <c r="RS1010" s="182"/>
      <c r="RT1010" s="182"/>
      <c r="RU1010" s="182"/>
      <c r="RV1010" s="182"/>
      <c r="RW1010" s="182"/>
      <c r="RX1010" s="182"/>
      <c r="RY1010" s="182"/>
      <c r="RZ1010" s="182"/>
      <c r="SA1010" s="182"/>
      <c r="SB1010" s="182"/>
      <c r="SC1010" s="182"/>
      <c r="SD1010" s="182"/>
      <c r="SE1010" s="182"/>
      <c r="SF1010" s="182"/>
      <c r="SG1010" s="182"/>
      <c r="SH1010" s="182"/>
      <c r="SI1010" s="182"/>
      <c r="SJ1010" s="182"/>
      <c r="SK1010" s="182"/>
      <c r="SL1010" s="182"/>
      <c r="SM1010" s="182"/>
      <c r="SN1010" s="182"/>
      <c r="SO1010" s="182"/>
      <c r="SP1010" s="182"/>
      <c r="SQ1010" s="182"/>
      <c r="SR1010" s="182"/>
      <c r="SS1010" s="182"/>
      <c r="ST1010" s="182"/>
      <c r="SU1010" s="182"/>
      <c r="SV1010" s="182"/>
      <c r="SW1010" s="182"/>
      <c r="SX1010" s="182"/>
      <c r="SY1010" s="182"/>
      <c r="SZ1010" s="182"/>
      <c r="TA1010" s="182"/>
      <c r="TB1010" s="182"/>
      <c r="TC1010" s="182"/>
      <c r="TD1010" s="182"/>
      <c r="TE1010" s="182"/>
      <c r="TF1010" s="182"/>
      <c r="TG1010" s="182"/>
      <c r="TH1010" s="182"/>
      <c r="TI1010" s="182"/>
      <c r="TJ1010" s="182"/>
      <c r="TK1010" s="182"/>
      <c r="TL1010" s="182"/>
      <c r="TM1010" s="182"/>
      <c r="TN1010" s="182"/>
      <c r="TO1010" s="182"/>
      <c r="TP1010" s="182"/>
      <c r="TQ1010" s="182"/>
      <c r="TR1010" s="182"/>
      <c r="TS1010" s="182"/>
      <c r="TT1010" s="182"/>
      <c r="TU1010" s="182"/>
      <c r="TV1010" s="182"/>
      <c r="TW1010" s="182"/>
      <c r="TX1010" s="182"/>
      <c r="TY1010" s="182"/>
      <c r="TZ1010" s="182"/>
      <c r="UA1010" s="182"/>
      <c r="UB1010" s="182"/>
      <c r="UC1010" s="182"/>
      <c r="UD1010" s="182"/>
      <c r="UE1010" s="182"/>
      <c r="UF1010" s="182"/>
      <c r="UG1010" s="182"/>
      <c r="UH1010" s="182"/>
      <c r="UI1010" s="182"/>
      <c r="UJ1010" s="182"/>
      <c r="UK1010" s="182"/>
      <c r="UL1010" s="182"/>
      <c r="UM1010" s="182"/>
      <c r="UN1010" s="182"/>
      <c r="UO1010" s="182"/>
      <c r="UP1010" s="182"/>
      <c r="UQ1010" s="182"/>
      <c r="UR1010" s="182"/>
      <c r="US1010" s="182"/>
      <c r="UT1010" s="182"/>
      <c r="UU1010" s="182"/>
      <c r="UV1010" s="182"/>
      <c r="UW1010" s="182"/>
      <c r="UX1010" s="182"/>
      <c r="UY1010" s="182"/>
      <c r="UZ1010" s="182"/>
      <c r="VA1010" s="182"/>
      <c r="VB1010" s="182"/>
      <c r="VC1010" s="182"/>
      <c r="VD1010" s="182"/>
      <c r="VE1010" s="182"/>
      <c r="VF1010" s="182"/>
      <c r="VG1010" s="182"/>
      <c r="VH1010" s="182"/>
      <c r="VI1010" s="182"/>
      <c r="VJ1010" s="182"/>
      <c r="VK1010" s="182"/>
      <c r="VL1010" s="182"/>
      <c r="VM1010" s="182"/>
      <c r="VN1010" s="182"/>
      <c r="VO1010" s="182"/>
      <c r="VP1010" s="182"/>
      <c r="VQ1010" s="182"/>
      <c r="VR1010" s="182"/>
      <c r="VS1010" s="182"/>
      <c r="VT1010" s="182"/>
      <c r="VU1010" s="182"/>
      <c r="VV1010" s="182"/>
      <c r="VW1010" s="182"/>
      <c r="VX1010" s="182"/>
      <c r="VY1010" s="182"/>
      <c r="VZ1010" s="182"/>
      <c r="WA1010" s="182"/>
      <c r="WB1010" s="182"/>
      <c r="WC1010" s="182"/>
      <c r="WD1010" s="182"/>
      <c r="WE1010" s="182"/>
      <c r="WF1010" s="182"/>
      <c r="WG1010" s="182"/>
      <c r="WH1010" s="182"/>
      <c r="WI1010" s="182"/>
      <c r="WJ1010" s="182"/>
      <c r="WK1010" s="182"/>
      <c r="WL1010" s="182"/>
      <c r="WM1010" s="182"/>
      <c r="WN1010" s="182"/>
      <c r="WO1010" s="182"/>
      <c r="WP1010" s="182"/>
      <c r="WQ1010" s="182"/>
      <c r="WR1010" s="182"/>
      <c r="WS1010" s="182"/>
      <c r="WT1010" s="182"/>
      <c r="WU1010" s="182"/>
      <c r="WV1010" s="182"/>
      <c r="WW1010" s="182"/>
      <c r="WX1010" s="182"/>
      <c r="WY1010" s="182"/>
      <c r="WZ1010" s="182"/>
      <c r="XA1010" s="182"/>
      <c r="XB1010" s="182"/>
      <c r="XC1010" s="182"/>
      <c r="XD1010" s="182"/>
      <c r="XE1010" s="182"/>
      <c r="XF1010" s="182"/>
      <c r="XG1010" s="182"/>
      <c r="XH1010" s="182"/>
      <c r="XI1010" s="182"/>
      <c r="XJ1010" s="182"/>
      <c r="XK1010" s="182"/>
      <c r="XL1010" s="182"/>
      <c r="XM1010" s="182"/>
      <c r="XN1010" s="182"/>
      <c r="XO1010" s="182"/>
      <c r="XP1010" s="182"/>
      <c r="XQ1010" s="182"/>
      <c r="XR1010" s="182"/>
      <c r="XS1010" s="182"/>
      <c r="XT1010" s="182"/>
      <c r="XU1010" s="182"/>
      <c r="XV1010" s="182"/>
      <c r="XW1010" s="182"/>
      <c r="XX1010" s="182"/>
      <c r="XY1010" s="182"/>
      <c r="XZ1010" s="182"/>
      <c r="YA1010" s="182"/>
      <c r="YB1010" s="182"/>
      <c r="YC1010" s="182"/>
      <c r="YD1010" s="182"/>
      <c r="YE1010" s="182"/>
      <c r="YF1010" s="182"/>
      <c r="YG1010" s="182"/>
      <c r="YH1010" s="182"/>
      <c r="YI1010" s="182"/>
      <c r="YJ1010" s="182"/>
      <c r="YK1010" s="182"/>
      <c r="YL1010" s="182"/>
      <c r="YM1010" s="182"/>
      <c r="YN1010" s="182"/>
      <c r="YO1010" s="182"/>
      <c r="YP1010" s="182"/>
      <c r="YQ1010" s="182"/>
      <c r="YR1010" s="182"/>
      <c r="YS1010" s="182"/>
      <c r="YT1010" s="182"/>
      <c r="YU1010" s="182"/>
      <c r="YV1010" s="182"/>
      <c r="YW1010" s="182"/>
      <c r="YX1010" s="182"/>
      <c r="YY1010" s="182"/>
      <c r="YZ1010" s="182"/>
      <c r="ZA1010" s="182"/>
      <c r="ZB1010" s="182"/>
      <c r="ZC1010" s="182"/>
      <c r="ZD1010" s="182"/>
      <c r="ZE1010" s="182"/>
      <c r="ZF1010" s="182"/>
      <c r="ZG1010" s="182"/>
      <c r="ZH1010" s="182"/>
      <c r="ZI1010" s="182"/>
      <c r="ZJ1010" s="182"/>
      <c r="ZK1010" s="182"/>
      <c r="ZL1010" s="182"/>
      <c r="ZM1010" s="182"/>
      <c r="ZN1010" s="182"/>
      <c r="ZO1010" s="182"/>
      <c r="ZP1010" s="182"/>
      <c r="ZQ1010" s="182"/>
      <c r="ZR1010" s="182"/>
      <c r="ZS1010" s="182"/>
      <c r="ZT1010" s="182"/>
      <c r="ZU1010" s="182"/>
      <c r="ZV1010" s="182"/>
      <c r="ZW1010" s="182"/>
      <c r="ZX1010" s="182"/>
      <c r="ZY1010" s="182"/>
      <c r="ZZ1010" s="182"/>
      <c r="AAA1010" s="182"/>
      <c r="AAB1010" s="182"/>
      <c r="AAC1010" s="182"/>
      <c r="AAD1010" s="182"/>
      <c r="AAE1010" s="182"/>
      <c r="AAF1010" s="182"/>
      <c r="AAG1010" s="182"/>
      <c r="AAH1010" s="182"/>
      <c r="AAI1010" s="182"/>
      <c r="AAJ1010" s="182"/>
      <c r="AAK1010" s="182"/>
      <c r="AAL1010" s="182"/>
      <c r="AAM1010" s="182"/>
      <c r="AAN1010" s="182"/>
      <c r="AAO1010" s="182"/>
      <c r="AAP1010" s="182"/>
      <c r="AAQ1010" s="182"/>
      <c r="AAR1010" s="182"/>
      <c r="AAS1010" s="182"/>
      <c r="AAT1010" s="182"/>
      <c r="AAU1010" s="182"/>
      <c r="AAV1010" s="182"/>
      <c r="AAW1010" s="182"/>
      <c r="AAX1010" s="182"/>
      <c r="AAY1010" s="182"/>
      <c r="AAZ1010" s="182"/>
      <c r="ABA1010" s="182"/>
      <c r="ABB1010" s="182"/>
      <c r="ABC1010" s="182"/>
      <c r="ABD1010" s="182"/>
      <c r="ABE1010" s="182"/>
      <c r="ABF1010" s="182"/>
      <c r="ABG1010" s="182"/>
      <c r="ABH1010" s="182"/>
      <c r="ABI1010" s="182"/>
      <c r="ABJ1010" s="182"/>
      <c r="ABK1010" s="182"/>
      <c r="ABL1010" s="182"/>
      <c r="ABM1010" s="182"/>
      <c r="ABN1010" s="182"/>
      <c r="ABO1010" s="182"/>
      <c r="ABP1010" s="182"/>
      <c r="ABQ1010" s="182"/>
      <c r="ABR1010" s="182"/>
      <c r="ABS1010" s="182"/>
      <c r="ABT1010" s="182"/>
      <c r="ABU1010" s="182"/>
      <c r="ABV1010" s="182"/>
      <c r="ABW1010" s="182"/>
      <c r="ABX1010" s="182"/>
      <c r="ABY1010" s="182"/>
      <c r="ABZ1010" s="182"/>
      <c r="ACA1010" s="182"/>
      <c r="ACB1010" s="182"/>
      <c r="ACC1010" s="182"/>
      <c r="ACD1010" s="182"/>
      <c r="ACE1010" s="182"/>
      <c r="ACF1010" s="182"/>
      <c r="ACG1010" s="182"/>
      <c r="ACH1010" s="182"/>
      <c r="ACI1010" s="182"/>
      <c r="ACJ1010" s="182"/>
      <c r="ACK1010" s="182"/>
      <c r="ACL1010" s="182"/>
      <c r="ACM1010" s="182"/>
      <c r="ACN1010" s="182"/>
      <c r="ACO1010" s="182"/>
      <c r="ACP1010" s="182"/>
      <c r="ACQ1010" s="182"/>
      <c r="ACR1010" s="182"/>
      <c r="ACS1010" s="182"/>
      <c r="ACT1010" s="182"/>
      <c r="ACU1010" s="182"/>
      <c r="ACV1010" s="182"/>
      <c r="ACW1010" s="182"/>
      <c r="ACX1010" s="182"/>
      <c r="ACY1010" s="182"/>
      <c r="ACZ1010" s="182"/>
      <c r="ADA1010" s="182"/>
      <c r="ADB1010" s="182"/>
      <c r="ADC1010" s="182"/>
      <c r="ADD1010" s="182"/>
      <c r="ADE1010" s="182"/>
      <c r="ADF1010" s="182"/>
      <c r="ADG1010" s="182"/>
      <c r="ADH1010" s="182"/>
      <c r="ADI1010" s="182"/>
      <c r="ADJ1010" s="182"/>
      <c r="ADK1010" s="182"/>
      <c r="ADL1010" s="182"/>
      <c r="ADM1010" s="182"/>
      <c r="ADN1010" s="182"/>
      <c r="ADO1010" s="182"/>
      <c r="ADP1010" s="182"/>
      <c r="ADQ1010" s="182"/>
      <c r="ADR1010" s="182"/>
      <c r="ADS1010" s="182"/>
      <c r="ADT1010" s="182"/>
      <c r="ADU1010" s="182"/>
      <c r="ADV1010" s="182"/>
      <c r="ADW1010" s="182"/>
      <c r="ADX1010" s="182"/>
      <c r="ADY1010" s="182"/>
      <c r="ADZ1010" s="182"/>
      <c r="AEA1010" s="182"/>
      <c r="AEB1010" s="182"/>
      <c r="AEC1010" s="182"/>
      <c r="AED1010" s="182"/>
      <c r="AEE1010" s="182"/>
      <c r="AEF1010" s="182"/>
      <c r="AEG1010" s="182"/>
      <c r="AEH1010" s="182"/>
      <c r="AEI1010" s="182"/>
      <c r="AEJ1010" s="182"/>
      <c r="AEK1010" s="182"/>
      <c r="AEL1010" s="182"/>
      <c r="AEM1010" s="182"/>
      <c r="AEN1010" s="182"/>
      <c r="AEO1010" s="182"/>
      <c r="AEP1010" s="182"/>
      <c r="AEQ1010" s="182"/>
      <c r="AER1010" s="182"/>
      <c r="AES1010" s="182"/>
      <c r="AET1010" s="182"/>
      <c r="AEU1010" s="182"/>
      <c r="AEV1010" s="182"/>
      <c r="AEW1010" s="182"/>
      <c r="AEX1010" s="182"/>
      <c r="AEY1010" s="182"/>
      <c r="AEZ1010" s="182"/>
      <c r="AFA1010" s="182"/>
      <c r="AFB1010" s="182"/>
      <c r="AFC1010" s="182"/>
      <c r="AFD1010" s="182"/>
      <c r="AFE1010" s="182"/>
      <c r="AFF1010" s="182"/>
      <c r="AFG1010" s="182"/>
      <c r="AFH1010" s="182"/>
      <c r="AFI1010" s="182"/>
      <c r="AFJ1010" s="182"/>
      <c r="AFK1010" s="182"/>
      <c r="AFL1010" s="182"/>
      <c r="AFM1010" s="182"/>
      <c r="AFN1010" s="182"/>
      <c r="AFO1010" s="182"/>
      <c r="AFP1010" s="182"/>
      <c r="AFQ1010" s="182"/>
      <c r="AFR1010" s="182"/>
      <c r="AFS1010" s="182"/>
      <c r="AFT1010" s="182"/>
      <c r="AFU1010" s="182"/>
      <c r="AFV1010" s="182"/>
      <c r="AFW1010" s="182"/>
      <c r="AFX1010" s="182"/>
      <c r="AFY1010" s="182"/>
      <c r="AFZ1010" s="182"/>
      <c r="AGA1010" s="182"/>
      <c r="AGB1010" s="182"/>
      <c r="AGC1010" s="182"/>
      <c r="AGD1010" s="182"/>
      <c r="AGE1010" s="182"/>
      <c r="AGF1010" s="182"/>
      <c r="AGG1010" s="182"/>
      <c r="AGH1010" s="182"/>
      <c r="AGI1010" s="182"/>
      <c r="AGJ1010" s="182"/>
      <c r="AGK1010" s="182"/>
      <c r="AGL1010" s="182"/>
      <c r="AGM1010" s="182"/>
      <c r="AGN1010" s="182"/>
      <c r="AGO1010" s="182"/>
      <c r="AGP1010" s="182"/>
      <c r="AGQ1010" s="182"/>
      <c r="AGR1010" s="182"/>
      <c r="AGS1010" s="182"/>
      <c r="AGT1010" s="182"/>
      <c r="AGU1010" s="182"/>
      <c r="AGV1010" s="182"/>
      <c r="AGW1010" s="182"/>
      <c r="AGX1010" s="182"/>
      <c r="AGY1010" s="182"/>
      <c r="AGZ1010" s="182"/>
      <c r="AHA1010" s="182"/>
      <c r="AHB1010" s="182"/>
      <c r="AHC1010" s="182"/>
      <c r="AHD1010" s="182"/>
      <c r="AHE1010" s="182"/>
      <c r="AHF1010" s="182"/>
      <c r="AHG1010" s="182"/>
      <c r="AHH1010" s="182"/>
      <c r="AHI1010" s="182"/>
      <c r="AHJ1010" s="182"/>
      <c r="AHK1010" s="182"/>
      <c r="AHL1010" s="182"/>
      <c r="AHM1010" s="182"/>
      <c r="AHN1010" s="182"/>
      <c r="AHO1010" s="182"/>
      <c r="AHP1010" s="182"/>
      <c r="AHQ1010" s="182"/>
      <c r="AHR1010" s="182"/>
      <c r="AHS1010" s="182"/>
      <c r="AHT1010" s="182"/>
      <c r="AHU1010" s="182"/>
      <c r="AHV1010" s="182"/>
      <c r="AHW1010" s="182"/>
      <c r="AHX1010" s="182"/>
      <c r="AHY1010" s="182"/>
      <c r="AHZ1010" s="182"/>
      <c r="AIA1010" s="182"/>
      <c r="AIB1010" s="182"/>
      <c r="AIC1010" s="182"/>
      <c r="AID1010" s="182"/>
      <c r="AIE1010" s="182"/>
      <c r="AIF1010" s="182"/>
      <c r="AIG1010" s="182"/>
      <c r="AIH1010" s="182"/>
      <c r="AII1010" s="182"/>
      <c r="AIJ1010" s="182"/>
      <c r="AIK1010" s="182"/>
      <c r="AIL1010" s="182"/>
      <c r="AIM1010" s="182"/>
      <c r="AIN1010" s="182"/>
      <c r="AIO1010" s="182"/>
      <c r="AIP1010" s="182"/>
      <c r="AIQ1010" s="182"/>
      <c r="AIR1010" s="182"/>
      <c r="AIS1010" s="182"/>
      <c r="AIT1010" s="182"/>
      <c r="AIU1010" s="182"/>
      <c r="AIV1010" s="182"/>
      <c r="AIW1010" s="182"/>
      <c r="AIX1010" s="182"/>
      <c r="AIY1010" s="182"/>
      <c r="AIZ1010" s="182"/>
      <c r="AJA1010" s="182"/>
      <c r="AJB1010" s="182"/>
      <c r="AJC1010" s="182"/>
      <c r="AJD1010" s="182"/>
      <c r="AJE1010" s="182"/>
      <c r="AJF1010" s="182"/>
      <c r="AJG1010" s="182"/>
      <c r="AJH1010" s="182"/>
      <c r="AJI1010" s="182"/>
      <c r="AJJ1010" s="182"/>
      <c r="AJK1010" s="182"/>
      <c r="AJL1010" s="182"/>
      <c r="AJM1010" s="182"/>
      <c r="AJN1010" s="182"/>
      <c r="AJO1010" s="182"/>
      <c r="AJP1010" s="182"/>
      <c r="AJQ1010" s="182"/>
      <c r="AJR1010" s="182"/>
      <c r="AJS1010" s="182"/>
      <c r="AJT1010" s="182"/>
      <c r="AJU1010" s="182"/>
      <c r="AJV1010" s="182"/>
      <c r="AJW1010" s="182"/>
      <c r="AJX1010" s="182"/>
      <c r="AJY1010" s="182"/>
      <c r="AJZ1010" s="182"/>
      <c r="AKA1010" s="182"/>
      <c r="AKB1010" s="182"/>
      <c r="AKC1010" s="182"/>
      <c r="AKD1010" s="182"/>
      <c r="AKE1010" s="182"/>
      <c r="AKF1010" s="182"/>
      <c r="AKG1010" s="182"/>
      <c r="AKH1010" s="182"/>
      <c r="AKI1010" s="182"/>
      <c r="AKJ1010" s="182"/>
      <c r="AKK1010" s="182"/>
      <c r="AKL1010" s="182"/>
      <c r="AKM1010" s="182"/>
      <c r="AKN1010" s="182"/>
      <c r="AKO1010" s="182"/>
      <c r="AKP1010" s="182"/>
      <c r="AKQ1010" s="182"/>
      <c r="AKR1010" s="182"/>
      <c r="AKS1010" s="182"/>
      <c r="AKT1010" s="182"/>
      <c r="AKU1010" s="182"/>
      <c r="AKV1010" s="182"/>
      <c r="AKW1010" s="182"/>
      <c r="AKX1010" s="182"/>
      <c r="AKY1010" s="182"/>
      <c r="AKZ1010" s="182"/>
      <c r="ALA1010" s="182"/>
      <c r="ALB1010" s="182"/>
      <c r="ALC1010" s="182"/>
      <c r="ALD1010" s="182"/>
      <c r="ALE1010" s="182"/>
      <c r="ALF1010" s="182"/>
      <c r="ALG1010" s="182"/>
      <c r="ALH1010" s="182"/>
      <c r="ALI1010" s="182"/>
      <c r="ALJ1010" s="182"/>
      <c r="ALK1010" s="182"/>
      <c r="ALL1010" s="182"/>
      <c r="ALM1010" s="182"/>
      <c r="ALN1010" s="182"/>
      <c r="ALO1010" s="182"/>
      <c r="ALP1010" s="182"/>
      <c r="ALQ1010" s="182"/>
      <c r="ALR1010" s="182"/>
      <c r="ALS1010" s="182"/>
      <c r="ALT1010" s="182"/>
      <c r="ALU1010" s="182"/>
      <c r="ALV1010" s="182"/>
      <c r="ALW1010" s="182"/>
      <c r="ALX1010" s="182"/>
      <c r="ALY1010" s="182"/>
      <c r="ALZ1010" s="182"/>
      <c r="AMA1010" s="182"/>
      <c r="AMB1010" s="182"/>
      <c r="AMC1010" s="182"/>
      <c r="AMD1010" s="182"/>
      <c r="AME1010" s="182"/>
      <c r="AMF1010" s="182"/>
      <c r="AMG1010" s="182"/>
      <c r="AMH1010" s="182"/>
      <c r="AMI1010" s="182"/>
      <c r="AMJ1010" s="182"/>
      <c r="AMK1010" s="182"/>
      <c r="AML1010" s="182"/>
      <c r="AMM1010" s="182"/>
      <c r="AMN1010" s="182"/>
      <c r="AMO1010" s="182"/>
      <c r="AMP1010" s="182"/>
      <c r="AMQ1010" s="182"/>
      <c r="AMR1010" s="182"/>
      <c r="AMS1010" s="182"/>
      <c r="AMT1010" s="182"/>
      <c r="AMU1010" s="182"/>
      <c r="AMV1010" s="182"/>
      <c r="AMW1010" s="182"/>
      <c r="AMX1010" s="182"/>
      <c r="AMY1010" s="182"/>
      <c r="AMZ1010" s="182"/>
      <c r="ANA1010" s="182"/>
      <c r="ANB1010" s="182"/>
      <c r="ANC1010" s="182"/>
      <c r="AND1010" s="182"/>
      <c r="ANE1010" s="182"/>
      <c r="ANF1010" s="182"/>
      <c r="ANG1010" s="182"/>
      <c r="ANH1010" s="182"/>
      <c r="ANI1010" s="182"/>
      <c r="ANJ1010" s="182"/>
      <c r="ANK1010" s="182"/>
      <c r="ANL1010" s="182"/>
      <c r="ANM1010" s="182"/>
      <c r="ANN1010" s="182"/>
      <c r="ANO1010" s="182"/>
      <c r="ANP1010" s="182"/>
      <c r="ANQ1010" s="182"/>
      <c r="ANR1010" s="182"/>
      <c r="ANS1010" s="182"/>
      <c r="ANT1010" s="182"/>
      <c r="ANU1010" s="182"/>
      <c r="ANV1010" s="182"/>
      <c r="ANW1010" s="182"/>
      <c r="ANX1010" s="182"/>
      <c r="ANY1010" s="182"/>
      <c r="ANZ1010" s="182"/>
      <c r="AOA1010" s="182"/>
      <c r="AOB1010" s="182"/>
      <c r="AOC1010" s="182"/>
      <c r="AOD1010" s="182"/>
      <c r="AOE1010" s="182"/>
      <c r="AOF1010" s="182"/>
      <c r="AOG1010" s="182"/>
      <c r="AOH1010" s="182"/>
      <c r="AOI1010" s="182"/>
      <c r="AOJ1010" s="182"/>
      <c r="AOK1010" s="182"/>
      <c r="AOL1010" s="182"/>
      <c r="AOM1010" s="182"/>
      <c r="AON1010" s="182"/>
      <c r="AOO1010" s="182"/>
      <c r="AOP1010" s="182"/>
      <c r="AOQ1010" s="182"/>
      <c r="AOR1010" s="182"/>
      <c r="AOS1010" s="182"/>
      <c r="AOT1010" s="182"/>
      <c r="AOU1010" s="182"/>
      <c r="AOV1010" s="182"/>
      <c r="AOW1010" s="182"/>
      <c r="AOX1010" s="182"/>
      <c r="AOY1010" s="182"/>
      <c r="AOZ1010" s="182"/>
      <c r="APA1010" s="182"/>
      <c r="APB1010" s="182"/>
      <c r="APC1010" s="182"/>
      <c r="APD1010" s="182"/>
      <c r="APE1010" s="182"/>
      <c r="APF1010" s="182"/>
      <c r="APG1010" s="182"/>
      <c r="APH1010" s="182"/>
      <c r="API1010" s="182"/>
      <c r="APJ1010" s="182"/>
      <c r="APK1010" s="182"/>
      <c r="APL1010" s="182"/>
      <c r="APM1010" s="182"/>
      <c r="APN1010" s="182"/>
      <c r="APO1010" s="182"/>
      <c r="APP1010" s="182"/>
      <c r="APQ1010" s="182"/>
      <c r="APR1010" s="182"/>
      <c r="APS1010" s="182"/>
      <c r="APT1010" s="182"/>
      <c r="APU1010" s="182"/>
      <c r="APV1010" s="182"/>
      <c r="APW1010" s="182"/>
      <c r="APX1010" s="182"/>
      <c r="APY1010" s="182"/>
      <c r="APZ1010" s="182"/>
      <c r="AQA1010" s="182"/>
      <c r="AQB1010" s="182"/>
      <c r="AQC1010" s="182"/>
      <c r="AQD1010" s="182"/>
      <c r="AQE1010" s="182"/>
      <c r="AQF1010" s="182"/>
      <c r="AQG1010" s="182"/>
      <c r="AQH1010" s="182"/>
      <c r="AQI1010" s="182"/>
      <c r="AQJ1010" s="182"/>
      <c r="AQK1010" s="182"/>
      <c r="AQL1010" s="182"/>
      <c r="AQM1010" s="182"/>
      <c r="AQN1010" s="182"/>
      <c r="AQO1010" s="182"/>
      <c r="AQP1010" s="182"/>
      <c r="AQQ1010" s="182"/>
      <c r="AQR1010" s="182"/>
      <c r="AQS1010" s="182"/>
      <c r="AQT1010" s="182"/>
      <c r="AQU1010" s="182"/>
      <c r="AQV1010" s="182"/>
      <c r="AQW1010" s="182"/>
      <c r="AQX1010" s="182"/>
      <c r="AQY1010" s="182"/>
      <c r="AQZ1010" s="182"/>
      <c r="ARA1010" s="182"/>
      <c r="ARB1010" s="182"/>
      <c r="ARC1010" s="182"/>
      <c r="ARD1010" s="182"/>
      <c r="ARE1010" s="182"/>
      <c r="ARF1010" s="182"/>
      <c r="ARG1010" s="182"/>
      <c r="ARH1010" s="182"/>
      <c r="ARI1010" s="182"/>
      <c r="ARJ1010" s="182"/>
      <c r="ARK1010" s="182"/>
      <c r="ARL1010" s="182"/>
      <c r="ARM1010" s="182"/>
      <c r="ARN1010" s="182"/>
      <c r="ARO1010" s="182"/>
      <c r="ARP1010" s="182"/>
      <c r="ARQ1010" s="182"/>
      <c r="ARR1010" s="182"/>
      <c r="ARS1010" s="182"/>
      <c r="ART1010" s="182"/>
      <c r="ARU1010" s="182"/>
      <c r="ARV1010" s="182"/>
      <c r="ARW1010" s="182"/>
      <c r="ARX1010" s="182"/>
      <c r="ARY1010" s="182"/>
      <c r="ARZ1010" s="182"/>
      <c r="ASA1010" s="182"/>
      <c r="ASB1010" s="182"/>
      <c r="ASC1010" s="182"/>
      <c r="ASD1010" s="182"/>
      <c r="ASE1010" s="182"/>
      <c r="ASF1010" s="182"/>
      <c r="ASG1010" s="182"/>
      <c r="ASH1010" s="182"/>
      <c r="ASI1010" s="182"/>
      <c r="ASJ1010" s="182"/>
      <c r="ASK1010" s="182"/>
      <c r="ASL1010" s="182"/>
      <c r="ASM1010" s="182"/>
      <c r="ASN1010" s="182"/>
      <c r="ASO1010" s="182"/>
      <c r="ASP1010" s="182"/>
      <c r="ASQ1010" s="182"/>
      <c r="ASR1010" s="182"/>
      <c r="ASS1010" s="182"/>
      <c r="AST1010" s="182"/>
      <c r="ASU1010" s="182"/>
      <c r="ASV1010" s="182"/>
      <c r="ASW1010" s="182"/>
      <c r="ASX1010" s="182"/>
      <c r="ASY1010" s="182"/>
      <c r="ASZ1010" s="182"/>
      <c r="ATA1010" s="182"/>
      <c r="ATB1010" s="182"/>
      <c r="ATC1010" s="182"/>
      <c r="ATD1010" s="182"/>
      <c r="ATE1010" s="182"/>
      <c r="ATF1010" s="182"/>
      <c r="ATG1010" s="182"/>
      <c r="ATH1010" s="182"/>
      <c r="ATI1010" s="182"/>
      <c r="ATJ1010" s="182"/>
      <c r="ATK1010" s="182"/>
      <c r="ATL1010" s="182"/>
      <c r="ATM1010" s="182"/>
      <c r="ATN1010" s="182"/>
      <c r="ATO1010" s="182"/>
      <c r="ATP1010" s="182"/>
      <c r="ATQ1010" s="182"/>
      <c r="ATR1010" s="182"/>
      <c r="ATS1010" s="182"/>
      <c r="ATT1010" s="182"/>
      <c r="ATU1010" s="182"/>
      <c r="ATV1010" s="182"/>
      <c r="ATW1010" s="182"/>
      <c r="ATX1010" s="182"/>
      <c r="ATY1010" s="182"/>
      <c r="ATZ1010" s="182"/>
      <c r="AUA1010" s="182"/>
      <c r="AUB1010" s="182"/>
      <c r="AUC1010" s="182"/>
      <c r="AUD1010" s="182"/>
      <c r="AUE1010" s="182"/>
      <c r="AUF1010" s="182"/>
      <c r="AUG1010" s="182"/>
      <c r="AUH1010" s="182"/>
      <c r="AUI1010" s="182"/>
      <c r="AUJ1010" s="182"/>
      <c r="AUK1010" s="182"/>
      <c r="AUL1010" s="182"/>
      <c r="AUM1010" s="182"/>
      <c r="AUN1010" s="182"/>
      <c r="AUO1010" s="182"/>
      <c r="AUP1010" s="182"/>
      <c r="AUQ1010" s="182"/>
      <c r="AUR1010" s="182"/>
      <c r="AUS1010" s="182"/>
      <c r="AUT1010" s="182"/>
      <c r="AUU1010" s="182"/>
      <c r="AUV1010" s="182"/>
      <c r="AUW1010" s="182"/>
      <c r="AUX1010" s="182"/>
      <c r="AUY1010" s="182"/>
      <c r="AUZ1010" s="182"/>
      <c r="AVA1010" s="182"/>
      <c r="AVB1010" s="182"/>
      <c r="AVC1010" s="182"/>
      <c r="AVD1010" s="182"/>
      <c r="AVE1010" s="182"/>
      <c r="AVF1010" s="182"/>
      <c r="AVG1010" s="182"/>
      <c r="AVH1010" s="182"/>
      <c r="AVI1010" s="182"/>
      <c r="AVJ1010" s="182"/>
      <c r="AVK1010" s="182"/>
      <c r="AVL1010" s="182"/>
      <c r="AVM1010" s="182"/>
      <c r="AVN1010" s="182"/>
      <c r="AVO1010" s="182"/>
      <c r="AVP1010" s="182"/>
      <c r="AVQ1010" s="182"/>
      <c r="AVR1010" s="182"/>
      <c r="AVS1010" s="182"/>
      <c r="AVT1010" s="182"/>
      <c r="AVU1010" s="182"/>
      <c r="AVV1010" s="182"/>
      <c r="AVW1010" s="182"/>
      <c r="AVX1010" s="182"/>
      <c r="AVY1010" s="182"/>
      <c r="AVZ1010" s="182"/>
      <c r="AWA1010" s="182"/>
      <c r="AWB1010" s="182"/>
      <c r="AWC1010" s="182"/>
      <c r="AWD1010" s="182"/>
      <c r="AWE1010" s="182"/>
      <c r="AWF1010" s="182"/>
      <c r="AWG1010" s="182"/>
      <c r="AWH1010" s="182"/>
      <c r="AWI1010" s="182"/>
      <c r="AWJ1010" s="182"/>
      <c r="AWK1010" s="182"/>
      <c r="AWL1010" s="182"/>
      <c r="AWM1010" s="182"/>
      <c r="AWN1010" s="182"/>
      <c r="AWO1010" s="182"/>
      <c r="AWP1010" s="182"/>
      <c r="AWQ1010" s="182"/>
      <c r="AWR1010" s="182"/>
      <c r="AWS1010" s="182"/>
      <c r="AWT1010" s="182"/>
      <c r="AWU1010" s="182"/>
      <c r="AWV1010" s="182"/>
      <c r="AWW1010" s="182"/>
      <c r="AWX1010" s="182"/>
      <c r="AWY1010" s="182"/>
      <c r="AWZ1010" s="182"/>
      <c r="AXA1010" s="182"/>
      <c r="AXB1010" s="182"/>
      <c r="AXC1010" s="182"/>
      <c r="AXD1010" s="182"/>
      <c r="AXE1010" s="182"/>
      <c r="AXF1010" s="182"/>
      <c r="AXG1010" s="182"/>
      <c r="AXH1010" s="182"/>
      <c r="AXI1010" s="182"/>
      <c r="AXJ1010" s="182"/>
      <c r="AXK1010" s="182"/>
      <c r="AXL1010" s="182"/>
      <c r="AXM1010" s="182"/>
      <c r="AXN1010" s="182"/>
      <c r="AXO1010" s="182"/>
      <c r="AXP1010" s="182"/>
      <c r="AXQ1010" s="182"/>
      <c r="AXR1010" s="182"/>
      <c r="AXS1010" s="182"/>
      <c r="AXT1010" s="182"/>
      <c r="AXU1010" s="182"/>
      <c r="AXV1010" s="182"/>
      <c r="AXW1010" s="182"/>
      <c r="AXX1010" s="182"/>
      <c r="AXY1010" s="182"/>
      <c r="AXZ1010" s="182"/>
      <c r="AYA1010" s="182"/>
      <c r="AYB1010" s="182"/>
      <c r="AYC1010" s="182"/>
      <c r="AYD1010" s="182"/>
      <c r="AYE1010" s="182"/>
      <c r="AYF1010" s="182"/>
      <c r="AYG1010" s="182"/>
      <c r="AYH1010" s="182"/>
      <c r="AYI1010" s="182"/>
      <c r="AYJ1010" s="182"/>
      <c r="AYK1010" s="182"/>
      <c r="AYL1010" s="182"/>
      <c r="AYM1010" s="182"/>
      <c r="AYN1010" s="182"/>
      <c r="AYO1010" s="182"/>
      <c r="AYP1010" s="182"/>
      <c r="AYQ1010" s="182"/>
      <c r="AYR1010" s="182"/>
      <c r="AYS1010" s="182"/>
      <c r="AYT1010" s="182"/>
      <c r="AYU1010" s="182"/>
      <c r="AYV1010" s="182"/>
      <c r="AYW1010" s="182"/>
      <c r="AYX1010" s="182"/>
      <c r="AYY1010" s="182"/>
      <c r="AYZ1010" s="182"/>
      <c r="AZA1010" s="182"/>
      <c r="AZB1010" s="182"/>
      <c r="AZC1010" s="182"/>
      <c r="AZD1010" s="182"/>
      <c r="AZE1010" s="182"/>
      <c r="AZF1010" s="182"/>
      <c r="AZG1010" s="182"/>
      <c r="AZH1010" s="182"/>
      <c r="AZI1010" s="182"/>
      <c r="AZJ1010" s="182"/>
      <c r="AZK1010" s="182"/>
      <c r="AZL1010" s="182"/>
      <c r="AZM1010" s="182"/>
      <c r="AZN1010" s="182"/>
      <c r="AZO1010" s="182"/>
      <c r="AZP1010" s="182"/>
      <c r="AZQ1010" s="182"/>
      <c r="AZR1010" s="182"/>
      <c r="AZS1010" s="182"/>
      <c r="AZT1010" s="182"/>
      <c r="AZU1010" s="182"/>
      <c r="AZV1010" s="182"/>
      <c r="AZW1010" s="182"/>
      <c r="AZX1010" s="182"/>
      <c r="AZY1010" s="182"/>
      <c r="AZZ1010" s="182"/>
      <c r="BAA1010" s="182"/>
      <c r="BAB1010" s="182"/>
      <c r="BAC1010" s="182"/>
      <c r="BAD1010" s="182"/>
      <c r="BAE1010" s="182"/>
      <c r="BAF1010" s="182"/>
      <c r="BAG1010" s="182"/>
      <c r="BAH1010" s="182"/>
      <c r="BAI1010" s="182"/>
      <c r="BAJ1010" s="182"/>
      <c r="BAK1010" s="182"/>
      <c r="BAL1010" s="182"/>
      <c r="BAM1010" s="182"/>
      <c r="BAN1010" s="182"/>
      <c r="BAO1010" s="182"/>
      <c r="BAP1010" s="182"/>
      <c r="BAQ1010" s="182"/>
      <c r="BAR1010" s="182"/>
      <c r="BAS1010" s="182"/>
      <c r="BAT1010" s="182"/>
      <c r="BAU1010" s="182"/>
      <c r="BAV1010" s="182"/>
      <c r="BAW1010" s="182"/>
      <c r="BAX1010" s="182"/>
      <c r="BAY1010" s="182"/>
      <c r="BAZ1010" s="182"/>
      <c r="BBA1010" s="182"/>
      <c r="BBB1010" s="182"/>
      <c r="BBC1010" s="182"/>
      <c r="BBD1010" s="182"/>
      <c r="BBE1010" s="182"/>
      <c r="BBF1010" s="182"/>
      <c r="BBG1010" s="182"/>
      <c r="BBH1010" s="182"/>
      <c r="BBI1010" s="182"/>
      <c r="BBJ1010" s="182"/>
      <c r="BBK1010" s="182"/>
      <c r="BBL1010" s="182"/>
      <c r="BBM1010" s="182"/>
      <c r="BBN1010" s="182"/>
      <c r="BBO1010" s="182"/>
      <c r="BBP1010" s="182"/>
      <c r="BBQ1010" s="182"/>
      <c r="BBR1010" s="182"/>
      <c r="BBS1010" s="182"/>
      <c r="BBT1010" s="182"/>
      <c r="BBU1010" s="182"/>
      <c r="BBV1010" s="182"/>
      <c r="BBW1010" s="182"/>
      <c r="BBX1010" s="182"/>
      <c r="BBY1010" s="182"/>
      <c r="BBZ1010" s="182"/>
      <c r="BCA1010" s="182"/>
      <c r="BCB1010" s="182"/>
      <c r="BCC1010" s="182"/>
      <c r="BCD1010" s="182"/>
      <c r="BCE1010" s="182"/>
      <c r="BCF1010" s="182"/>
      <c r="BCG1010" s="182"/>
      <c r="BCH1010" s="182"/>
      <c r="BCI1010" s="182"/>
      <c r="BCJ1010" s="182"/>
      <c r="BCK1010" s="182"/>
      <c r="BCL1010" s="182"/>
      <c r="BCM1010" s="182"/>
      <c r="BCN1010" s="182"/>
      <c r="BCO1010" s="182"/>
      <c r="BCP1010" s="182"/>
      <c r="BCQ1010" s="182"/>
      <c r="BCR1010" s="182"/>
      <c r="BCS1010" s="182"/>
      <c r="BCT1010" s="182"/>
      <c r="BCU1010" s="182"/>
      <c r="BCV1010" s="182"/>
      <c r="BCW1010" s="182"/>
      <c r="BCX1010" s="182"/>
      <c r="BCY1010" s="182"/>
      <c r="BCZ1010" s="182"/>
      <c r="BDA1010" s="182"/>
      <c r="BDB1010" s="182"/>
      <c r="BDC1010" s="182"/>
      <c r="BDD1010" s="182"/>
      <c r="BDE1010" s="182"/>
      <c r="BDF1010" s="182"/>
      <c r="BDG1010" s="182"/>
      <c r="BDH1010" s="182"/>
      <c r="BDI1010" s="182"/>
      <c r="BDJ1010" s="182"/>
      <c r="BDK1010" s="182"/>
      <c r="BDL1010" s="182"/>
      <c r="BDM1010" s="182"/>
      <c r="BDN1010" s="182"/>
      <c r="BDO1010" s="182"/>
      <c r="BDP1010" s="182"/>
      <c r="BDQ1010" s="182"/>
      <c r="BDR1010" s="182"/>
      <c r="BDS1010" s="182"/>
      <c r="BDT1010" s="182"/>
      <c r="BDU1010" s="182"/>
      <c r="BDV1010" s="182"/>
      <c r="BDW1010" s="182"/>
      <c r="BDX1010" s="182"/>
      <c r="BDY1010" s="182"/>
      <c r="BDZ1010" s="182"/>
      <c r="BEA1010" s="182"/>
      <c r="BEB1010" s="182"/>
      <c r="BEC1010" s="182"/>
      <c r="BED1010" s="182"/>
      <c r="BEE1010" s="182"/>
      <c r="BEF1010" s="182"/>
      <c r="BEG1010" s="182"/>
      <c r="BEH1010" s="182"/>
      <c r="BEI1010" s="182"/>
      <c r="BEJ1010" s="182"/>
      <c r="BEK1010" s="182"/>
      <c r="BEL1010" s="182"/>
      <c r="BEM1010" s="182"/>
      <c r="BEN1010" s="182"/>
      <c r="BEO1010" s="182"/>
      <c r="BEP1010" s="182"/>
      <c r="BEQ1010" s="182"/>
      <c r="BER1010" s="182"/>
      <c r="BES1010" s="182"/>
      <c r="BET1010" s="182"/>
      <c r="BEU1010" s="182"/>
      <c r="BEV1010" s="182"/>
      <c r="BEW1010" s="182"/>
      <c r="BEX1010" s="182"/>
      <c r="BEY1010" s="182"/>
      <c r="BEZ1010" s="182"/>
      <c r="BFA1010" s="182"/>
      <c r="BFB1010" s="182"/>
      <c r="BFC1010" s="182"/>
      <c r="BFD1010" s="182"/>
      <c r="BFE1010" s="182"/>
      <c r="BFF1010" s="182"/>
      <c r="BFG1010" s="182"/>
      <c r="BFH1010" s="182"/>
      <c r="BFI1010" s="182"/>
      <c r="BFJ1010" s="182"/>
      <c r="BFK1010" s="182"/>
      <c r="BFL1010" s="182"/>
      <c r="BFM1010" s="182"/>
      <c r="BFN1010" s="182"/>
      <c r="BFO1010" s="182"/>
      <c r="BFP1010" s="182"/>
      <c r="BFQ1010" s="182"/>
      <c r="BFR1010" s="182"/>
      <c r="BFS1010" s="182"/>
      <c r="BFT1010" s="182"/>
      <c r="BFU1010" s="182"/>
      <c r="BFV1010" s="182"/>
      <c r="BFW1010" s="182"/>
      <c r="BFX1010" s="182"/>
      <c r="BFY1010" s="182"/>
      <c r="BFZ1010" s="182"/>
      <c r="BGA1010" s="182"/>
      <c r="BGB1010" s="182"/>
      <c r="BGC1010" s="182"/>
      <c r="BGD1010" s="182"/>
      <c r="BGE1010" s="182"/>
      <c r="BGF1010" s="182"/>
      <c r="BGG1010" s="182"/>
      <c r="BGH1010" s="182"/>
      <c r="BGI1010" s="182"/>
      <c r="BGJ1010" s="182"/>
      <c r="BGK1010" s="182"/>
      <c r="BGL1010" s="182"/>
      <c r="BGM1010" s="182"/>
      <c r="BGN1010" s="182"/>
      <c r="BGO1010" s="182"/>
      <c r="BGP1010" s="182"/>
      <c r="BGQ1010" s="182"/>
      <c r="BGR1010" s="182"/>
      <c r="BGS1010" s="182"/>
      <c r="BGT1010" s="182"/>
      <c r="BGU1010" s="182"/>
      <c r="BGV1010" s="182"/>
      <c r="BGW1010" s="182"/>
      <c r="BGX1010" s="182"/>
      <c r="BGY1010" s="182"/>
      <c r="BGZ1010" s="182"/>
      <c r="BHA1010" s="182"/>
      <c r="BHB1010" s="182"/>
      <c r="BHC1010" s="182"/>
      <c r="BHD1010" s="182"/>
      <c r="BHE1010" s="182"/>
      <c r="BHF1010" s="182"/>
      <c r="BHG1010" s="182"/>
      <c r="BHH1010" s="182"/>
      <c r="BHI1010" s="182"/>
      <c r="BHJ1010" s="182"/>
      <c r="BHK1010" s="182"/>
      <c r="BHL1010" s="182"/>
      <c r="BHM1010" s="182"/>
      <c r="BHN1010" s="182"/>
      <c r="BHO1010" s="182"/>
      <c r="BHP1010" s="182"/>
      <c r="BHQ1010" s="182"/>
      <c r="BHR1010" s="182"/>
      <c r="BHS1010" s="182"/>
      <c r="BHT1010" s="182"/>
      <c r="BHU1010" s="182"/>
      <c r="BHV1010" s="182"/>
      <c r="BHW1010" s="182"/>
      <c r="BHX1010" s="182"/>
      <c r="BHY1010" s="182"/>
      <c r="BHZ1010" s="182"/>
      <c r="BIA1010" s="182"/>
      <c r="BIB1010" s="182"/>
      <c r="BIC1010" s="182"/>
      <c r="BID1010" s="182"/>
      <c r="BIE1010" s="182"/>
      <c r="BIF1010" s="182"/>
      <c r="BIG1010" s="182"/>
      <c r="BIH1010" s="182"/>
      <c r="BII1010" s="182"/>
      <c r="BIJ1010" s="182"/>
      <c r="BIK1010" s="182"/>
      <c r="BIL1010" s="182"/>
      <c r="BIM1010" s="182"/>
      <c r="BIN1010" s="182"/>
      <c r="BIO1010" s="182"/>
      <c r="BIP1010" s="182"/>
      <c r="BIQ1010" s="182"/>
      <c r="BIR1010" s="182"/>
      <c r="BIS1010" s="182"/>
      <c r="BIT1010" s="182"/>
      <c r="BIU1010" s="182"/>
      <c r="BIV1010" s="182"/>
      <c r="BIW1010" s="182"/>
      <c r="BIX1010" s="182"/>
      <c r="BIY1010" s="182"/>
      <c r="BIZ1010" s="182"/>
      <c r="BJA1010" s="182"/>
      <c r="BJB1010" s="182"/>
      <c r="BJC1010" s="182"/>
      <c r="BJD1010" s="182"/>
      <c r="BJE1010" s="182"/>
      <c r="BJF1010" s="182"/>
      <c r="BJG1010" s="182"/>
      <c r="BJH1010" s="182"/>
      <c r="BJI1010" s="182"/>
      <c r="BJJ1010" s="182"/>
      <c r="BJK1010" s="182"/>
      <c r="BJL1010" s="182"/>
      <c r="BJM1010" s="182"/>
      <c r="BJN1010" s="182"/>
      <c r="BJO1010" s="182"/>
      <c r="BJP1010" s="182"/>
      <c r="BJQ1010" s="182"/>
      <c r="BJR1010" s="182"/>
      <c r="BJS1010" s="182"/>
      <c r="BJT1010" s="182"/>
      <c r="BJU1010" s="182"/>
      <c r="BJV1010" s="182"/>
      <c r="BJW1010" s="182"/>
      <c r="BJX1010" s="182"/>
      <c r="BJY1010" s="182"/>
      <c r="BJZ1010" s="182"/>
      <c r="BKA1010" s="182"/>
      <c r="BKB1010" s="182"/>
      <c r="BKC1010" s="182"/>
      <c r="BKD1010" s="182"/>
      <c r="BKE1010" s="182"/>
      <c r="BKF1010" s="182"/>
      <c r="BKG1010" s="182"/>
      <c r="BKH1010" s="182"/>
      <c r="BKI1010" s="182"/>
      <c r="BKJ1010" s="182"/>
      <c r="BKK1010" s="182"/>
      <c r="BKL1010" s="182"/>
      <c r="BKM1010" s="182"/>
      <c r="BKN1010" s="182"/>
      <c r="BKO1010" s="182"/>
      <c r="BKP1010" s="182"/>
      <c r="BKQ1010" s="182"/>
      <c r="BKR1010" s="182"/>
      <c r="BKS1010" s="182"/>
      <c r="BKT1010" s="182"/>
      <c r="BKU1010" s="182"/>
      <c r="BKV1010" s="182"/>
      <c r="BKW1010" s="182"/>
      <c r="BKX1010" s="182"/>
      <c r="BKY1010" s="182"/>
      <c r="BKZ1010" s="182"/>
      <c r="BLA1010" s="182"/>
      <c r="BLB1010" s="182"/>
      <c r="BLC1010" s="182"/>
      <c r="BLD1010" s="182"/>
      <c r="BLE1010" s="182"/>
      <c r="BLF1010" s="182"/>
      <c r="BLG1010" s="182"/>
      <c r="BLH1010" s="182"/>
      <c r="BLI1010" s="182"/>
      <c r="BLJ1010" s="182"/>
      <c r="BLK1010" s="182"/>
      <c r="BLL1010" s="182"/>
      <c r="BLM1010" s="182"/>
      <c r="BLN1010" s="182"/>
      <c r="BLO1010" s="182"/>
      <c r="BLP1010" s="182"/>
      <c r="BLQ1010" s="182"/>
      <c r="BLR1010" s="182"/>
      <c r="BLS1010" s="182"/>
      <c r="BLT1010" s="182"/>
      <c r="BLU1010" s="182"/>
      <c r="BLV1010" s="182"/>
      <c r="BLW1010" s="182"/>
      <c r="BLX1010" s="182"/>
      <c r="BLY1010" s="182"/>
      <c r="BLZ1010" s="182"/>
      <c r="BMA1010" s="182"/>
      <c r="BMB1010" s="182"/>
      <c r="BMC1010" s="182"/>
      <c r="BMD1010" s="182"/>
      <c r="BME1010" s="182"/>
      <c r="BMF1010" s="182"/>
      <c r="BMG1010" s="182"/>
      <c r="BMH1010" s="182"/>
      <c r="BMI1010" s="182"/>
      <c r="BMJ1010" s="182"/>
      <c r="BMK1010" s="182"/>
      <c r="BML1010" s="182"/>
      <c r="BMM1010" s="182"/>
      <c r="BMN1010" s="182"/>
      <c r="BMO1010" s="182"/>
      <c r="BMP1010" s="182"/>
      <c r="BMQ1010" s="182"/>
      <c r="BMR1010" s="182"/>
      <c r="BMS1010" s="182"/>
      <c r="BMT1010" s="182"/>
      <c r="BMU1010" s="182"/>
      <c r="BMV1010" s="182"/>
      <c r="BMW1010" s="182"/>
      <c r="BMX1010" s="182"/>
      <c r="BMY1010" s="182"/>
      <c r="BMZ1010" s="182"/>
      <c r="BNA1010" s="182"/>
      <c r="BNB1010" s="182"/>
      <c r="BNC1010" s="182"/>
      <c r="BND1010" s="182"/>
      <c r="BNE1010" s="182"/>
      <c r="BNF1010" s="182"/>
      <c r="BNG1010" s="182"/>
      <c r="BNH1010" s="182"/>
      <c r="BNI1010" s="182"/>
      <c r="BNJ1010" s="182"/>
      <c r="BNK1010" s="182"/>
      <c r="BNL1010" s="182"/>
      <c r="BNM1010" s="182"/>
      <c r="BNN1010" s="182"/>
      <c r="BNO1010" s="182"/>
      <c r="BNP1010" s="182"/>
      <c r="BNQ1010" s="182"/>
      <c r="BNR1010" s="182"/>
      <c r="BNS1010" s="182"/>
      <c r="BNT1010" s="182"/>
      <c r="BNU1010" s="182"/>
      <c r="BNV1010" s="182"/>
      <c r="BNW1010" s="182"/>
      <c r="BNX1010" s="182"/>
      <c r="BNY1010" s="182"/>
      <c r="BNZ1010" s="182"/>
      <c r="BOA1010" s="182"/>
      <c r="BOB1010" s="182"/>
      <c r="BOC1010" s="182"/>
      <c r="BOD1010" s="182"/>
      <c r="BOE1010" s="182"/>
      <c r="BOF1010" s="182"/>
      <c r="BOG1010" s="182"/>
      <c r="BOH1010" s="182"/>
      <c r="BOI1010" s="182"/>
      <c r="BOJ1010" s="182"/>
      <c r="BOK1010" s="182"/>
      <c r="BOL1010" s="182"/>
      <c r="BOM1010" s="182"/>
      <c r="BON1010" s="182"/>
      <c r="BOO1010" s="182"/>
      <c r="BOP1010" s="182"/>
      <c r="BOQ1010" s="182"/>
      <c r="BOR1010" s="182"/>
      <c r="BOS1010" s="182"/>
      <c r="BOT1010" s="182"/>
      <c r="BOU1010" s="182"/>
      <c r="BOV1010" s="182"/>
      <c r="BOW1010" s="182"/>
      <c r="BOX1010" s="182"/>
      <c r="BOY1010" s="182"/>
      <c r="BOZ1010" s="182"/>
      <c r="BPA1010" s="182"/>
      <c r="BPB1010" s="182"/>
      <c r="BPC1010" s="182"/>
      <c r="BPD1010" s="182"/>
      <c r="BPE1010" s="182"/>
      <c r="BPF1010" s="182"/>
      <c r="BPG1010" s="182"/>
      <c r="BPH1010" s="182"/>
      <c r="BPI1010" s="182"/>
      <c r="BPJ1010" s="182"/>
      <c r="BPK1010" s="182"/>
      <c r="BPL1010" s="182"/>
      <c r="BPM1010" s="182"/>
      <c r="BPN1010" s="182"/>
      <c r="BPO1010" s="182"/>
      <c r="BPP1010" s="182"/>
      <c r="BPQ1010" s="182"/>
      <c r="BPR1010" s="182"/>
      <c r="BPS1010" s="182"/>
      <c r="BPT1010" s="182"/>
      <c r="BPU1010" s="182"/>
      <c r="BPV1010" s="182"/>
      <c r="BPW1010" s="182"/>
      <c r="BPX1010" s="182"/>
      <c r="BPY1010" s="182"/>
      <c r="BPZ1010" s="182"/>
      <c r="BQA1010" s="182"/>
      <c r="BQB1010" s="182"/>
      <c r="BQC1010" s="182"/>
      <c r="BQD1010" s="182"/>
      <c r="BQE1010" s="182"/>
      <c r="BQF1010" s="182"/>
      <c r="BQG1010" s="182"/>
      <c r="BQH1010" s="182"/>
      <c r="BQI1010" s="182"/>
      <c r="BQJ1010" s="182"/>
      <c r="BQK1010" s="182"/>
      <c r="BQL1010" s="182"/>
      <c r="BQM1010" s="182"/>
      <c r="BQN1010" s="182"/>
      <c r="BQO1010" s="182"/>
      <c r="BQP1010" s="182"/>
      <c r="BQQ1010" s="182"/>
      <c r="BQR1010" s="182"/>
      <c r="BQS1010" s="182"/>
      <c r="BQT1010" s="182"/>
      <c r="BQU1010" s="182"/>
      <c r="BQV1010" s="182"/>
      <c r="BQW1010" s="182"/>
      <c r="BQX1010" s="182"/>
      <c r="BQY1010" s="182"/>
      <c r="BQZ1010" s="182"/>
      <c r="BRA1010" s="182"/>
      <c r="BRB1010" s="182"/>
      <c r="BRC1010" s="182"/>
      <c r="BRD1010" s="182"/>
      <c r="BRE1010" s="182"/>
      <c r="BRF1010" s="182"/>
      <c r="BRG1010" s="182"/>
      <c r="BRH1010" s="182"/>
      <c r="BRI1010" s="182"/>
      <c r="BRJ1010" s="182"/>
      <c r="BRK1010" s="182"/>
      <c r="BRL1010" s="182"/>
      <c r="BRM1010" s="182"/>
      <c r="BRN1010" s="182"/>
      <c r="BRO1010" s="182"/>
      <c r="BRP1010" s="182"/>
      <c r="BRQ1010" s="182"/>
      <c r="BRR1010" s="182"/>
      <c r="BRS1010" s="182"/>
      <c r="BRT1010" s="182"/>
      <c r="BRU1010" s="182"/>
      <c r="BRV1010" s="182"/>
      <c r="BRW1010" s="182"/>
      <c r="BRX1010" s="182"/>
      <c r="BRY1010" s="182"/>
      <c r="BRZ1010" s="182"/>
      <c r="BSA1010" s="182"/>
      <c r="BSB1010" s="182"/>
      <c r="BSC1010" s="182"/>
      <c r="BSD1010" s="182"/>
      <c r="BSE1010" s="182"/>
      <c r="BSF1010" s="182"/>
      <c r="BSG1010" s="182"/>
      <c r="BSH1010" s="182"/>
      <c r="BSI1010" s="182"/>
      <c r="BSJ1010" s="182"/>
      <c r="BSK1010" s="182"/>
      <c r="BSL1010" s="182"/>
      <c r="BSM1010" s="182"/>
      <c r="BSN1010" s="182"/>
      <c r="BSO1010" s="182"/>
      <c r="BSP1010" s="182"/>
      <c r="BSQ1010" s="182"/>
      <c r="BSR1010" s="182"/>
      <c r="BSS1010" s="182"/>
      <c r="BST1010" s="182"/>
      <c r="BSU1010" s="182"/>
      <c r="BSV1010" s="182"/>
      <c r="BSW1010" s="182"/>
      <c r="BSX1010" s="182"/>
      <c r="BSY1010" s="182"/>
      <c r="BSZ1010" s="182"/>
      <c r="BTA1010" s="182"/>
      <c r="BTB1010" s="182"/>
      <c r="BTC1010" s="182"/>
      <c r="BTD1010" s="182"/>
      <c r="BTE1010" s="182"/>
      <c r="BTF1010" s="182"/>
      <c r="BTG1010" s="182"/>
      <c r="BTH1010" s="182"/>
      <c r="BTI1010" s="182"/>
      <c r="BTJ1010" s="182"/>
      <c r="BTK1010" s="182"/>
      <c r="BTL1010" s="182"/>
      <c r="BTM1010" s="182"/>
      <c r="BTN1010" s="182"/>
      <c r="BTO1010" s="182"/>
      <c r="BTP1010" s="182"/>
      <c r="BTQ1010" s="182"/>
      <c r="BTR1010" s="182"/>
      <c r="BTS1010" s="182"/>
      <c r="BTT1010" s="182"/>
      <c r="BTU1010" s="182"/>
      <c r="BTV1010" s="182"/>
      <c r="BTW1010" s="182"/>
      <c r="BTX1010" s="182"/>
      <c r="BTY1010" s="182"/>
      <c r="BTZ1010" s="182"/>
      <c r="BUA1010" s="182"/>
      <c r="BUB1010" s="182"/>
      <c r="BUC1010" s="182"/>
      <c r="BUD1010" s="182"/>
      <c r="BUE1010" s="182"/>
      <c r="BUF1010" s="182"/>
      <c r="BUG1010" s="182"/>
      <c r="BUH1010" s="182"/>
      <c r="BUI1010" s="182"/>
      <c r="BUJ1010" s="182"/>
      <c r="BUK1010" s="182"/>
      <c r="BUL1010" s="182"/>
      <c r="BUM1010" s="182"/>
      <c r="BUN1010" s="182"/>
      <c r="BUO1010" s="182"/>
      <c r="BUP1010" s="182"/>
      <c r="BUQ1010" s="182"/>
      <c r="BUR1010" s="182"/>
      <c r="BUS1010" s="182"/>
      <c r="BUT1010" s="182"/>
      <c r="BUU1010" s="182"/>
      <c r="BUV1010" s="182"/>
      <c r="BUW1010" s="182"/>
      <c r="BUX1010" s="182"/>
      <c r="BUY1010" s="182"/>
      <c r="BUZ1010" s="182"/>
      <c r="BVA1010" s="182"/>
      <c r="BVB1010" s="182"/>
      <c r="BVC1010" s="182"/>
      <c r="BVD1010" s="182"/>
      <c r="BVE1010" s="182"/>
      <c r="BVF1010" s="182"/>
      <c r="BVG1010" s="182"/>
      <c r="BVH1010" s="182"/>
      <c r="BVI1010" s="182"/>
      <c r="BVJ1010" s="182"/>
      <c r="BVK1010" s="182"/>
      <c r="BVL1010" s="182"/>
      <c r="BVM1010" s="182"/>
      <c r="BVN1010" s="182"/>
      <c r="BVO1010" s="182"/>
      <c r="BVP1010" s="182"/>
      <c r="BVQ1010" s="182"/>
      <c r="BVR1010" s="182"/>
      <c r="BVS1010" s="182"/>
      <c r="BVT1010" s="182"/>
      <c r="BVU1010" s="182"/>
      <c r="BVV1010" s="182"/>
      <c r="BVW1010" s="182"/>
      <c r="BVX1010" s="182"/>
      <c r="BVY1010" s="182"/>
      <c r="BVZ1010" s="182"/>
      <c r="BWA1010" s="182"/>
      <c r="BWB1010" s="182"/>
      <c r="BWC1010" s="182"/>
      <c r="BWD1010" s="182"/>
      <c r="BWE1010" s="182"/>
      <c r="BWF1010" s="182"/>
      <c r="BWG1010" s="182"/>
      <c r="BWH1010" s="182"/>
      <c r="BWI1010" s="182"/>
      <c r="BWJ1010" s="182"/>
      <c r="BWK1010" s="182"/>
      <c r="BWL1010" s="182"/>
      <c r="BWM1010" s="182"/>
      <c r="BWN1010" s="182"/>
      <c r="BWO1010" s="182"/>
      <c r="BWP1010" s="182"/>
      <c r="BWQ1010" s="182"/>
      <c r="BWR1010" s="182"/>
      <c r="BWS1010" s="182"/>
      <c r="BWT1010" s="182"/>
      <c r="BWU1010" s="182"/>
      <c r="BWV1010" s="182"/>
      <c r="BWW1010" s="182"/>
      <c r="BWX1010" s="182"/>
      <c r="BWY1010" s="182"/>
      <c r="BWZ1010" s="182"/>
      <c r="BXA1010" s="182"/>
      <c r="BXB1010" s="182"/>
      <c r="BXC1010" s="182"/>
      <c r="BXD1010" s="182"/>
      <c r="BXE1010" s="182"/>
      <c r="BXF1010" s="182"/>
      <c r="BXG1010" s="182"/>
      <c r="BXH1010" s="182"/>
      <c r="BXI1010" s="182"/>
      <c r="BXJ1010" s="182"/>
      <c r="BXK1010" s="182"/>
      <c r="BXL1010" s="182"/>
      <c r="BXM1010" s="182"/>
      <c r="BXN1010" s="182"/>
      <c r="BXO1010" s="182"/>
      <c r="BXP1010" s="182"/>
      <c r="BXQ1010" s="182"/>
      <c r="BXR1010" s="182"/>
      <c r="BXS1010" s="182"/>
      <c r="BXT1010" s="182"/>
      <c r="BXU1010" s="182"/>
      <c r="BXV1010" s="182"/>
      <c r="BXW1010" s="182"/>
      <c r="BXX1010" s="182"/>
      <c r="BXY1010" s="182"/>
      <c r="BXZ1010" s="182"/>
      <c r="BYA1010" s="182"/>
      <c r="BYB1010" s="182"/>
      <c r="BYC1010" s="182"/>
      <c r="BYD1010" s="182"/>
      <c r="BYE1010" s="182"/>
      <c r="BYF1010" s="182"/>
      <c r="BYG1010" s="182"/>
      <c r="BYH1010" s="182"/>
      <c r="BYI1010" s="182"/>
      <c r="BYJ1010" s="182"/>
      <c r="BYK1010" s="182"/>
      <c r="BYL1010" s="182"/>
      <c r="BYM1010" s="182"/>
      <c r="BYN1010" s="182"/>
      <c r="BYO1010" s="182"/>
      <c r="BYP1010" s="182"/>
      <c r="BYQ1010" s="182"/>
      <c r="BYR1010" s="182"/>
      <c r="BYS1010" s="182"/>
      <c r="BYT1010" s="182"/>
      <c r="BYU1010" s="182"/>
      <c r="BYV1010" s="182"/>
      <c r="BYW1010" s="182"/>
      <c r="BYX1010" s="182"/>
      <c r="BYY1010" s="182"/>
      <c r="BYZ1010" s="182"/>
      <c r="BZA1010" s="182"/>
      <c r="BZB1010" s="182"/>
      <c r="BZC1010" s="182"/>
      <c r="BZD1010" s="182"/>
      <c r="BZE1010" s="182"/>
      <c r="BZF1010" s="182"/>
      <c r="BZG1010" s="182"/>
      <c r="BZH1010" s="182"/>
      <c r="BZI1010" s="182"/>
      <c r="BZJ1010" s="182"/>
      <c r="BZK1010" s="182"/>
      <c r="BZL1010" s="182"/>
      <c r="BZM1010" s="182"/>
      <c r="BZN1010" s="182"/>
      <c r="BZO1010" s="182"/>
      <c r="BZP1010" s="182"/>
      <c r="BZQ1010" s="182"/>
      <c r="BZR1010" s="182"/>
      <c r="BZS1010" s="182"/>
      <c r="BZT1010" s="182"/>
      <c r="BZU1010" s="182"/>
      <c r="BZV1010" s="182"/>
      <c r="BZW1010" s="182"/>
      <c r="BZX1010" s="182"/>
      <c r="BZY1010" s="182"/>
      <c r="BZZ1010" s="182"/>
      <c r="CAA1010" s="182"/>
      <c r="CAB1010" s="182"/>
      <c r="CAC1010" s="182"/>
      <c r="CAD1010" s="182"/>
      <c r="CAE1010" s="182"/>
      <c r="CAF1010" s="182"/>
      <c r="CAG1010" s="182"/>
      <c r="CAH1010" s="182"/>
      <c r="CAI1010" s="182"/>
      <c r="CAJ1010" s="182"/>
      <c r="CAK1010" s="182"/>
      <c r="CAL1010" s="182"/>
      <c r="CAM1010" s="182"/>
      <c r="CAN1010" s="182"/>
      <c r="CAO1010" s="182"/>
      <c r="CAP1010" s="182"/>
      <c r="CAQ1010" s="182"/>
      <c r="CAR1010" s="182"/>
      <c r="CAS1010" s="182"/>
      <c r="CAT1010" s="182"/>
      <c r="CAU1010" s="182"/>
      <c r="CAV1010" s="182"/>
      <c r="CAW1010" s="182"/>
      <c r="CAX1010" s="182"/>
      <c r="CAY1010" s="182"/>
      <c r="CAZ1010" s="182"/>
      <c r="CBA1010" s="182"/>
      <c r="CBB1010" s="182"/>
      <c r="CBC1010" s="182"/>
      <c r="CBD1010" s="182"/>
      <c r="CBE1010" s="182"/>
      <c r="CBF1010" s="182"/>
      <c r="CBG1010" s="182"/>
      <c r="CBH1010" s="182"/>
      <c r="CBI1010" s="182"/>
      <c r="CBJ1010" s="182"/>
      <c r="CBK1010" s="182"/>
      <c r="CBL1010" s="182"/>
      <c r="CBM1010" s="182"/>
      <c r="CBN1010" s="182"/>
      <c r="CBO1010" s="182"/>
      <c r="CBP1010" s="182"/>
      <c r="CBQ1010" s="182"/>
      <c r="CBR1010" s="182"/>
      <c r="CBS1010" s="182"/>
      <c r="CBT1010" s="182"/>
      <c r="CBU1010" s="182"/>
      <c r="CBV1010" s="182"/>
      <c r="CBW1010" s="182"/>
      <c r="CBX1010" s="182"/>
      <c r="CBY1010" s="182"/>
      <c r="CBZ1010" s="182"/>
      <c r="CCA1010" s="182"/>
      <c r="CCB1010" s="182"/>
      <c r="CCC1010" s="182"/>
      <c r="CCD1010" s="182"/>
      <c r="CCE1010" s="182"/>
      <c r="CCF1010" s="182"/>
      <c r="CCG1010" s="182"/>
      <c r="CCH1010" s="182"/>
      <c r="CCI1010" s="182"/>
      <c r="CCJ1010" s="182"/>
      <c r="CCK1010" s="182"/>
      <c r="CCL1010" s="182"/>
      <c r="CCM1010" s="182"/>
      <c r="CCN1010" s="182"/>
      <c r="CCO1010" s="182"/>
      <c r="CCP1010" s="182"/>
      <c r="CCQ1010" s="182"/>
      <c r="CCR1010" s="182"/>
      <c r="CCS1010" s="182"/>
      <c r="CCT1010" s="182"/>
      <c r="CCU1010" s="182"/>
      <c r="CCV1010" s="182"/>
      <c r="CCW1010" s="182"/>
      <c r="CCX1010" s="182"/>
      <c r="CCY1010" s="182"/>
      <c r="CCZ1010" s="182"/>
      <c r="CDA1010" s="182"/>
      <c r="CDB1010" s="182"/>
      <c r="CDC1010" s="182"/>
      <c r="CDD1010" s="182"/>
      <c r="CDE1010" s="182"/>
      <c r="CDF1010" s="182"/>
      <c r="CDG1010" s="182"/>
      <c r="CDH1010" s="182"/>
      <c r="CDI1010" s="182"/>
      <c r="CDJ1010" s="182"/>
      <c r="CDK1010" s="182"/>
      <c r="CDL1010" s="182"/>
      <c r="CDM1010" s="182"/>
      <c r="CDN1010" s="182"/>
      <c r="CDO1010" s="182"/>
      <c r="CDP1010" s="182"/>
      <c r="CDQ1010" s="182"/>
      <c r="CDR1010" s="182"/>
      <c r="CDS1010" s="182"/>
      <c r="CDT1010" s="182"/>
      <c r="CDU1010" s="182"/>
      <c r="CDV1010" s="182"/>
      <c r="CDW1010" s="182"/>
      <c r="CDX1010" s="182"/>
      <c r="CDY1010" s="182"/>
      <c r="CDZ1010" s="182"/>
      <c r="CEA1010" s="182"/>
      <c r="CEB1010" s="182"/>
      <c r="CEC1010" s="182"/>
      <c r="CED1010" s="182"/>
      <c r="CEE1010" s="182"/>
      <c r="CEF1010" s="182"/>
      <c r="CEG1010" s="182"/>
      <c r="CEH1010" s="182"/>
      <c r="CEI1010" s="182"/>
      <c r="CEJ1010" s="182"/>
      <c r="CEK1010" s="182"/>
      <c r="CEL1010" s="182"/>
      <c r="CEM1010" s="182"/>
      <c r="CEN1010" s="182"/>
      <c r="CEO1010" s="182"/>
      <c r="CEP1010" s="182"/>
      <c r="CEQ1010" s="182"/>
      <c r="CER1010" s="182"/>
      <c r="CES1010" s="182"/>
      <c r="CET1010" s="182"/>
      <c r="CEU1010" s="182"/>
      <c r="CEV1010" s="182"/>
      <c r="CEW1010" s="182"/>
      <c r="CEX1010" s="182"/>
      <c r="CEY1010" s="182"/>
      <c r="CEZ1010" s="182"/>
      <c r="CFA1010" s="182"/>
      <c r="CFB1010" s="182"/>
      <c r="CFC1010" s="182"/>
      <c r="CFD1010" s="182"/>
      <c r="CFE1010" s="182"/>
      <c r="CFF1010" s="182"/>
      <c r="CFG1010" s="182"/>
      <c r="CFH1010" s="182"/>
      <c r="CFI1010" s="182"/>
      <c r="CFJ1010" s="182"/>
      <c r="CFK1010" s="182"/>
      <c r="CFL1010" s="182"/>
      <c r="CFM1010" s="182"/>
      <c r="CFN1010" s="182"/>
      <c r="CFO1010" s="182"/>
      <c r="CFP1010" s="182"/>
      <c r="CFQ1010" s="182"/>
      <c r="CFR1010" s="182"/>
      <c r="CFS1010" s="182"/>
      <c r="CFT1010" s="182"/>
      <c r="CFU1010" s="182"/>
      <c r="CFV1010" s="182"/>
      <c r="CFW1010" s="182"/>
      <c r="CFX1010" s="182"/>
      <c r="CFY1010" s="182"/>
      <c r="CFZ1010" s="182"/>
      <c r="CGA1010" s="182"/>
      <c r="CGB1010" s="182"/>
      <c r="CGC1010" s="182"/>
      <c r="CGD1010" s="182"/>
      <c r="CGE1010" s="182"/>
      <c r="CGF1010" s="182"/>
      <c r="CGG1010" s="182"/>
      <c r="CGH1010" s="182"/>
      <c r="CGI1010" s="182"/>
      <c r="CGJ1010" s="182"/>
      <c r="CGK1010" s="182"/>
      <c r="CGL1010" s="182"/>
      <c r="CGM1010" s="182"/>
      <c r="CGN1010" s="182"/>
      <c r="CGO1010" s="182"/>
      <c r="CGP1010" s="182"/>
      <c r="CGQ1010" s="182"/>
      <c r="CGR1010" s="182"/>
      <c r="CGS1010" s="182"/>
      <c r="CGT1010" s="182"/>
      <c r="CGU1010" s="182"/>
      <c r="CGV1010" s="182"/>
      <c r="CGW1010" s="182"/>
      <c r="CGX1010" s="182"/>
      <c r="CGY1010" s="182"/>
      <c r="CGZ1010" s="182"/>
      <c r="CHA1010" s="182"/>
      <c r="CHB1010" s="182"/>
      <c r="CHC1010" s="182"/>
      <c r="CHD1010" s="182"/>
      <c r="CHE1010" s="182"/>
      <c r="CHF1010" s="182"/>
      <c r="CHG1010" s="182"/>
      <c r="CHH1010" s="182"/>
      <c r="CHI1010" s="182"/>
      <c r="CHJ1010" s="182"/>
      <c r="CHK1010" s="182"/>
      <c r="CHL1010" s="182"/>
      <c r="CHM1010" s="182"/>
      <c r="CHN1010" s="182"/>
      <c r="CHO1010" s="182"/>
      <c r="CHP1010" s="182"/>
      <c r="CHQ1010" s="182"/>
      <c r="CHR1010" s="182"/>
      <c r="CHS1010" s="182"/>
      <c r="CHT1010" s="182"/>
      <c r="CHU1010" s="182"/>
      <c r="CHV1010" s="182"/>
      <c r="CHW1010" s="182"/>
      <c r="CHX1010" s="182"/>
      <c r="CHY1010" s="182"/>
      <c r="CHZ1010" s="182"/>
      <c r="CIA1010" s="182"/>
      <c r="CIB1010" s="182"/>
      <c r="CIC1010" s="182"/>
      <c r="CID1010" s="182"/>
      <c r="CIE1010" s="182"/>
      <c r="CIF1010" s="182"/>
      <c r="CIG1010" s="182"/>
      <c r="CIH1010" s="182"/>
      <c r="CII1010" s="182"/>
      <c r="CIJ1010" s="182"/>
      <c r="CIK1010" s="182"/>
      <c r="CIL1010" s="182"/>
      <c r="CIM1010" s="182"/>
      <c r="CIN1010" s="182"/>
      <c r="CIO1010" s="182"/>
      <c r="CIP1010" s="182"/>
      <c r="CIQ1010" s="182"/>
      <c r="CIR1010" s="182"/>
      <c r="CIS1010" s="182"/>
      <c r="CIT1010" s="182"/>
      <c r="CIU1010" s="182"/>
      <c r="CIV1010" s="182"/>
      <c r="CIW1010" s="182"/>
      <c r="CIX1010" s="182"/>
      <c r="CIY1010" s="182"/>
      <c r="CIZ1010" s="182"/>
      <c r="CJA1010" s="182"/>
      <c r="CJB1010" s="182"/>
      <c r="CJC1010" s="182"/>
      <c r="CJD1010" s="182"/>
      <c r="CJE1010" s="182"/>
      <c r="CJF1010" s="182"/>
      <c r="CJG1010" s="182"/>
      <c r="CJH1010" s="182"/>
      <c r="CJI1010" s="182"/>
      <c r="CJJ1010" s="182"/>
      <c r="CJK1010" s="182"/>
      <c r="CJL1010" s="182"/>
      <c r="CJM1010" s="182"/>
      <c r="CJN1010" s="182"/>
      <c r="CJO1010" s="182"/>
      <c r="CJP1010" s="182"/>
      <c r="CJQ1010" s="182"/>
      <c r="CJR1010" s="182"/>
      <c r="CJS1010" s="182"/>
      <c r="CJT1010" s="182"/>
      <c r="CJU1010" s="182"/>
      <c r="CJV1010" s="182"/>
      <c r="CJW1010" s="182"/>
      <c r="CJX1010" s="182"/>
      <c r="CJY1010" s="182"/>
      <c r="CJZ1010" s="182"/>
      <c r="CKA1010" s="182"/>
      <c r="CKB1010" s="182"/>
      <c r="CKC1010" s="182"/>
      <c r="CKD1010" s="182"/>
      <c r="CKE1010" s="182"/>
      <c r="CKF1010" s="182"/>
      <c r="CKG1010" s="182"/>
      <c r="CKH1010" s="182"/>
      <c r="CKI1010" s="182"/>
      <c r="CKJ1010" s="182"/>
      <c r="CKK1010" s="182"/>
      <c r="CKL1010" s="182"/>
      <c r="CKM1010" s="182"/>
      <c r="CKN1010" s="182"/>
      <c r="CKO1010" s="182"/>
      <c r="CKP1010" s="182"/>
      <c r="CKQ1010" s="182"/>
      <c r="CKR1010" s="182"/>
      <c r="CKS1010" s="182"/>
      <c r="CKT1010" s="182"/>
      <c r="CKU1010" s="182"/>
      <c r="CKV1010" s="182"/>
      <c r="CKW1010" s="182"/>
      <c r="CKX1010" s="182"/>
      <c r="CKY1010" s="182"/>
      <c r="CKZ1010" s="182"/>
      <c r="CLA1010" s="182"/>
      <c r="CLB1010" s="182"/>
      <c r="CLC1010" s="182"/>
      <c r="CLD1010" s="182"/>
      <c r="CLE1010" s="182"/>
      <c r="CLF1010" s="182"/>
      <c r="CLG1010" s="182"/>
      <c r="CLH1010" s="182"/>
      <c r="CLI1010" s="182"/>
      <c r="CLJ1010" s="182"/>
      <c r="CLK1010" s="182"/>
      <c r="CLL1010" s="182"/>
      <c r="CLM1010" s="182"/>
      <c r="CLN1010" s="182"/>
      <c r="CLO1010" s="182"/>
      <c r="CLP1010" s="182"/>
      <c r="CLQ1010" s="182"/>
      <c r="CLR1010" s="182"/>
      <c r="CLS1010" s="182"/>
      <c r="CLT1010" s="182"/>
      <c r="CLU1010" s="182"/>
      <c r="CLV1010" s="182"/>
      <c r="CLW1010" s="182"/>
      <c r="CLX1010" s="182"/>
      <c r="CLY1010" s="182"/>
      <c r="CLZ1010" s="182"/>
      <c r="CMA1010" s="182"/>
      <c r="CMB1010" s="182"/>
      <c r="CMC1010" s="182"/>
      <c r="CMD1010" s="182"/>
      <c r="CME1010" s="182"/>
      <c r="CMF1010" s="182"/>
      <c r="CMG1010" s="182"/>
      <c r="CMH1010" s="182"/>
      <c r="CMI1010" s="182"/>
      <c r="CMJ1010" s="182"/>
      <c r="CMK1010" s="182"/>
      <c r="CML1010" s="182"/>
      <c r="CMM1010" s="182"/>
      <c r="CMN1010" s="182"/>
      <c r="CMO1010" s="182"/>
      <c r="CMP1010" s="182"/>
      <c r="CMQ1010" s="182"/>
      <c r="CMR1010" s="182"/>
      <c r="CMS1010" s="182"/>
      <c r="CMT1010" s="182"/>
      <c r="CMU1010" s="182"/>
      <c r="CMV1010" s="182"/>
      <c r="CMW1010" s="182"/>
      <c r="CMX1010" s="182"/>
      <c r="CMY1010" s="182"/>
      <c r="CMZ1010" s="182"/>
      <c r="CNA1010" s="182"/>
      <c r="CNB1010" s="182"/>
      <c r="CNC1010" s="182"/>
      <c r="CND1010" s="182"/>
      <c r="CNE1010" s="182"/>
      <c r="CNF1010" s="182"/>
      <c r="CNG1010" s="182"/>
      <c r="CNH1010" s="182"/>
      <c r="CNI1010" s="182"/>
      <c r="CNJ1010" s="182"/>
      <c r="CNK1010" s="182"/>
      <c r="CNL1010" s="182"/>
      <c r="CNM1010" s="182"/>
      <c r="CNN1010" s="182"/>
      <c r="CNO1010" s="182"/>
      <c r="CNP1010" s="182"/>
      <c r="CNQ1010" s="182"/>
      <c r="CNR1010" s="182"/>
      <c r="CNS1010" s="182"/>
      <c r="CNT1010" s="182"/>
      <c r="CNU1010" s="182"/>
      <c r="CNV1010" s="182"/>
      <c r="CNW1010" s="182"/>
      <c r="CNX1010" s="182"/>
      <c r="CNY1010" s="182"/>
      <c r="CNZ1010" s="182"/>
      <c r="COA1010" s="182"/>
      <c r="COB1010" s="182"/>
      <c r="COC1010" s="182"/>
      <c r="COD1010" s="182"/>
      <c r="COE1010" s="182"/>
      <c r="COF1010" s="182"/>
      <c r="COG1010" s="182"/>
      <c r="COH1010" s="182"/>
      <c r="COI1010" s="182"/>
      <c r="COJ1010" s="182"/>
      <c r="COK1010" s="182"/>
      <c r="COL1010" s="182"/>
      <c r="COM1010" s="182"/>
      <c r="CON1010" s="182"/>
      <c r="COO1010" s="182"/>
      <c r="COP1010" s="182"/>
      <c r="COQ1010" s="182"/>
      <c r="COR1010" s="182"/>
      <c r="COS1010" s="182"/>
      <c r="COT1010" s="182"/>
      <c r="COU1010" s="182"/>
      <c r="COV1010" s="182"/>
      <c r="COW1010" s="182"/>
      <c r="COX1010" s="182"/>
      <c r="COY1010" s="182"/>
      <c r="COZ1010" s="182"/>
      <c r="CPA1010" s="182"/>
      <c r="CPB1010" s="182"/>
      <c r="CPC1010" s="182"/>
      <c r="CPD1010" s="182"/>
      <c r="CPE1010" s="182"/>
      <c r="CPF1010" s="182"/>
      <c r="CPG1010" s="182"/>
      <c r="CPH1010" s="182"/>
      <c r="CPI1010" s="182"/>
      <c r="CPJ1010" s="182"/>
      <c r="CPK1010" s="182"/>
      <c r="CPL1010" s="182"/>
      <c r="CPM1010" s="182"/>
      <c r="CPN1010" s="182"/>
      <c r="CPO1010" s="182"/>
      <c r="CPP1010" s="182"/>
      <c r="CPQ1010" s="182"/>
      <c r="CPR1010" s="182"/>
      <c r="CPS1010" s="182"/>
      <c r="CPT1010" s="182"/>
      <c r="CPU1010" s="182"/>
      <c r="CPV1010" s="182"/>
      <c r="CPW1010" s="182"/>
      <c r="CPX1010" s="182"/>
      <c r="CPY1010" s="182"/>
      <c r="CPZ1010" s="182"/>
      <c r="CQA1010" s="182"/>
      <c r="CQB1010" s="182"/>
      <c r="CQC1010" s="182"/>
      <c r="CQD1010" s="182"/>
      <c r="CQE1010" s="182"/>
      <c r="CQF1010" s="182"/>
      <c r="CQG1010" s="182"/>
      <c r="CQH1010" s="182"/>
      <c r="CQI1010" s="182"/>
      <c r="CQJ1010" s="182"/>
      <c r="CQK1010" s="182"/>
      <c r="CQL1010" s="182"/>
      <c r="CQM1010" s="182"/>
      <c r="CQN1010" s="182"/>
      <c r="CQO1010" s="182"/>
      <c r="CQP1010" s="182"/>
      <c r="CQQ1010" s="182"/>
      <c r="CQR1010" s="182"/>
      <c r="CQS1010" s="182"/>
      <c r="CQT1010" s="182"/>
      <c r="CQU1010" s="182"/>
      <c r="CQV1010" s="182"/>
      <c r="CQW1010" s="182"/>
      <c r="CQX1010" s="182"/>
      <c r="CQY1010" s="182"/>
      <c r="CQZ1010" s="182"/>
      <c r="CRA1010" s="182"/>
      <c r="CRB1010" s="182"/>
      <c r="CRC1010" s="182"/>
      <c r="CRD1010" s="182"/>
      <c r="CRE1010" s="182"/>
      <c r="CRF1010" s="182"/>
      <c r="CRG1010" s="182"/>
      <c r="CRH1010" s="182"/>
      <c r="CRI1010" s="182"/>
      <c r="CRJ1010" s="182"/>
      <c r="CRK1010" s="182"/>
      <c r="CRL1010" s="182"/>
      <c r="CRM1010" s="182"/>
      <c r="CRN1010" s="182"/>
      <c r="CRO1010" s="182"/>
      <c r="CRP1010" s="182"/>
      <c r="CRQ1010" s="182"/>
      <c r="CRR1010" s="182"/>
      <c r="CRS1010" s="182"/>
      <c r="CRT1010" s="182"/>
      <c r="CRU1010" s="182"/>
      <c r="CRV1010" s="182"/>
      <c r="CRW1010" s="182"/>
      <c r="CRX1010" s="182"/>
      <c r="CRY1010" s="182"/>
      <c r="CRZ1010" s="182"/>
      <c r="CSA1010" s="182"/>
      <c r="CSB1010" s="182"/>
      <c r="CSC1010" s="182"/>
      <c r="CSD1010" s="182"/>
      <c r="CSE1010" s="182"/>
      <c r="CSF1010" s="182"/>
      <c r="CSG1010" s="182"/>
      <c r="CSH1010" s="182"/>
      <c r="CSI1010" s="182"/>
      <c r="CSJ1010" s="182"/>
      <c r="CSK1010" s="182"/>
      <c r="CSL1010" s="182"/>
      <c r="CSM1010" s="182"/>
      <c r="CSN1010" s="182"/>
      <c r="CSO1010" s="182"/>
      <c r="CSP1010" s="182"/>
      <c r="CSQ1010" s="182"/>
      <c r="CSR1010" s="182"/>
      <c r="CSS1010" s="182"/>
      <c r="CST1010" s="182"/>
      <c r="CSU1010" s="182"/>
      <c r="CSV1010" s="182"/>
      <c r="CSW1010" s="182"/>
      <c r="CSX1010" s="182"/>
      <c r="CSY1010" s="182"/>
      <c r="CSZ1010" s="182"/>
      <c r="CTA1010" s="182"/>
      <c r="CTB1010" s="182"/>
      <c r="CTC1010" s="182"/>
      <c r="CTD1010" s="182"/>
      <c r="CTE1010" s="182"/>
      <c r="CTF1010" s="182"/>
      <c r="CTG1010" s="182"/>
      <c r="CTH1010" s="182"/>
      <c r="CTI1010" s="182"/>
      <c r="CTJ1010" s="182"/>
      <c r="CTK1010" s="182"/>
      <c r="CTL1010" s="182"/>
      <c r="CTM1010" s="182"/>
      <c r="CTN1010" s="182"/>
      <c r="CTO1010" s="182"/>
      <c r="CTP1010" s="182"/>
      <c r="CTQ1010" s="182"/>
      <c r="CTR1010" s="182"/>
      <c r="CTS1010" s="182"/>
      <c r="CTT1010" s="182"/>
      <c r="CTU1010" s="182"/>
      <c r="CTV1010" s="182"/>
      <c r="CTW1010" s="182"/>
      <c r="CTX1010" s="182"/>
      <c r="CTY1010" s="182"/>
      <c r="CTZ1010" s="182"/>
      <c r="CUA1010" s="182"/>
      <c r="CUB1010" s="182"/>
      <c r="CUC1010" s="182"/>
      <c r="CUD1010" s="182"/>
      <c r="CUE1010" s="182"/>
      <c r="CUF1010" s="182"/>
      <c r="CUG1010" s="182"/>
      <c r="CUH1010" s="182"/>
      <c r="CUI1010" s="182"/>
      <c r="CUJ1010" s="182"/>
      <c r="CUK1010" s="182"/>
      <c r="CUL1010" s="182"/>
      <c r="CUM1010" s="182"/>
      <c r="CUN1010" s="182"/>
      <c r="CUO1010" s="182"/>
      <c r="CUP1010" s="182"/>
      <c r="CUQ1010" s="182"/>
      <c r="CUR1010" s="182"/>
      <c r="CUS1010" s="182"/>
      <c r="CUT1010" s="182"/>
      <c r="CUU1010" s="182"/>
      <c r="CUV1010" s="182"/>
      <c r="CUW1010" s="182"/>
      <c r="CUX1010" s="182"/>
      <c r="CUY1010" s="182"/>
      <c r="CUZ1010" s="182"/>
      <c r="CVA1010" s="182"/>
      <c r="CVB1010" s="182"/>
      <c r="CVC1010" s="182"/>
      <c r="CVD1010" s="182"/>
      <c r="CVE1010" s="182"/>
      <c r="CVF1010" s="182"/>
      <c r="CVG1010" s="182"/>
      <c r="CVH1010" s="182"/>
      <c r="CVI1010" s="182"/>
      <c r="CVJ1010" s="182"/>
      <c r="CVK1010" s="182"/>
      <c r="CVL1010" s="182"/>
      <c r="CVM1010" s="182"/>
      <c r="CVN1010" s="182"/>
      <c r="CVO1010" s="182"/>
      <c r="CVP1010" s="182"/>
      <c r="CVQ1010" s="182"/>
      <c r="CVR1010" s="182"/>
      <c r="CVS1010" s="182"/>
      <c r="CVT1010" s="182"/>
      <c r="CVU1010" s="182"/>
      <c r="CVV1010" s="182"/>
      <c r="CVW1010" s="182"/>
      <c r="CVX1010" s="182"/>
      <c r="CVY1010" s="182"/>
      <c r="CVZ1010" s="182"/>
      <c r="CWA1010" s="182"/>
      <c r="CWB1010" s="182"/>
      <c r="CWC1010" s="182"/>
      <c r="CWD1010" s="182"/>
      <c r="CWE1010" s="182"/>
      <c r="CWF1010" s="182"/>
      <c r="CWG1010" s="182"/>
      <c r="CWH1010" s="182"/>
      <c r="CWI1010" s="182"/>
      <c r="CWJ1010" s="182"/>
      <c r="CWK1010" s="182"/>
      <c r="CWL1010" s="182"/>
      <c r="CWM1010" s="182"/>
      <c r="CWN1010" s="182"/>
      <c r="CWO1010" s="182"/>
      <c r="CWP1010" s="182"/>
      <c r="CWQ1010" s="182"/>
      <c r="CWR1010" s="182"/>
      <c r="CWS1010" s="182"/>
      <c r="CWT1010" s="182"/>
      <c r="CWU1010" s="182"/>
      <c r="CWV1010" s="182"/>
      <c r="CWW1010" s="182"/>
      <c r="CWX1010" s="182"/>
      <c r="CWY1010" s="182"/>
      <c r="CWZ1010" s="182"/>
      <c r="CXA1010" s="182"/>
      <c r="CXB1010" s="182"/>
      <c r="CXC1010" s="182"/>
      <c r="CXD1010" s="182"/>
      <c r="CXE1010" s="182"/>
      <c r="CXF1010" s="182"/>
      <c r="CXG1010" s="182"/>
      <c r="CXH1010" s="182"/>
      <c r="CXI1010" s="182"/>
      <c r="CXJ1010" s="182"/>
      <c r="CXK1010" s="182"/>
      <c r="CXL1010" s="182"/>
      <c r="CXM1010" s="182"/>
      <c r="CXN1010" s="182"/>
      <c r="CXO1010" s="182"/>
      <c r="CXP1010" s="182"/>
      <c r="CXQ1010" s="182"/>
      <c r="CXR1010" s="182"/>
      <c r="CXS1010" s="182"/>
      <c r="CXT1010" s="182"/>
      <c r="CXU1010" s="182"/>
      <c r="CXV1010" s="182"/>
      <c r="CXW1010" s="182"/>
      <c r="CXX1010" s="182"/>
      <c r="CXY1010" s="182"/>
      <c r="CXZ1010" s="182"/>
      <c r="CYA1010" s="182"/>
      <c r="CYB1010" s="182"/>
      <c r="CYC1010" s="182"/>
      <c r="CYD1010" s="182"/>
      <c r="CYE1010" s="182"/>
      <c r="CYF1010" s="182"/>
      <c r="CYG1010" s="182"/>
      <c r="CYH1010" s="182"/>
      <c r="CYI1010" s="182"/>
      <c r="CYJ1010" s="182"/>
      <c r="CYK1010" s="182"/>
      <c r="CYL1010" s="182"/>
      <c r="CYM1010" s="182"/>
      <c r="CYN1010" s="182"/>
      <c r="CYO1010" s="182"/>
      <c r="CYP1010" s="182"/>
      <c r="CYQ1010" s="182"/>
      <c r="CYR1010" s="182"/>
      <c r="CYS1010" s="182"/>
      <c r="CYT1010" s="182"/>
      <c r="CYU1010" s="182"/>
      <c r="CYV1010" s="182"/>
      <c r="CYW1010" s="182"/>
      <c r="CYX1010" s="182"/>
      <c r="CYY1010" s="182"/>
      <c r="CYZ1010" s="182"/>
      <c r="CZA1010" s="182"/>
      <c r="CZB1010" s="182"/>
      <c r="CZC1010" s="182"/>
      <c r="CZD1010" s="182"/>
      <c r="CZE1010" s="182"/>
      <c r="CZF1010" s="182"/>
      <c r="CZG1010" s="182"/>
      <c r="CZH1010" s="182"/>
      <c r="CZI1010" s="182"/>
      <c r="CZJ1010" s="182"/>
      <c r="CZK1010" s="182"/>
      <c r="CZL1010" s="182"/>
      <c r="CZM1010" s="182"/>
      <c r="CZN1010" s="182"/>
      <c r="CZO1010" s="182"/>
      <c r="CZP1010" s="182"/>
      <c r="CZQ1010" s="182"/>
      <c r="CZR1010" s="182"/>
      <c r="CZS1010" s="182"/>
      <c r="CZT1010" s="182"/>
      <c r="CZU1010" s="182"/>
      <c r="CZV1010" s="182"/>
      <c r="CZW1010" s="182"/>
      <c r="CZX1010" s="182"/>
      <c r="CZY1010" s="182"/>
      <c r="CZZ1010" s="182"/>
      <c r="DAA1010" s="182"/>
      <c r="DAB1010" s="182"/>
      <c r="DAC1010" s="182"/>
      <c r="DAD1010" s="182"/>
      <c r="DAE1010" s="182"/>
      <c r="DAF1010" s="182"/>
      <c r="DAG1010" s="182"/>
      <c r="DAH1010" s="182"/>
      <c r="DAI1010" s="182"/>
      <c r="DAJ1010" s="182"/>
      <c r="DAK1010" s="182"/>
      <c r="DAL1010" s="182"/>
      <c r="DAM1010" s="182"/>
      <c r="DAN1010" s="182"/>
      <c r="DAO1010" s="182"/>
      <c r="DAP1010" s="182"/>
      <c r="DAQ1010" s="182"/>
      <c r="DAR1010" s="182"/>
      <c r="DAS1010" s="182"/>
      <c r="DAT1010" s="182"/>
      <c r="DAU1010" s="182"/>
      <c r="DAV1010" s="182"/>
      <c r="DAW1010" s="182"/>
      <c r="DAX1010" s="182"/>
      <c r="DAY1010" s="182"/>
      <c r="DAZ1010" s="182"/>
      <c r="DBA1010" s="182"/>
      <c r="DBB1010" s="182"/>
      <c r="DBC1010" s="182"/>
      <c r="DBD1010" s="182"/>
      <c r="DBE1010" s="182"/>
      <c r="DBF1010" s="182"/>
      <c r="DBG1010" s="182"/>
      <c r="DBH1010" s="182"/>
      <c r="DBI1010" s="182"/>
      <c r="DBJ1010" s="182"/>
      <c r="DBK1010" s="182"/>
      <c r="DBL1010" s="182"/>
      <c r="DBM1010" s="182"/>
      <c r="DBN1010" s="182"/>
      <c r="DBO1010" s="182"/>
      <c r="DBP1010" s="182"/>
      <c r="DBQ1010" s="182"/>
      <c r="DBR1010" s="182"/>
      <c r="DBS1010" s="182"/>
      <c r="DBT1010" s="182"/>
      <c r="DBU1010" s="182"/>
      <c r="DBV1010" s="182"/>
      <c r="DBW1010" s="182"/>
      <c r="DBX1010" s="182"/>
      <c r="DBY1010" s="182"/>
      <c r="DBZ1010" s="182"/>
      <c r="DCA1010" s="182"/>
      <c r="DCB1010" s="182"/>
      <c r="DCC1010" s="182"/>
      <c r="DCD1010" s="182"/>
      <c r="DCE1010" s="182"/>
      <c r="DCF1010" s="182"/>
      <c r="DCG1010" s="182"/>
      <c r="DCH1010" s="182"/>
      <c r="DCI1010" s="182"/>
      <c r="DCJ1010" s="182"/>
      <c r="DCK1010" s="182"/>
      <c r="DCL1010" s="182"/>
      <c r="DCM1010" s="182"/>
      <c r="DCN1010" s="182"/>
      <c r="DCO1010" s="182"/>
      <c r="DCP1010" s="182"/>
      <c r="DCQ1010" s="182"/>
      <c r="DCR1010" s="182"/>
      <c r="DCS1010" s="182"/>
      <c r="DCT1010" s="182"/>
      <c r="DCU1010" s="182"/>
      <c r="DCV1010" s="182"/>
      <c r="DCW1010" s="182"/>
      <c r="DCX1010" s="182"/>
      <c r="DCY1010" s="182"/>
      <c r="DCZ1010" s="182"/>
      <c r="DDA1010" s="182"/>
      <c r="DDB1010" s="182"/>
      <c r="DDC1010" s="182"/>
      <c r="DDD1010" s="182"/>
      <c r="DDE1010" s="182"/>
      <c r="DDF1010" s="182"/>
      <c r="DDG1010" s="182"/>
      <c r="DDH1010" s="182"/>
      <c r="DDI1010" s="182"/>
      <c r="DDJ1010" s="182"/>
      <c r="DDK1010" s="182"/>
      <c r="DDL1010" s="182"/>
      <c r="DDM1010" s="182"/>
      <c r="DDN1010" s="182"/>
      <c r="DDO1010" s="182"/>
      <c r="DDP1010" s="182"/>
      <c r="DDQ1010" s="182"/>
      <c r="DDR1010" s="182"/>
      <c r="DDS1010" s="182"/>
      <c r="DDT1010" s="182"/>
      <c r="DDU1010" s="182"/>
      <c r="DDV1010" s="182"/>
      <c r="DDW1010" s="182"/>
      <c r="DDX1010" s="182"/>
      <c r="DDY1010" s="182"/>
      <c r="DDZ1010" s="182"/>
      <c r="DEA1010" s="182"/>
      <c r="DEB1010" s="182"/>
      <c r="DEC1010" s="182"/>
      <c r="DED1010" s="182"/>
      <c r="DEE1010" s="182"/>
      <c r="DEF1010" s="182"/>
      <c r="DEG1010" s="182"/>
      <c r="DEH1010" s="182"/>
      <c r="DEI1010" s="182"/>
      <c r="DEJ1010" s="182"/>
      <c r="DEK1010" s="182"/>
      <c r="DEL1010" s="182"/>
      <c r="DEM1010" s="182"/>
      <c r="DEN1010" s="182"/>
      <c r="DEO1010" s="182"/>
      <c r="DEP1010" s="182"/>
      <c r="DEQ1010" s="182"/>
      <c r="DER1010" s="182"/>
      <c r="DES1010" s="182"/>
      <c r="DET1010" s="182"/>
      <c r="DEU1010" s="182"/>
      <c r="DEV1010" s="182"/>
      <c r="DEW1010" s="182"/>
      <c r="DEX1010" s="182"/>
      <c r="DEY1010" s="182"/>
      <c r="DEZ1010" s="182"/>
      <c r="DFA1010" s="182"/>
      <c r="DFB1010" s="182"/>
      <c r="DFC1010" s="182"/>
      <c r="DFD1010" s="182"/>
      <c r="DFE1010" s="182"/>
      <c r="DFF1010" s="182"/>
      <c r="DFG1010" s="182"/>
      <c r="DFH1010" s="182"/>
      <c r="DFI1010" s="182"/>
      <c r="DFJ1010" s="182"/>
      <c r="DFK1010" s="182"/>
      <c r="DFL1010" s="182"/>
      <c r="DFM1010" s="182"/>
      <c r="DFN1010" s="182"/>
      <c r="DFO1010" s="182"/>
      <c r="DFP1010" s="182"/>
      <c r="DFQ1010" s="182"/>
      <c r="DFR1010" s="182"/>
      <c r="DFS1010" s="182"/>
      <c r="DFT1010" s="182"/>
      <c r="DFU1010" s="182"/>
      <c r="DFV1010" s="182"/>
      <c r="DFW1010" s="182"/>
      <c r="DFX1010" s="182"/>
      <c r="DFY1010" s="182"/>
      <c r="DFZ1010" s="182"/>
      <c r="DGA1010" s="182"/>
      <c r="DGB1010" s="182"/>
      <c r="DGC1010" s="182"/>
      <c r="DGD1010" s="182"/>
      <c r="DGE1010" s="182"/>
      <c r="DGF1010" s="182"/>
      <c r="DGG1010" s="182"/>
      <c r="DGH1010" s="182"/>
      <c r="DGI1010" s="182"/>
      <c r="DGJ1010" s="182"/>
      <c r="DGK1010" s="182"/>
      <c r="DGL1010" s="182"/>
      <c r="DGM1010" s="182"/>
      <c r="DGN1010" s="182"/>
      <c r="DGO1010" s="182"/>
      <c r="DGP1010" s="182"/>
      <c r="DGQ1010" s="182"/>
      <c r="DGR1010" s="182"/>
      <c r="DGS1010" s="182"/>
      <c r="DGT1010" s="182"/>
      <c r="DGU1010" s="182"/>
      <c r="DGV1010" s="182"/>
      <c r="DGW1010" s="182"/>
      <c r="DGX1010" s="182"/>
      <c r="DGY1010" s="182"/>
      <c r="DGZ1010" s="182"/>
      <c r="DHA1010" s="182"/>
      <c r="DHB1010" s="182"/>
      <c r="DHC1010" s="182"/>
      <c r="DHD1010" s="182"/>
      <c r="DHE1010" s="182"/>
      <c r="DHF1010" s="182"/>
      <c r="DHG1010" s="182"/>
      <c r="DHH1010" s="182"/>
      <c r="DHI1010" s="182"/>
      <c r="DHJ1010" s="182"/>
      <c r="DHK1010" s="182"/>
      <c r="DHL1010" s="182"/>
      <c r="DHM1010" s="182"/>
      <c r="DHN1010" s="182"/>
      <c r="DHO1010" s="182"/>
      <c r="DHP1010" s="182"/>
      <c r="DHQ1010" s="182"/>
      <c r="DHR1010" s="182"/>
      <c r="DHS1010" s="182"/>
      <c r="DHT1010" s="182"/>
      <c r="DHU1010" s="182"/>
      <c r="DHV1010" s="182"/>
      <c r="DHW1010" s="182"/>
      <c r="DHX1010" s="182"/>
      <c r="DHY1010" s="182"/>
      <c r="DHZ1010" s="182"/>
      <c r="DIA1010" s="182"/>
      <c r="DIB1010" s="182"/>
      <c r="DIC1010" s="182"/>
      <c r="DID1010" s="182"/>
      <c r="DIE1010" s="182"/>
      <c r="DIF1010" s="182"/>
      <c r="DIG1010" s="182"/>
      <c r="DIH1010" s="182"/>
      <c r="DII1010" s="182"/>
      <c r="DIJ1010" s="182"/>
      <c r="DIK1010" s="182"/>
      <c r="DIL1010" s="182"/>
      <c r="DIM1010" s="182"/>
      <c r="DIN1010" s="182"/>
      <c r="DIO1010" s="182"/>
      <c r="DIP1010" s="182"/>
      <c r="DIQ1010" s="182"/>
      <c r="DIR1010" s="182"/>
      <c r="DIS1010" s="182"/>
      <c r="DIT1010" s="182"/>
      <c r="DIU1010" s="182"/>
      <c r="DIV1010" s="182"/>
      <c r="DIW1010" s="182"/>
      <c r="DIX1010" s="182"/>
      <c r="DIY1010" s="182"/>
      <c r="DIZ1010" s="182"/>
      <c r="DJA1010" s="182"/>
      <c r="DJB1010" s="182"/>
      <c r="DJC1010" s="182"/>
      <c r="DJD1010" s="182"/>
      <c r="DJE1010" s="182"/>
      <c r="DJF1010" s="182"/>
      <c r="DJG1010" s="182"/>
      <c r="DJH1010" s="182"/>
      <c r="DJI1010" s="182"/>
      <c r="DJJ1010" s="182"/>
      <c r="DJK1010" s="182"/>
      <c r="DJL1010" s="182"/>
      <c r="DJM1010" s="182"/>
      <c r="DJN1010" s="182"/>
      <c r="DJO1010" s="182"/>
      <c r="DJP1010" s="182"/>
      <c r="DJQ1010" s="182"/>
      <c r="DJR1010" s="182"/>
      <c r="DJS1010" s="182"/>
      <c r="DJT1010" s="182"/>
      <c r="DJU1010" s="182"/>
      <c r="DJV1010" s="182"/>
      <c r="DJW1010" s="182"/>
      <c r="DJX1010" s="182"/>
      <c r="DJY1010" s="182"/>
      <c r="DJZ1010" s="182"/>
      <c r="DKA1010" s="182"/>
      <c r="DKB1010" s="182"/>
      <c r="DKC1010" s="182"/>
      <c r="DKD1010" s="182"/>
      <c r="DKE1010" s="182"/>
      <c r="DKF1010" s="182"/>
      <c r="DKG1010" s="182"/>
      <c r="DKH1010" s="182"/>
      <c r="DKI1010" s="182"/>
      <c r="DKJ1010" s="182"/>
      <c r="DKK1010" s="182"/>
      <c r="DKL1010" s="182"/>
      <c r="DKM1010" s="182"/>
      <c r="DKN1010" s="182"/>
      <c r="DKO1010" s="182"/>
      <c r="DKP1010" s="182"/>
      <c r="DKQ1010" s="182"/>
      <c r="DKR1010" s="182"/>
      <c r="DKS1010" s="182"/>
      <c r="DKT1010" s="182"/>
      <c r="DKU1010" s="182"/>
      <c r="DKV1010" s="182"/>
      <c r="DKW1010" s="182"/>
      <c r="DKX1010" s="182"/>
      <c r="DKY1010" s="182"/>
      <c r="DKZ1010" s="182"/>
      <c r="DLA1010" s="182"/>
      <c r="DLB1010" s="182"/>
      <c r="DLC1010" s="182"/>
      <c r="DLD1010" s="182"/>
      <c r="DLE1010" s="182"/>
      <c r="DLF1010" s="182"/>
      <c r="DLG1010" s="182"/>
      <c r="DLH1010" s="182"/>
      <c r="DLI1010" s="182"/>
      <c r="DLJ1010" s="182"/>
      <c r="DLK1010" s="182"/>
      <c r="DLL1010" s="182"/>
      <c r="DLM1010" s="182"/>
      <c r="DLN1010" s="182"/>
      <c r="DLO1010" s="182"/>
      <c r="DLP1010" s="182"/>
      <c r="DLQ1010" s="182"/>
      <c r="DLR1010" s="182"/>
      <c r="DLS1010" s="182"/>
      <c r="DLT1010" s="182"/>
      <c r="DLU1010" s="182"/>
      <c r="DLV1010" s="182"/>
      <c r="DLW1010" s="182"/>
      <c r="DLX1010" s="182"/>
      <c r="DLY1010" s="182"/>
      <c r="DLZ1010" s="182"/>
      <c r="DMA1010" s="182"/>
      <c r="DMB1010" s="182"/>
      <c r="DMC1010" s="182"/>
      <c r="DMD1010" s="182"/>
      <c r="DME1010" s="182"/>
      <c r="DMF1010" s="182"/>
      <c r="DMG1010" s="182"/>
      <c r="DMH1010" s="182"/>
      <c r="DMI1010" s="182"/>
      <c r="DMJ1010" s="182"/>
      <c r="DMK1010" s="182"/>
      <c r="DML1010" s="182"/>
      <c r="DMM1010" s="182"/>
      <c r="DMN1010" s="182"/>
      <c r="DMO1010" s="182"/>
      <c r="DMP1010" s="182"/>
      <c r="DMQ1010" s="182"/>
      <c r="DMR1010" s="182"/>
      <c r="DMS1010" s="182"/>
      <c r="DMT1010" s="182"/>
      <c r="DMU1010" s="182"/>
      <c r="DMV1010" s="182"/>
      <c r="DMW1010" s="182"/>
      <c r="DMX1010" s="182"/>
      <c r="DMY1010" s="182"/>
      <c r="DMZ1010" s="182"/>
      <c r="DNA1010" s="182"/>
      <c r="DNB1010" s="182"/>
      <c r="DNC1010" s="182"/>
      <c r="DND1010" s="182"/>
      <c r="DNE1010" s="182"/>
      <c r="DNF1010" s="182"/>
      <c r="DNG1010" s="182"/>
      <c r="DNH1010" s="182"/>
      <c r="DNI1010" s="182"/>
      <c r="DNJ1010" s="182"/>
      <c r="DNK1010" s="182"/>
      <c r="DNL1010" s="182"/>
      <c r="DNM1010" s="182"/>
      <c r="DNN1010" s="182"/>
      <c r="DNO1010" s="182"/>
      <c r="DNP1010" s="182"/>
      <c r="DNQ1010" s="182"/>
      <c r="DNR1010" s="182"/>
      <c r="DNS1010" s="182"/>
      <c r="DNT1010" s="182"/>
      <c r="DNU1010" s="182"/>
      <c r="DNV1010" s="182"/>
      <c r="DNW1010" s="182"/>
      <c r="DNX1010" s="182"/>
      <c r="DNY1010" s="182"/>
      <c r="DNZ1010" s="182"/>
      <c r="DOA1010" s="182"/>
      <c r="DOB1010" s="182"/>
      <c r="DOC1010" s="182"/>
      <c r="DOD1010" s="182"/>
      <c r="DOE1010" s="182"/>
      <c r="DOF1010" s="182"/>
      <c r="DOG1010" s="182"/>
      <c r="DOH1010" s="182"/>
      <c r="DOI1010" s="182"/>
      <c r="DOJ1010" s="182"/>
      <c r="DOK1010" s="182"/>
      <c r="DOL1010" s="182"/>
      <c r="DOM1010" s="182"/>
      <c r="DON1010" s="182"/>
      <c r="DOO1010" s="182"/>
      <c r="DOP1010" s="182"/>
      <c r="DOQ1010" s="182"/>
      <c r="DOR1010" s="182"/>
      <c r="DOS1010" s="182"/>
      <c r="DOT1010" s="182"/>
      <c r="DOU1010" s="182"/>
      <c r="DOV1010" s="182"/>
      <c r="DOW1010" s="182"/>
      <c r="DOX1010" s="182"/>
      <c r="DOY1010" s="182"/>
      <c r="DOZ1010" s="182"/>
      <c r="DPA1010" s="182"/>
      <c r="DPB1010" s="182"/>
      <c r="DPC1010" s="182"/>
      <c r="DPD1010" s="182"/>
      <c r="DPE1010" s="182"/>
      <c r="DPF1010" s="182"/>
      <c r="DPG1010" s="182"/>
      <c r="DPH1010" s="182"/>
      <c r="DPI1010" s="182"/>
      <c r="DPJ1010" s="182"/>
      <c r="DPK1010" s="182"/>
      <c r="DPL1010" s="182"/>
      <c r="DPM1010" s="182"/>
      <c r="DPN1010" s="182"/>
      <c r="DPO1010" s="182"/>
      <c r="DPP1010" s="182"/>
      <c r="DPQ1010" s="182"/>
      <c r="DPR1010" s="182"/>
      <c r="DPS1010" s="182"/>
      <c r="DPT1010" s="182"/>
      <c r="DPU1010" s="182"/>
      <c r="DPV1010" s="182"/>
      <c r="DPW1010" s="182"/>
      <c r="DPX1010" s="182"/>
      <c r="DPY1010" s="182"/>
      <c r="DPZ1010" s="182"/>
      <c r="DQA1010" s="182"/>
      <c r="DQB1010" s="182"/>
      <c r="DQC1010" s="182"/>
      <c r="DQD1010" s="182"/>
      <c r="DQE1010" s="182"/>
      <c r="DQF1010" s="182"/>
      <c r="DQG1010" s="182"/>
      <c r="DQH1010" s="182"/>
      <c r="DQI1010" s="182"/>
      <c r="DQJ1010" s="182"/>
      <c r="DQK1010" s="182"/>
      <c r="DQL1010" s="182"/>
      <c r="DQM1010" s="182"/>
      <c r="DQN1010" s="182"/>
      <c r="DQO1010" s="182"/>
      <c r="DQP1010" s="182"/>
      <c r="DQQ1010" s="182"/>
      <c r="DQR1010" s="182"/>
      <c r="DQS1010" s="182"/>
      <c r="DQT1010" s="182"/>
      <c r="DQU1010" s="182"/>
      <c r="DQV1010" s="182"/>
      <c r="DQW1010" s="182"/>
      <c r="DQX1010" s="182"/>
      <c r="DQY1010" s="182"/>
      <c r="DQZ1010" s="182"/>
      <c r="DRA1010" s="182"/>
      <c r="DRB1010" s="182"/>
      <c r="DRC1010" s="182"/>
      <c r="DRD1010" s="182"/>
      <c r="DRE1010" s="182"/>
      <c r="DRF1010" s="182"/>
      <c r="DRG1010" s="182"/>
      <c r="DRH1010" s="182"/>
      <c r="DRI1010" s="182"/>
      <c r="DRJ1010" s="182"/>
      <c r="DRK1010" s="182"/>
      <c r="DRL1010" s="182"/>
      <c r="DRM1010" s="182"/>
      <c r="DRN1010" s="182"/>
      <c r="DRO1010" s="182"/>
      <c r="DRP1010" s="182"/>
      <c r="DRQ1010" s="182"/>
      <c r="DRR1010" s="182"/>
      <c r="DRS1010" s="182"/>
      <c r="DRT1010" s="182"/>
      <c r="DRU1010" s="182"/>
      <c r="DRV1010" s="182"/>
      <c r="DRW1010" s="182"/>
      <c r="DRX1010" s="182"/>
      <c r="DRY1010" s="182"/>
      <c r="DRZ1010" s="182"/>
      <c r="DSA1010" s="182"/>
      <c r="DSB1010" s="182"/>
      <c r="DSC1010" s="182"/>
      <c r="DSD1010" s="182"/>
      <c r="DSE1010" s="182"/>
      <c r="DSF1010" s="182"/>
      <c r="DSG1010" s="182"/>
      <c r="DSH1010" s="182"/>
      <c r="DSI1010" s="182"/>
      <c r="DSJ1010" s="182"/>
      <c r="DSK1010" s="182"/>
      <c r="DSL1010" s="182"/>
      <c r="DSM1010" s="182"/>
      <c r="DSN1010" s="182"/>
      <c r="DSO1010" s="182"/>
      <c r="DSP1010" s="182"/>
      <c r="DSQ1010" s="182"/>
      <c r="DSR1010" s="182"/>
      <c r="DSS1010" s="182"/>
      <c r="DST1010" s="182"/>
      <c r="DSU1010" s="182"/>
      <c r="DSV1010" s="182"/>
      <c r="DSW1010" s="182"/>
      <c r="DSX1010" s="182"/>
      <c r="DSY1010" s="182"/>
      <c r="DSZ1010" s="182"/>
      <c r="DTA1010" s="182"/>
      <c r="DTB1010" s="182"/>
      <c r="DTC1010" s="182"/>
      <c r="DTD1010" s="182"/>
      <c r="DTE1010" s="182"/>
      <c r="DTF1010" s="182"/>
      <c r="DTG1010" s="182"/>
      <c r="DTH1010" s="182"/>
      <c r="DTI1010" s="182"/>
      <c r="DTJ1010" s="182"/>
      <c r="DTK1010" s="182"/>
      <c r="DTL1010" s="182"/>
      <c r="DTM1010" s="182"/>
      <c r="DTN1010" s="182"/>
      <c r="DTO1010" s="182"/>
      <c r="DTP1010" s="182"/>
      <c r="DTQ1010" s="182"/>
      <c r="DTR1010" s="182"/>
      <c r="DTS1010" s="182"/>
      <c r="DTT1010" s="182"/>
      <c r="DTU1010" s="182"/>
      <c r="DTV1010" s="182"/>
      <c r="DTW1010" s="182"/>
      <c r="DTX1010" s="182"/>
      <c r="DTY1010" s="182"/>
      <c r="DTZ1010" s="182"/>
      <c r="DUA1010" s="182"/>
      <c r="DUB1010" s="182"/>
      <c r="DUC1010" s="182"/>
      <c r="DUD1010" s="182"/>
      <c r="DUE1010" s="182"/>
      <c r="DUF1010" s="182"/>
      <c r="DUG1010" s="182"/>
      <c r="DUH1010" s="182"/>
      <c r="DUI1010" s="182"/>
      <c r="DUJ1010" s="182"/>
      <c r="DUK1010" s="182"/>
      <c r="DUL1010" s="182"/>
      <c r="DUM1010" s="182"/>
      <c r="DUN1010" s="182"/>
      <c r="DUO1010" s="182"/>
      <c r="DUP1010" s="182"/>
      <c r="DUQ1010" s="182"/>
      <c r="DUR1010" s="182"/>
      <c r="DUS1010" s="182"/>
      <c r="DUT1010" s="182"/>
      <c r="DUU1010" s="182"/>
      <c r="DUV1010" s="182"/>
      <c r="DUW1010" s="182"/>
      <c r="DUX1010" s="182"/>
      <c r="DUY1010" s="182"/>
      <c r="DUZ1010" s="182"/>
      <c r="DVA1010" s="182"/>
      <c r="DVB1010" s="182"/>
      <c r="DVC1010" s="182"/>
      <c r="DVD1010" s="182"/>
      <c r="DVE1010" s="182"/>
      <c r="DVF1010" s="182"/>
      <c r="DVG1010" s="182"/>
      <c r="DVH1010" s="182"/>
      <c r="DVI1010" s="182"/>
      <c r="DVJ1010" s="182"/>
      <c r="DVK1010" s="182"/>
      <c r="DVL1010" s="182"/>
      <c r="DVM1010" s="182"/>
      <c r="DVN1010" s="182"/>
      <c r="DVO1010" s="182"/>
      <c r="DVP1010" s="182"/>
      <c r="DVQ1010" s="182"/>
      <c r="DVR1010" s="182"/>
      <c r="DVS1010" s="182"/>
      <c r="DVT1010" s="182"/>
      <c r="DVU1010" s="182"/>
      <c r="DVV1010" s="182"/>
      <c r="DVW1010" s="182"/>
      <c r="DVX1010" s="182"/>
      <c r="DVY1010" s="182"/>
      <c r="DVZ1010" s="182"/>
      <c r="DWA1010" s="182"/>
      <c r="DWB1010" s="182"/>
      <c r="DWC1010" s="182"/>
      <c r="DWD1010" s="182"/>
      <c r="DWE1010" s="182"/>
      <c r="DWF1010" s="182"/>
      <c r="DWG1010" s="182"/>
      <c r="DWH1010" s="182"/>
      <c r="DWI1010" s="182"/>
      <c r="DWJ1010" s="182"/>
      <c r="DWK1010" s="182"/>
      <c r="DWL1010" s="182"/>
      <c r="DWM1010" s="182"/>
      <c r="DWN1010" s="182"/>
      <c r="DWO1010" s="182"/>
      <c r="DWP1010" s="182"/>
      <c r="DWQ1010" s="182"/>
      <c r="DWR1010" s="182"/>
      <c r="DWS1010" s="182"/>
      <c r="DWT1010" s="182"/>
      <c r="DWU1010" s="182"/>
      <c r="DWV1010" s="182"/>
      <c r="DWW1010" s="182"/>
      <c r="DWX1010" s="182"/>
      <c r="DWY1010" s="182"/>
      <c r="DWZ1010" s="182"/>
      <c r="DXA1010" s="182"/>
      <c r="DXB1010" s="182"/>
      <c r="DXC1010" s="182"/>
      <c r="DXD1010" s="182"/>
      <c r="DXE1010" s="182"/>
      <c r="DXF1010" s="182"/>
      <c r="DXG1010" s="182"/>
      <c r="DXH1010" s="182"/>
      <c r="DXI1010" s="182"/>
      <c r="DXJ1010" s="182"/>
      <c r="DXK1010" s="182"/>
      <c r="DXL1010" s="182"/>
      <c r="DXM1010" s="182"/>
      <c r="DXN1010" s="182"/>
      <c r="DXO1010" s="182"/>
      <c r="DXP1010" s="182"/>
      <c r="DXQ1010" s="182"/>
      <c r="DXR1010" s="182"/>
      <c r="DXS1010" s="182"/>
      <c r="DXT1010" s="182"/>
      <c r="DXU1010" s="182"/>
      <c r="DXV1010" s="182"/>
      <c r="DXW1010" s="182"/>
      <c r="DXX1010" s="182"/>
      <c r="DXY1010" s="182"/>
      <c r="DXZ1010" s="182"/>
      <c r="DYA1010" s="182"/>
      <c r="DYB1010" s="182"/>
      <c r="DYC1010" s="182"/>
      <c r="DYD1010" s="182"/>
      <c r="DYE1010" s="182"/>
      <c r="DYF1010" s="182"/>
      <c r="DYG1010" s="182"/>
      <c r="DYH1010" s="182"/>
      <c r="DYI1010" s="182"/>
      <c r="DYJ1010" s="182"/>
      <c r="DYK1010" s="182"/>
      <c r="DYL1010" s="182"/>
      <c r="DYM1010" s="182"/>
      <c r="DYN1010" s="182"/>
      <c r="DYO1010" s="182"/>
      <c r="DYP1010" s="182"/>
      <c r="DYQ1010" s="182"/>
      <c r="DYR1010" s="182"/>
      <c r="DYS1010" s="182"/>
      <c r="DYT1010" s="182"/>
      <c r="DYU1010" s="182"/>
      <c r="DYV1010" s="182"/>
      <c r="DYW1010" s="182"/>
      <c r="DYX1010" s="182"/>
      <c r="DYY1010" s="182"/>
      <c r="DYZ1010" s="182"/>
      <c r="DZA1010" s="182"/>
      <c r="DZB1010" s="182"/>
      <c r="DZC1010" s="182"/>
      <c r="DZD1010" s="182"/>
      <c r="DZE1010" s="182"/>
      <c r="DZF1010" s="182"/>
      <c r="DZG1010" s="182"/>
      <c r="DZH1010" s="182"/>
      <c r="DZI1010" s="182"/>
      <c r="DZJ1010" s="182"/>
      <c r="DZK1010" s="182"/>
      <c r="DZL1010" s="182"/>
      <c r="DZM1010" s="182"/>
      <c r="DZN1010" s="182"/>
      <c r="DZO1010" s="182"/>
      <c r="DZP1010" s="182"/>
      <c r="DZQ1010" s="182"/>
      <c r="DZR1010" s="182"/>
      <c r="DZS1010" s="182"/>
      <c r="DZT1010" s="182"/>
      <c r="DZU1010" s="182"/>
      <c r="DZV1010" s="182"/>
      <c r="DZW1010" s="182"/>
      <c r="DZX1010" s="182"/>
      <c r="DZY1010" s="182"/>
      <c r="DZZ1010" s="182"/>
      <c r="EAA1010" s="182"/>
      <c r="EAB1010" s="182"/>
      <c r="EAC1010" s="182"/>
      <c r="EAD1010" s="182"/>
      <c r="EAE1010" s="182"/>
      <c r="EAF1010" s="182"/>
      <c r="EAG1010" s="182"/>
      <c r="EAH1010" s="182"/>
      <c r="EAI1010" s="182"/>
      <c r="EAJ1010" s="182"/>
      <c r="EAK1010" s="182"/>
      <c r="EAL1010" s="182"/>
      <c r="EAM1010" s="182"/>
      <c r="EAN1010" s="182"/>
      <c r="EAO1010" s="182"/>
      <c r="EAP1010" s="182"/>
      <c r="EAQ1010" s="182"/>
      <c r="EAR1010" s="182"/>
      <c r="EAS1010" s="182"/>
      <c r="EAT1010" s="182"/>
      <c r="EAU1010" s="182"/>
      <c r="EAV1010" s="182"/>
      <c r="EAW1010" s="182"/>
      <c r="EAX1010" s="182"/>
      <c r="EAY1010" s="182"/>
      <c r="EAZ1010" s="182"/>
      <c r="EBA1010" s="182"/>
      <c r="EBB1010" s="182"/>
      <c r="EBC1010" s="182"/>
      <c r="EBD1010" s="182"/>
      <c r="EBE1010" s="182"/>
      <c r="EBF1010" s="182"/>
      <c r="EBG1010" s="182"/>
      <c r="EBH1010" s="182"/>
      <c r="EBI1010" s="182"/>
      <c r="EBJ1010" s="182"/>
      <c r="EBK1010" s="182"/>
      <c r="EBL1010" s="182"/>
      <c r="EBM1010" s="182"/>
      <c r="EBN1010" s="182"/>
      <c r="EBO1010" s="182"/>
      <c r="EBP1010" s="182"/>
      <c r="EBQ1010" s="182"/>
      <c r="EBR1010" s="182"/>
      <c r="EBS1010" s="182"/>
      <c r="EBT1010" s="182"/>
      <c r="EBU1010" s="182"/>
      <c r="EBV1010" s="182"/>
      <c r="EBW1010" s="182"/>
      <c r="EBX1010" s="182"/>
      <c r="EBY1010" s="182"/>
      <c r="EBZ1010" s="182"/>
      <c r="ECA1010" s="182"/>
      <c r="ECB1010" s="182"/>
      <c r="ECC1010" s="182"/>
      <c r="ECD1010" s="182"/>
      <c r="ECE1010" s="182"/>
      <c r="ECF1010" s="182"/>
      <c r="ECG1010" s="182"/>
      <c r="ECH1010" s="182"/>
      <c r="ECI1010" s="182"/>
      <c r="ECJ1010" s="182"/>
      <c r="ECK1010" s="182"/>
      <c r="ECL1010" s="182"/>
      <c r="ECM1010" s="182"/>
      <c r="ECN1010" s="182"/>
      <c r="ECO1010" s="182"/>
      <c r="ECP1010" s="182"/>
      <c r="ECQ1010" s="182"/>
      <c r="ECR1010" s="182"/>
      <c r="ECS1010" s="182"/>
      <c r="ECT1010" s="182"/>
      <c r="ECU1010" s="182"/>
      <c r="ECV1010" s="182"/>
      <c r="ECW1010" s="182"/>
      <c r="ECX1010" s="182"/>
      <c r="ECY1010" s="182"/>
      <c r="ECZ1010" s="182"/>
      <c r="EDA1010" s="182"/>
      <c r="EDB1010" s="182"/>
      <c r="EDC1010" s="182"/>
      <c r="EDD1010" s="182"/>
      <c r="EDE1010" s="182"/>
      <c r="EDF1010" s="182"/>
      <c r="EDG1010" s="182"/>
      <c r="EDH1010" s="182"/>
      <c r="EDI1010" s="182"/>
      <c r="EDJ1010" s="182"/>
      <c r="EDK1010" s="182"/>
      <c r="EDL1010" s="182"/>
      <c r="EDM1010" s="182"/>
      <c r="EDN1010" s="182"/>
      <c r="EDO1010" s="182"/>
      <c r="EDP1010" s="182"/>
      <c r="EDQ1010" s="182"/>
      <c r="EDR1010" s="182"/>
      <c r="EDS1010" s="182"/>
      <c r="EDT1010" s="182"/>
      <c r="EDU1010" s="182"/>
      <c r="EDV1010" s="182"/>
      <c r="EDW1010" s="182"/>
      <c r="EDX1010" s="182"/>
      <c r="EDY1010" s="182"/>
      <c r="EDZ1010" s="182"/>
      <c r="EEA1010" s="182"/>
      <c r="EEB1010" s="182"/>
      <c r="EEC1010" s="182"/>
      <c r="EED1010" s="182"/>
      <c r="EEE1010" s="182"/>
      <c r="EEF1010" s="182"/>
      <c r="EEG1010" s="182"/>
      <c r="EEH1010" s="182"/>
      <c r="EEI1010" s="182"/>
      <c r="EEJ1010" s="182"/>
      <c r="EEK1010" s="182"/>
      <c r="EEL1010" s="182"/>
      <c r="EEM1010" s="182"/>
      <c r="EEN1010" s="182"/>
      <c r="EEO1010" s="182"/>
      <c r="EEP1010" s="182"/>
      <c r="EEQ1010" s="182"/>
      <c r="EER1010" s="182"/>
      <c r="EES1010" s="182"/>
      <c r="EET1010" s="182"/>
      <c r="EEU1010" s="182"/>
      <c r="EEV1010" s="182"/>
      <c r="EEW1010" s="182"/>
      <c r="EEX1010" s="182"/>
      <c r="EEY1010" s="182"/>
      <c r="EEZ1010" s="182"/>
      <c r="EFA1010" s="182"/>
      <c r="EFB1010" s="182"/>
      <c r="EFC1010" s="182"/>
      <c r="EFD1010" s="182"/>
      <c r="EFE1010" s="182"/>
      <c r="EFF1010" s="182"/>
      <c r="EFG1010" s="182"/>
      <c r="EFH1010" s="182"/>
      <c r="EFI1010" s="182"/>
      <c r="EFJ1010" s="182"/>
      <c r="EFK1010" s="182"/>
      <c r="EFL1010" s="182"/>
      <c r="EFM1010" s="182"/>
      <c r="EFN1010" s="182"/>
      <c r="EFO1010" s="182"/>
      <c r="EFP1010" s="182"/>
      <c r="EFQ1010" s="182"/>
      <c r="EFR1010" s="182"/>
      <c r="EFS1010" s="182"/>
      <c r="EFT1010" s="182"/>
      <c r="EFU1010" s="182"/>
      <c r="EFV1010" s="182"/>
      <c r="EFW1010" s="182"/>
      <c r="EFX1010" s="182"/>
      <c r="EFY1010" s="182"/>
      <c r="EFZ1010" s="182"/>
      <c r="EGA1010" s="182"/>
      <c r="EGB1010" s="182"/>
      <c r="EGC1010" s="182"/>
      <c r="EGD1010" s="182"/>
      <c r="EGE1010" s="182"/>
      <c r="EGF1010" s="182"/>
      <c r="EGG1010" s="182"/>
      <c r="EGH1010" s="182"/>
      <c r="EGI1010" s="182"/>
      <c r="EGJ1010" s="182"/>
      <c r="EGK1010" s="182"/>
      <c r="EGL1010" s="182"/>
      <c r="EGM1010" s="182"/>
      <c r="EGN1010" s="182"/>
      <c r="EGO1010" s="182"/>
      <c r="EGP1010" s="182"/>
      <c r="EGQ1010" s="182"/>
      <c r="EGR1010" s="182"/>
      <c r="EGS1010" s="182"/>
      <c r="EGT1010" s="182"/>
      <c r="EGU1010" s="182"/>
      <c r="EGV1010" s="182"/>
      <c r="EGW1010" s="182"/>
      <c r="EGX1010" s="182"/>
      <c r="EGY1010" s="182"/>
      <c r="EGZ1010" s="182"/>
      <c r="EHA1010" s="182"/>
      <c r="EHB1010" s="182"/>
      <c r="EHC1010" s="182"/>
      <c r="EHD1010" s="182"/>
      <c r="EHE1010" s="182"/>
      <c r="EHF1010" s="182"/>
      <c r="EHG1010" s="182"/>
      <c r="EHH1010" s="182"/>
      <c r="EHI1010" s="182"/>
      <c r="EHJ1010" s="182"/>
      <c r="EHK1010" s="182"/>
      <c r="EHL1010" s="182"/>
      <c r="EHM1010" s="182"/>
      <c r="EHN1010" s="182"/>
      <c r="EHO1010" s="182"/>
      <c r="EHP1010" s="182"/>
      <c r="EHQ1010" s="182"/>
      <c r="EHR1010" s="182"/>
      <c r="EHS1010" s="182"/>
      <c r="EHT1010" s="182"/>
      <c r="EHU1010" s="182"/>
      <c r="EHV1010" s="182"/>
      <c r="EHW1010" s="182"/>
      <c r="EHX1010" s="182"/>
      <c r="EHY1010" s="182"/>
      <c r="EHZ1010" s="182"/>
      <c r="EIA1010" s="182"/>
      <c r="EIB1010" s="182"/>
      <c r="EIC1010" s="182"/>
      <c r="EID1010" s="182"/>
      <c r="EIE1010" s="182"/>
      <c r="EIF1010" s="182"/>
      <c r="EIG1010" s="182"/>
      <c r="EIH1010" s="182"/>
      <c r="EII1010" s="182"/>
      <c r="EIJ1010" s="182"/>
      <c r="EIK1010" s="182"/>
      <c r="EIL1010" s="182"/>
      <c r="EIM1010" s="182"/>
      <c r="EIN1010" s="182"/>
      <c r="EIO1010" s="182"/>
      <c r="EIP1010" s="182"/>
      <c r="EIQ1010" s="182"/>
      <c r="EIR1010" s="182"/>
      <c r="EIS1010" s="182"/>
      <c r="EIT1010" s="182"/>
      <c r="EIU1010" s="182"/>
      <c r="EIV1010" s="182"/>
      <c r="EIW1010" s="182"/>
      <c r="EIX1010" s="182"/>
      <c r="EIY1010" s="182"/>
      <c r="EIZ1010" s="182"/>
      <c r="EJA1010" s="182"/>
      <c r="EJB1010" s="182"/>
      <c r="EJC1010" s="182"/>
      <c r="EJD1010" s="182"/>
      <c r="EJE1010" s="182"/>
      <c r="EJF1010" s="182"/>
      <c r="EJG1010" s="182"/>
      <c r="EJH1010" s="182"/>
      <c r="EJI1010" s="182"/>
      <c r="EJJ1010" s="182"/>
      <c r="EJK1010" s="182"/>
      <c r="EJL1010" s="182"/>
      <c r="EJM1010" s="182"/>
      <c r="EJN1010" s="182"/>
      <c r="EJO1010" s="182"/>
      <c r="EJP1010" s="182"/>
      <c r="EJQ1010" s="182"/>
      <c r="EJR1010" s="182"/>
      <c r="EJS1010" s="182"/>
      <c r="EJT1010" s="182"/>
      <c r="EJU1010" s="182"/>
      <c r="EJV1010" s="182"/>
      <c r="EJW1010" s="182"/>
      <c r="EJX1010" s="182"/>
      <c r="EJY1010" s="182"/>
      <c r="EJZ1010" s="182"/>
      <c r="EKA1010" s="182"/>
      <c r="EKB1010" s="182"/>
      <c r="EKC1010" s="182"/>
      <c r="EKD1010" s="182"/>
      <c r="EKE1010" s="182"/>
      <c r="EKF1010" s="182"/>
      <c r="EKG1010" s="182"/>
      <c r="EKH1010" s="182"/>
      <c r="EKI1010" s="182"/>
      <c r="EKJ1010" s="182"/>
      <c r="EKK1010" s="182"/>
      <c r="EKL1010" s="182"/>
      <c r="EKM1010" s="182"/>
      <c r="EKN1010" s="182"/>
      <c r="EKO1010" s="182"/>
      <c r="EKP1010" s="182"/>
      <c r="EKQ1010" s="182"/>
      <c r="EKR1010" s="182"/>
      <c r="EKS1010" s="182"/>
      <c r="EKT1010" s="182"/>
      <c r="EKU1010" s="182"/>
      <c r="EKV1010" s="182"/>
      <c r="EKW1010" s="182"/>
      <c r="EKX1010" s="182"/>
      <c r="EKY1010" s="182"/>
      <c r="EKZ1010" s="182"/>
      <c r="ELA1010" s="182"/>
      <c r="ELB1010" s="182"/>
      <c r="ELC1010" s="182"/>
      <c r="ELD1010" s="182"/>
      <c r="ELE1010" s="182"/>
      <c r="ELF1010" s="182"/>
      <c r="ELG1010" s="182"/>
      <c r="ELH1010" s="182"/>
      <c r="ELI1010" s="182"/>
      <c r="ELJ1010" s="182"/>
      <c r="ELK1010" s="182"/>
      <c r="ELL1010" s="182"/>
      <c r="ELM1010" s="182"/>
      <c r="ELN1010" s="182"/>
      <c r="ELO1010" s="182"/>
      <c r="ELP1010" s="182"/>
      <c r="ELQ1010" s="182"/>
      <c r="ELR1010" s="182"/>
      <c r="ELS1010" s="182"/>
      <c r="ELT1010" s="182"/>
      <c r="ELU1010" s="182"/>
      <c r="ELV1010" s="182"/>
      <c r="ELW1010" s="182"/>
      <c r="ELX1010" s="182"/>
      <c r="ELY1010" s="182"/>
      <c r="ELZ1010" s="182"/>
      <c r="EMA1010" s="182"/>
      <c r="EMB1010" s="182"/>
      <c r="EMC1010" s="182"/>
      <c r="EMD1010" s="182"/>
      <c r="EME1010" s="182"/>
      <c r="EMF1010" s="182"/>
      <c r="EMG1010" s="182"/>
      <c r="EMH1010" s="182"/>
      <c r="EMI1010" s="182"/>
      <c r="EMJ1010" s="182"/>
      <c r="EMK1010" s="182"/>
      <c r="EML1010" s="182"/>
      <c r="EMM1010" s="182"/>
      <c r="EMN1010" s="182"/>
      <c r="EMO1010" s="182"/>
      <c r="EMP1010" s="182"/>
      <c r="EMQ1010" s="182"/>
      <c r="EMR1010" s="182"/>
      <c r="EMS1010" s="182"/>
      <c r="EMT1010" s="182"/>
      <c r="EMU1010" s="182"/>
      <c r="EMV1010" s="182"/>
      <c r="EMW1010" s="182"/>
      <c r="EMX1010" s="182"/>
      <c r="EMY1010" s="182"/>
      <c r="EMZ1010" s="182"/>
      <c r="ENA1010" s="182"/>
      <c r="ENB1010" s="182"/>
      <c r="ENC1010" s="182"/>
      <c r="END1010" s="182"/>
      <c r="ENE1010" s="182"/>
      <c r="ENF1010" s="182"/>
      <c r="ENG1010" s="182"/>
      <c r="ENH1010" s="182"/>
      <c r="ENI1010" s="182"/>
      <c r="ENJ1010" s="182"/>
      <c r="ENK1010" s="182"/>
      <c r="ENL1010" s="182"/>
      <c r="ENM1010" s="182"/>
      <c r="ENN1010" s="182"/>
      <c r="ENO1010" s="182"/>
      <c r="ENP1010" s="182"/>
      <c r="ENQ1010" s="182"/>
      <c r="ENR1010" s="182"/>
      <c r="ENS1010" s="182"/>
      <c r="ENT1010" s="182"/>
      <c r="ENU1010" s="182"/>
      <c r="ENV1010" s="182"/>
      <c r="ENW1010" s="182"/>
      <c r="ENX1010" s="182"/>
      <c r="ENY1010" s="182"/>
      <c r="ENZ1010" s="182"/>
      <c r="EOA1010" s="182"/>
      <c r="EOB1010" s="182"/>
      <c r="EOC1010" s="182"/>
      <c r="EOD1010" s="182"/>
      <c r="EOE1010" s="182"/>
      <c r="EOF1010" s="182"/>
      <c r="EOG1010" s="182"/>
      <c r="EOH1010" s="182"/>
      <c r="EOI1010" s="182"/>
      <c r="EOJ1010" s="182"/>
      <c r="EOK1010" s="182"/>
      <c r="EOL1010" s="182"/>
      <c r="EOM1010" s="182"/>
      <c r="EON1010" s="182"/>
      <c r="EOO1010" s="182"/>
      <c r="EOP1010" s="182"/>
      <c r="EOQ1010" s="182"/>
      <c r="EOR1010" s="182"/>
      <c r="EOS1010" s="182"/>
      <c r="EOT1010" s="182"/>
      <c r="EOU1010" s="182"/>
      <c r="EOV1010" s="182"/>
      <c r="EOW1010" s="182"/>
      <c r="EOX1010" s="182"/>
      <c r="EOY1010" s="182"/>
      <c r="EOZ1010" s="182"/>
      <c r="EPA1010" s="182"/>
      <c r="EPB1010" s="182"/>
      <c r="EPC1010" s="182"/>
      <c r="EPD1010" s="182"/>
      <c r="EPE1010" s="182"/>
      <c r="EPF1010" s="182"/>
      <c r="EPG1010" s="182"/>
      <c r="EPH1010" s="182"/>
      <c r="EPI1010" s="182"/>
      <c r="EPJ1010" s="182"/>
      <c r="EPK1010" s="182"/>
      <c r="EPL1010" s="182"/>
      <c r="EPM1010" s="182"/>
      <c r="EPN1010" s="182"/>
      <c r="EPO1010" s="182"/>
      <c r="EPP1010" s="182"/>
      <c r="EPQ1010" s="182"/>
      <c r="EPR1010" s="182"/>
      <c r="EPS1010" s="182"/>
      <c r="EPT1010" s="182"/>
      <c r="EPU1010" s="182"/>
      <c r="EPV1010" s="182"/>
      <c r="EPW1010" s="182"/>
      <c r="EPX1010" s="182"/>
      <c r="EPY1010" s="182"/>
      <c r="EPZ1010" s="182"/>
      <c r="EQA1010" s="182"/>
      <c r="EQB1010" s="182"/>
      <c r="EQC1010" s="182"/>
      <c r="EQD1010" s="182"/>
      <c r="EQE1010" s="182"/>
      <c r="EQF1010" s="182"/>
      <c r="EQG1010" s="182"/>
      <c r="EQH1010" s="182"/>
      <c r="EQI1010" s="182"/>
      <c r="EQJ1010" s="182"/>
      <c r="EQK1010" s="182"/>
      <c r="EQL1010" s="182"/>
      <c r="EQM1010" s="182"/>
      <c r="EQN1010" s="182"/>
      <c r="EQO1010" s="182"/>
      <c r="EQP1010" s="182"/>
      <c r="EQQ1010" s="182"/>
      <c r="EQR1010" s="182"/>
      <c r="EQS1010" s="182"/>
      <c r="EQT1010" s="182"/>
      <c r="EQU1010" s="182"/>
      <c r="EQV1010" s="182"/>
      <c r="EQW1010" s="182"/>
      <c r="EQX1010" s="182"/>
      <c r="EQY1010" s="182"/>
      <c r="EQZ1010" s="182"/>
      <c r="ERA1010" s="182"/>
      <c r="ERB1010" s="182"/>
      <c r="ERC1010" s="182"/>
      <c r="ERD1010" s="182"/>
      <c r="ERE1010" s="182"/>
      <c r="ERF1010" s="182"/>
      <c r="ERG1010" s="182"/>
      <c r="ERH1010" s="182"/>
      <c r="ERI1010" s="182"/>
      <c r="ERJ1010" s="182"/>
      <c r="ERK1010" s="182"/>
      <c r="ERL1010" s="182"/>
      <c r="ERM1010" s="182"/>
      <c r="ERN1010" s="182"/>
      <c r="ERO1010" s="182"/>
      <c r="ERP1010" s="182"/>
      <c r="ERQ1010" s="182"/>
      <c r="ERR1010" s="182"/>
      <c r="ERS1010" s="182"/>
      <c r="ERT1010" s="182"/>
      <c r="ERU1010" s="182"/>
      <c r="ERV1010" s="182"/>
      <c r="ERW1010" s="182"/>
      <c r="ERX1010" s="182"/>
      <c r="ERY1010" s="182"/>
      <c r="ERZ1010" s="182"/>
      <c r="ESA1010" s="182"/>
      <c r="ESB1010" s="182"/>
      <c r="ESC1010" s="182"/>
      <c r="ESD1010" s="182"/>
      <c r="ESE1010" s="182"/>
      <c r="ESF1010" s="182"/>
      <c r="ESG1010" s="182"/>
      <c r="ESH1010" s="182"/>
      <c r="ESI1010" s="182"/>
      <c r="ESJ1010" s="182"/>
      <c r="ESK1010" s="182"/>
      <c r="ESL1010" s="182"/>
      <c r="ESM1010" s="182"/>
      <c r="ESN1010" s="182"/>
      <c r="ESO1010" s="182"/>
      <c r="ESP1010" s="182"/>
      <c r="ESQ1010" s="182"/>
      <c r="ESR1010" s="182"/>
      <c r="ESS1010" s="182"/>
      <c r="EST1010" s="182"/>
      <c r="ESU1010" s="182"/>
      <c r="ESV1010" s="182"/>
      <c r="ESW1010" s="182"/>
      <c r="ESX1010" s="182"/>
      <c r="ESY1010" s="182"/>
      <c r="ESZ1010" s="182"/>
      <c r="ETA1010" s="182"/>
      <c r="ETB1010" s="182"/>
      <c r="ETC1010" s="182"/>
      <c r="ETD1010" s="182"/>
      <c r="ETE1010" s="182"/>
      <c r="ETF1010" s="182"/>
      <c r="ETG1010" s="182"/>
      <c r="ETH1010" s="182"/>
      <c r="ETI1010" s="182"/>
      <c r="ETJ1010" s="182"/>
      <c r="ETK1010" s="182"/>
      <c r="ETL1010" s="182"/>
      <c r="ETM1010" s="182"/>
      <c r="ETN1010" s="182"/>
      <c r="ETO1010" s="182"/>
      <c r="ETP1010" s="182"/>
      <c r="ETQ1010" s="182"/>
      <c r="ETR1010" s="182"/>
      <c r="ETS1010" s="182"/>
      <c r="ETT1010" s="182"/>
      <c r="ETU1010" s="182"/>
      <c r="ETV1010" s="182"/>
      <c r="ETW1010" s="182"/>
      <c r="ETX1010" s="182"/>
      <c r="ETY1010" s="182"/>
      <c r="ETZ1010" s="182"/>
      <c r="EUA1010" s="182"/>
      <c r="EUB1010" s="182"/>
      <c r="EUC1010" s="182"/>
      <c r="EUD1010" s="182"/>
      <c r="EUE1010" s="182"/>
      <c r="EUF1010" s="182"/>
      <c r="EUG1010" s="182"/>
      <c r="EUH1010" s="182"/>
      <c r="EUI1010" s="182"/>
      <c r="EUJ1010" s="182"/>
      <c r="EUK1010" s="182"/>
      <c r="EUL1010" s="182"/>
      <c r="EUM1010" s="182"/>
      <c r="EUN1010" s="182"/>
      <c r="EUO1010" s="182"/>
      <c r="EUP1010" s="182"/>
      <c r="EUQ1010" s="182"/>
      <c r="EUR1010" s="182"/>
      <c r="EUS1010" s="182"/>
      <c r="EUT1010" s="182"/>
      <c r="EUU1010" s="182"/>
      <c r="EUV1010" s="182"/>
      <c r="EUW1010" s="182"/>
      <c r="EUX1010" s="182"/>
      <c r="EUY1010" s="182"/>
      <c r="EUZ1010" s="182"/>
      <c r="EVA1010" s="182"/>
      <c r="EVB1010" s="182"/>
      <c r="EVC1010" s="182"/>
      <c r="EVD1010" s="182"/>
      <c r="EVE1010" s="182"/>
      <c r="EVF1010" s="182"/>
      <c r="EVG1010" s="182"/>
      <c r="EVH1010" s="182"/>
      <c r="EVI1010" s="182"/>
      <c r="EVJ1010" s="182"/>
      <c r="EVK1010" s="182"/>
      <c r="EVL1010" s="182"/>
      <c r="EVM1010" s="182"/>
      <c r="EVN1010" s="182"/>
      <c r="EVO1010" s="182"/>
      <c r="EVP1010" s="182"/>
      <c r="EVQ1010" s="182"/>
      <c r="EVR1010" s="182"/>
      <c r="EVS1010" s="182"/>
      <c r="EVT1010" s="182"/>
      <c r="EVU1010" s="182"/>
      <c r="EVV1010" s="182"/>
      <c r="EVW1010" s="182"/>
      <c r="EVX1010" s="182"/>
      <c r="EVY1010" s="182"/>
      <c r="EVZ1010" s="182"/>
      <c r="EWA1010" s="182"/>
      <c r="EWB1010" s="182"/>
      <c r="EWC1010" s="182"/>
      <c r="EWD1010" s="182"/>
      <c r="EWE1010" s="182"/>
      <c r="EWF1010" s="182"/>
      <c r="EWG1010" s="182"/>
      <c r="EWH1010" s="182"/>
      <c r="EWI1010" s="182"/>
      <c r="EWJ1010" s="182"/>
      <c r="EWK1010" s="182"/>
      <c r="EWL1010" s="182"/>
      <c r="EWM1010" s="182"/>
      <c r="EWN1010" s="182"/>
      <c r="EWO1010" s="182"/>
      <c r="EWP1010" s="182"/>
      <c r="EWQ1010" s="182"/>
      <c r="EWR1010" s="182"/>
      <c r="EWS1010" s="182"/>
      <c r="EWT1010" s="182"/>
      <c r="EWU1010" s="182"/>
      <c r="EWV1010" s="182"/>
      <c r="EWW1010" s="182"/>
      <c r="EWX1010" s="182"/>
      <c r="EWY1010" s="182"/>
      <c r="EWZ1010" s="182"/>
      <c r="EXA1010" s="182"/>
      <c r="EXB1010" s="182"/>
      <c r="EXC1010" s="182"/>
      <c r="EXD1010" s="182"/>
      <c r="EXE1010" s="182"/>
      <c r="EXF1010" s="182"/>
      <c r="EXG1010" s="182"/>
      <c r="EXH1010" s="182"/>
      <c r="EXI1010" s="182"/>
      <c r="EXJ1010" s="182"/>
      <c r="EXK1010" s="182"/>
      <c r="EXL1010" s="182"/>
      <c r="EXM1010" s="182"/>
      <c r="EXN1010" s="182"/>
      <c r="EXO1010" s="182"/>
      <c r="EXP1010" s="182"/>
      <c r="EXQ1010" s="182"/>
      <c r="EXR1010" s="182"/>
      <c r="EXS1010" s="182"/>
      <c r="EXT1010" s="182"/>
      <c r="EXU1010" s="182"/>
      <c r="EXV1010" s="182"/>
      <c r="EXW1010" s="182"/>
      <c r="EXX1010" s="182"/>
      <c r="EXY1010" s="182"/>
      <c r="EXZ1010" s="182"/>
      <c r="EYA1010" s="182"/>
      <c r="EYB1010" s="182"/>
      <c r="EYC1010" s="182"/>
      <c r="EYD1010" s="182"/>
      <c r="EYE1010" s="182"/>
      <c r="EYF1010" s="182"/>
      <c r="EYG1010" s="182"/>
      <c r="EYH1010" s="182"/>
      <c r="EYI1010" s="182"/>
      <c r="EYJ1010" s="182"/>
      <c r="EYK1010" s="182"/>
      <c r="EYL1010" s="182"/>
      <c r="EYM1010" s="182"/>
      <c r="EYN1010" s="182"/>
      <c r="EYO1010" s="182"/>
      <c r="EYP1010" s="182"/>
      <c r="EYQ1010" s="182"/>
      <c r="EYR1010" s="182"/>
      <c r="EYS1010" s="182"/>
      <c r="EYT1010" s="182"/>
      <c r="EYU1010" s="182"/>
      <c r="EYV1010" s="182"/>
      <c r="EYW1010" s="182"/>
      <c r="EYX1010" s="182"/>
      <c r="EYY1010" s="182"/>
      <c r="EYZ1010" s="182"/>
      <c r="EZA1010" s="182"/>
      <c r="EZB1010" s="182"/>
      <c r="EZC1010" s="182"/>
      <c r="EZD1010" s="182"/>
      <c r="EZE1010" s="182"/>
      <c r="EZF1010" s="182"/>
      <c r="EZG1010" s="182"/>
      <c r="EZH1010" s="182"/>
      <c r="EZI1010" s="182"/>
      <c r="EZJ1010" s="182"/>
      <c r="EZK1010" s="182"/>
      <c r="EZL1010" s="182"/>
      <c r="EZM1010" s="182"/>
      <c r="EZN1010" s="182"/>
      <c r="EZO1010" s="182"/>
      <c r="EZP1010" s="182"/>
      <c r="EZQ1010" s="182"/>
      <c r="EZR1010" s="182"/>
      <c r="EZS1010" s="182"/>
      <c r="EZT1010" s="182"/>
      <c r="EZU1010" s="182"/>
      <c r="EZV1010" s="182"/>
      <c r="EZW1010" s="182"/>
      <c r="EZX1010" s="182"/>
      <c r="EZY1010" s="182"/>
      <c r="EZZ1010" s="182"/>
      <c r="FAA1010" s="182"/>
      <c r="FAB1010" s="182"/>
      <c r="FAC1010" s="182"/>
      <c r="FAD1010" s="182"/>
      <c r="FAE1010" s="182"/>
      <c r="FAF1010" s="182"/>
      <c r="FAG1010" s="182"/>
      <c r="FAH1010" s="182"/>
      <c r="FAI1010" s="182"/>
      <c r="FAJ1010" s="182"/>
      <c r="FAK1010" s="182"/>
      <c r="FAL1010" s="182"/>
      <c r="FAM1010" s="182"/>
      <c r="FAN1010" s="182"/>
      <c r="FAO1010" s="182"/>
      <c r="FAP1010" s="182"/>
      <c r="FAQ1010" s="182"/>
      <c r="FAR1010" s="182"/>
      <c r="FAS1010" s="182"/>
      <c r="FAT1010" s="182"/>
      <c r="FAU1010" s="182"/>
      <c r="FAV1010" s="182"/>
      <c r="FAW1010" s="182"/>
      <c r="FAX1010" s="182"/>
      <c r="FAY1010" s="182"/>
      <c r="FAZ1010" s="182"/>
      <c r="FBA1010" s="182"/>
      <c r="FBB1010" s="182"/>
      <c r="FBC1010" s="182"/>
      <c r="FBD1010" s="182"/>
      <c r="FBE1010" s="182"/>
      <c r="FBF1010" s="182"/>
      <c r="FBG1010" s="182"/>
      <c r="FBH1010" s="182"/>
      <c r="FBI1010" s="182"/>
      <c r="FBJ1010" s="182"/>
      <c r="FBK1010" s="182"/>
      <c r="FBL1010" s="182"/>
      <c r="FBM1010" s="182"/>
      <c r="FBN1010" s="182"/>
      <c r="FBO1010" s="182"/>
      <c r="FBP1010" s="182"/>
      <c r="FBQ1010" s="182"/>
      <c r="FBR1010" s="182"/>
      <c r="FBS1010" s="182"/>
      <c r="FBT1010" s="182"/>
      <c r="FBU1010" s="182"/>
      <c r="FBV1010" s="182"/>
      <c r="FBW1010" s="182"/>
      <c r="FBX1010" s="182"/>
      <c r="FBY1010" s="182"/>
      <c r="FBZ1010" s="182"/>
      <c r="FCA1010" s="182"/>
      <c r="FCB1010" s="182"/>
      <c r="FCC1010" s="182"/>
      <c r="FCD1010" s="182"/>
      <c r="FCE1010" s="182"/>
      <c r="FCF1010" s="182"/>
      <c r="FCG1010" s="182"/>
      <c r="FCH1010" s="182"/>
      <c r="FCI1010" s="182"/>
      <c r="FCJ1010" s="182"/>
      <c r="FCK1010" s="182"/>
      <c r="FCL1010" s="182"/>
      <c r="FCM1010" s="182"/>
      <c r="FCN1010" s="182"/>
      <c r="FCO1010" s="182"/>
      <c r="FCP1010" s="182"/>
      <c r="FCQ1010" s="182"/>
      <c r="FCR1010" s="182"/>
      <c r="FCS1010" s="182"/>
      <c r="FCT1010" s="182"/>
      <c r="FCU1010" s="182"/>
      <c r="FCV1010" s="182"/>
      <c r="FCW1010" s="182"/>
      <c r="FCX1010" s="182"/>
      <c r="FCY1010" s="182"/>
      <c r="FCZ1010" s="182"/>
      <c r="FDA1010" s="182"/>
      <c r="FDB1010" s="182"/>
      <c r="FDC1010" s="182"/>
      <c r="FDD1010" s="182"/>
      <c r="FDE1010" s="182"/>
      <c r="FDF1010" s="182"/>
      <c r="FDG1010" s="182"/>
      <c r="FDH1010" s="182"/>
      <c r="FDI1010" s="182"/>
      <c r="FDJ1010" s="182"/>
      <c r="FDK1010" s="182"/>
      <c r="FDL1010" s="182"/>
      <c r="FDM1010" s="182"/>
      <c r="FDN1010" s="182"/>
      <c r="FDO1010" s="182"/>
      <c r="FDP1010" s="182"/>
      <c r="FDQ1010" s="182"/>
      <c r="FDR1010" s="182"/>
      <c r="FDS1010" s="182"/>
      <c r="FDT1010" s="182"/>
      <c r="FDU1010" s="182"/>
      <c r="FDV1010" s="182"/>
      <c r="FDW1010" s="182"/>
      <c r="FDX1010" s="182"/>
      <c r="FDY1010" s="182"/>
      <c r="FDZ1010" s="182"/>
      <c r="FEA1010" s="182"/>
      <c r="FEB1010" s="182"/>
      <c r="FEC1010" s="182"/>
      <c r="FED1010" s="182"/>
      <c r="FEE1010" s="182"/>
      <c r="FEF1010" s="182"/>
      <c r="FEG1010" s="182"/>
      <c r="FEH1010" s="182"/>
      <c r="FEI1010" s="182"/>
      <c r="FEJ1010" s="182"/>
      <c r="FEK1010" s="182"/>
      <c r="FEL1010" s="182"/>
      <c r="FEM1010" s="182"/>
      <c r="FEN1010" s="182"/>
      <c r="FEO1010" s="182"/>
      <c r="FEP1010" s="182"/>
      <c r="FEQ1010" s="182"/>
      <c r="FER1010" s="182"/>
      <c r="FES1010" s="182"/>
      <c r="FET1010" s="182"/>
      <c r="FEU1010" s="182"/>
      <c r="FEV1010" s="182"/>
      <c r="FEW1010" s="182"/>
      <c r="FEX1010" s="182"/>
      <c r="FEY1010" s="182"/>
      <c r="FEZ1010" s="182"/>
      <c r="FFA1010" s="182"/>
      <c r="FFB1010" s="182"/>
      <c r="FFC1010" s="182"/>
      <c r="FFD1010" s="182"/>
      <c r="FFE1010" s="182"/>
      <c r="FFF1010" s="182"/>
      <c r="FFG1010" s="182"/>
      <c r="FFH1010" s="182"/>
      <c r="FFI1010" s="182"/>
      <c r="FFJ1010" s="182"/>
      <c r="FFK1010" s="182"/>
      <c r="FFL1010" s="182"/>
      <c r="FFM1010" s="182"/>
      <c r="FFN1010" s="182"/>
      <c r="FFO1010" s="182"/>
      <c r="FFP1010" s="182"/>
      <c r="FFQ1010" s="182"/>
      <c r="FFR1010" s="182"/>
      <c r="FFS1010" s="182"/>
      <c r="FFT1010" s="182"/>
      <c r="FFU1010" s="182"/>
      <c r="FFV1010" s="182"/>
      <c r="FFW1010" s="182"/>
      <c r="FFX1010" s="182"/>
      <c r="FFY1010" s="182"/>
      <c r="FFZ1010" s="182"/>
      <c r="FGA1010" s="182"/>
      <c r="FGB1010" s="182"/>
      <c r="FGC1010" s="182"/>
      <c r="FGD1010" s="182"/>
      <c r="FGE1010" s="182"/>
      <c r="FGF1010" s="182"/>
      <c r="FGG1010" s="182"/>
      <c r="FGH1010" s="182"/>
      <c r="FGI1010" s="182"/>
      <c r="FGJ1010" s="182"/>
      <c r="FGK1010" s="182"/>
      <c r="FGL1010" s="182"/>
      <c r="FGM1010" s="182"/>
      <c r="FGN1010" s="182"/>
      <c r="FGO1010" s="182"/>
      <c r="FGP1010" s="182"/>
      <c r="FGQ1010" s="182"/>
      <c r="FGR1010" s="182"/>
      <c r="FGS1010" s="182"/>
      <c r="FGT1010" s="182"/>
      <c r="FGU1010" s="182"/>
      <c r="FGV1010" s="182"/>
      <c r="FGW1010" s="182"/>
      <c r="FGX1010" s="182"/>
      <c r="FGY1010" s="182"/>
      <c r="FGZ1010" s="182"/>
      <c r="FHA1010" s="182"/>
      <c r="FHB1010" s="182"/>
      <c r="FHC1010" s="182"/>
      <c r="FHD1010" s="182"/>
      <c r="FHE1010" s="182"/>
      <c r="FHF1010" s="182"/>
      <c r="FHG1010" s="182"/>
      <c r="FHH1010" s="182"/>
      <c r="FHI1010" s="182"/>
      <c r="FHJ1010" s="182"/>
      <c r="FHK1010" s="182"/>
      <c r="FHL1010" s="182"/>
      <c r="FHM1010" s="182"/>
      <c r="FHN1010" s="182"/>
      <c r="FHO1010" s="182"/>
      <c r="FHP1010" s="182"/>
      <c r="FHQ1010" s="182"/>
      <c r="FHR1010" s="182"/>
      <c r="FHS1010" s="182"/>
      <c r="FHT1010" s="182"/>
      <c r="FHU1010" s="182"/>
      <c r="FHV1010" s="182"/>
      <c r="FHW1010" s="182"/>
      <c r="FHX1010" s="182"/>
      <c r="FHY1010" s="182"/>
      <c r="FHZ1010" s="182"/>
      <c r="FIA1010" s="182"/>
      <c r="FIB1010" s="182"/>
      <c r="FIC1010" s="182"/>
      <c r="FID1010" s="182"/>
      <c r="FIE1010" s="182"/>
      <c r="FIF1010" s="182"/>
      <c r="FIG1010" s="182"/>
      <c r="FIH1010" s="182"/>
      <c r="FII1010" s="182"/>
      <c r="FIJ1010" s="182"/>
      <c r="FIK1010" s="182"/>
      <c r="FIL1010" s="182"/>
      <c r="FIM1010" s="182"/>
      <c r="FIN1010" s="182"/>
      <c r="FIO1010" s="182"/>
      <c r="FIP1010" s="182"/>
      <c r="FIQ1010" s="182"/>
      <c r="FIR1010" s="182"/>
      <c r="FIS1010" s="182"/>
      <c r="FIT1010" s="182"/>
      <c r="FIU1010" s="182"/>
      <c r="FIV1010" s="182"/>
      <c r="FIW1010" s="182"/>
      <c r="FIX1010" s="182"/>
      <c r="FIY1010" s="182"/>
      <c r="FIZ1010" s="182"/>
      <c r="FJA1010" s="182"/>
      <c r="FJB1010" s="182"/>
      <c r="FJC1010" s="182"/>
      <c r="FJD1010" s="182"/>
      <c r="FJE1010" s="182"/>
      <c r="FJF1010" s="182"/>
      <c r="FJG1010" s="182"/>
      <c r="FJH1010" s="182"/>
      <c r="FJI1010" s="182"/>
      <c r="FJJ1010" s="182"/>
      <c r="FJK1010" s="182"/>
      <c r="FJL1010" s="182"/>
      <c r="FJM1010" s="182"/>
      <c r="FJN1010" s="182"/>
      <c r="FJO1010" s="182"/>
      <c r="FJP1010" s="182"/>
      <c r="FJQ1010" s="182"/>
      <c r="FJR1010" s="182"/>
      <c r="FJS1010" s="182"/>
      <c r="FJT1010" s="182"/>
      <c r="FJU1010" s="182"/>
      <c r="FJV1010" s="182"/>
      <c r="FJW1010" s="182"/>
      <c r="FJX1010" s="182"/>
      <c r="FJY1010" s="182"/>
      <c r="FJZ1010" s="182"/>
      <c r="FKA1010" s="182"/>
      <c r="FKB1010" s="182"/>
      <c r="FKC1010" s="182"/>
      <c r="FKD1010" s="182"/>
      <c r="FKE1010" s="182"/>
      <c r="FKF1010" s="182"/>
      <c r="FKG1010" s="182"/>
      <c r="FKH1010" s="182"/>
      <c r="FKI1010" s="182"/>
      <c r="FKJ1010" s="182"/>
      <c r="FKK1010" s="182"/>
      <c r="FKL1010" s="182"/>
      <c r="FKM1010" s="182"/>
      <c r="FKN1010" s="182"/>
      <c r="FKO1010" s="182"/>
      <c r="FKP1010" s="182"/>
      <c r="FKQ1010" s="182"/>
      <c r="FKR1010" s="182"/>
      <c r="FKS1010" s="182"/>
      <c r="FKT1010" s="182"/>
      <c r="FKU1010" s="182"/>
      <c r="FKV1010" s="182"/>
      <c r="FKW1010" s="182"/>
      <c r="FKX1010" s="182"/>
      <c r="FKY1010" s="182"/>
      <c r="FKZ1010" s="182"/>
      <c r="FLA1010" s="182"/>
      <c r="FLB1010" s="182"/>
      <c r="FLC1010" s="182"/>
      <c r="FLD1010" s="182"/>
      <c r="FLE1010" s="182"/>
      <c r="FLF1010" s="182"/>
      <c r="FLG1010" s="182"/>
      <c r="FLH1010" s="182"/>
      <c r="FLI1010" s="182"/>
      <c r="FLJ1010" s="182"/>
      <c r="FLK1010" s="182"/>
      <c r="FLL1010" s="182"/>
      <c r="FLM1010" s="182"/>
      <c r="FLN1010" s="182"/>
      <c r="FLO1010" s="182"/>
      <c r="FLP1010" s="182"/>
      <c r="FLQ1010" s="182"/>
      <c r="FLR1010" s="182"/>
      <c r="FLS1010" s="182"/>
      <c r="FLT1010" s="182"/>
      <c r="FLU1010" s="182"/>
      <c r="FLV1010" s="182"/>
      <c r="FLW1010" s="182"/>
      <c r="FLX1010" s="182"/>
      <c r="FLY1010" s="182"/>
      <c r="FLZ1010" s="182"/>
      <c r="FMA1010" s="182"/>
      <c r="FMB1010" s="182"/>
      <c r="FMC1010" s="182"/>
      <c r="FMD1010" s="182"/>
      <c r="FME1010" s="182"/>
      <c r="FMF1010" s="182"/>
      <c r="FMG1010" s="182"/>
      <c r="FMH1010" s="182"/>
      <c r="FMI1010" s="182"/>
      <c r="FMJ1010" s="182"/>
      <c r="FMK1010" s="182"/>
      <c r="FML1010" s="182"/>
      <c r="FMM1010" s="182"/>
      <c r="FMN1010" s="182"/>
      <c r="FMO1010" s="182"/>
      <c r="FMP1010" s="182"/>
      <c r="FMQ1010" s="182"/>
      <c r="FMR1010" s="182"/>
      <c r="FMS1010" s="182"/>
      <c r="FMT1010" s="182"/>
      <c r="FMU1010" s="182"/>
      <c r="FMV1010" s="182"/>
      <c r="FMW1010" s="182"/>
      <c r="FMX1010" s="182"/>
      <c r="FMY1010" s="182"/>
      <c r="FMZ1010" s="182"/>
      <c r="FNA1010" s="182"/>
      <c r="FNB1010" s="182"/>
      <c r="FNC1010" s="182"/>
      <c r="FND1010" s="182"/>
      <c r="FNE1010" s="182"/>
      <c r="FNF1010" s="182"/>
      <c r="FNG1010" s="182"/>
      <c r="FNH1010" s="182"/>
      <c r="FNI1010" s="182"/>
      <c r="FNJ1010" s="182"/>
      <c r="FNK1010" s="182"/>
      <c r="FNL1010" s="182"/>
      <c r="FNM1010" s="182"/>
      <c r="FNN1010" s="182"/>
      <c r="FNO1010" s="182"/>
      <c r="FNP1010" s="182"/>
      <c r="FNQ1010" s="182"/>
      <c r="FNR1010" s="182"/>
      <c r="FNS1010" s="182"/>
      <c r="FNT1010" s="182"/>
      <c r="FNU1010" s="182"/>
      <c r="FNV1010" s="182"/>
      <c r="FNW1010" s="182"/>
      <c r="FNX1010" s="182"/>
      <c r="FNY1010" s="182"/>
      <c r="FNZ1010" s="182"/>
      <c r="FOA1010" s="182"/>
      <c r="FOB1010" s="182"/>
      <c r="FOC1010" s="182"/>
      <c r="FOD1010" s="182"/>
      <c r="FOE1010" s="182"/>
      <c r="FOF1010" s="182"/>
      <c r="FOG1010" s="182"/>
      <c r="FOH1010" s="182"/>
      <c r="FOI1010" s="182"/>
      <c r="FOJ1010" s="182"/>
      <c r="FOK1010" s="182"/>
      <c r="FOL1010" s="182"/>
      <c r="FOM1010" s="182"/>
      <c r="FON1010" s="182"/>
      <c r="FOO1010" s="182"/>
      <c r="FOP1010" s="182"/>
      <c r="FOQ1010" s="182"/>
      <c r="FOR1010" s="182"/>
      <c r="FOS1010" s="182"/>
      <c r="FOT1010" s="182"/>
      <c r="FOU1010" s="182"/>
      <c r="FOV1010" s="182"/>
      <c r="FOW1010" s="182"/>
      <c r="FOX1010" s="182"/>
      <c r="FOY1010" s="182"/>
      <c r="FOZ1010" s="182"/>
      <c r="FPA1010" s="182"/>
      <c r="FPB1010" s="182"/>
      <c r="FPC1010" s="182"/>
      <c r="FPD1010" s="182"/>
      <c r="FPE1010" s="182"/>
      <c r="FPF1010" s="182"/>
      <c r="FPG1010" s="182"/>
      <c r="FPH1010" s="182"/>
      <c r="FPI1010" s="182"/>
      <c r="FPJ1010" s="182"/>
      <c r="FPK1010" s="182"/>
      <c r="FPL1010" s="182"/>
      <c r="FPM1010" s="182"/>
      <c r="FPN1010" s="182"/>
      <c r="FPO1010" s="182"/>
      <c r="FPP1010" s="182"/>
      <c r="FPQ1010" s="182"/>
      <c r="FPR1010" s="182"/>
      <c r="FPS1010" s="182"/>
      <c r="FPT1010" s="182"/>
      <c r="FPU1010" s="182"/>
      <c r="FPV1010" s="182"/>
      <c r="FPW1010" s="182"/>
      <c r="FPX1010" s="182"/>
      <c r="FPY1010" s="182"/>
      <c r="FPZ1010" s="182"/>
      <c r="FQA1010" s="182"/>
      <c r="FQB1010" s="182"/>
      <c r="FQC1010" s="182"/>
      <c r="FQD1010" s="182"/>
      <c r="FQE1010" s="182"/>
      <c r="FQF1010" s="182"/>
      <c r="FQG1010" s="182"/>
      <c r="FQH1010" s="182"/>
      <c r="FQI1010" s="182"/>
      <c r="FQJ1010" s="182"/>
      <c r="FQK1010" s="182"/>
      <c r="FQL1010" s="182"/>
      <c r="FQM1010" s="182"/>
      <c r="FQN1010" s="182"/>
      <c r="FQO1010" s="182"/>
      <c r="FQP1010" s="182"/>
      <c r="FQQ1010" s="182"/>
      <c r="FQR1010" s="182"/>
      <c r="FQS1010" s="182"/>
      <c r="FQT1010" s="182"/>
      <c r="FQU1010" s="182"/>
      <c r="FQV1010" s="182"/>
      <c r="FQW1010" s="182"/>
      <c r="FQX1010" s="182"/>
      <c r="FQY1010" s="182"/>
      <c r="FQZ1010" s="182"/>
      <c r="FRA1010" s="182"/>
      <c r="FRB1010" s="182"/>
      <c r="FRC1010" s="182"/>
      <c r="FRD1010" s="182"/>
      <c r="FRE1010" s="182"/>
      <c r="FRF1010" s="182"/>
      <c r="FRG1010" s="182"/>
      <c r="FRH1010" s="182"/>
      <c r="FRI1010" s="182"/>
      <c r="FRJ1010" s="182"/>
      <c r="FRK1010" s="182"/>
      <c r="FRL1010" s="182"/>
      <c r="FRM1010" s="182"/>
      <c r="FRN1010" s="182"/>
      <c r="FRO1010" s="182"/>
      <c r="FRP1010" s="182"/>
      <c r="FRQ1010" s="182"/>
      <c r="FRR1010" s="182"/>
      <c r="FRS1010" s="182"/>
      <c r="FRT1010" s="182"/>
      <c r="FRU1010" s="182"/>
      <c r="FRV1010" s="182"/>
      <c r="FRW1010" s="182"/>
      <c r="FRX1010" s="182"/>
      <c r="FRY1010" s="182"/>
      <c r="FRZ1010" s="182"/>
      <c r="FSA1010" s="182"/>
      <c r="FSB1010" s="182"/>
      <c r="FSC1010" s="182"/>
      <c r="FSD1010" s="182"/>
      <c r="FSE1010" s="182"/>
      <c r="FSF1010" s="182"/>
      <c r="FSG1010" s="182"/>
      <c r="FSH1010" s="182"/>
      <c r="FSI1010" s="182"/>
      <c r="FSJ1010" s="182"/>
      <c r="FSK1010" s="182"/>
      <c r="FSL1010" s="182"/>
      <c r="FSM1010" s="182"/>
      <c r="FSN1010" s="182"/>
      <c r="FSO1010" s="182"/>
      <c r="FSP1010" s="182"/>
      <c r="FSQ1010" s="182"/>
      <c r="FSR1010" s="182"/>
      <c r="FSS1010" s="182"/>
      <c r="FST1010" s="182"/>
      <c r="FSU1010" s="182"/>
      <c r="FSV1010" s="182"/>
      <c r="FSW1010" s="182"/>
      <c r="FSX1010" s="182"/>
      <c r="FSY1010" s="182"/>
      <c r="FSZ1010" s="182"/>
      <c r="FTA1010" s="182"/>
      <c r="FTB1010" s="182"/>
      <c r="FTC1010" s="182"/>
      <c r="FTD1010" s="182"/>
      <c r="FTE1010" s="182"/>
      <c r="FTF1010" s="182"/>
      <c r="FTG1010" s="182"/>
      <c r="FTH1010" s="182"/>
      <c r="FTI1010" s="182"/>
      <c r="FTJ1010" s="182"/>
      <c r="FTK1010" s="182"/>
      <c r="FTL1010" s="182"/>
      <c r="FTM1010" s="182"/>
      <c r="FTN1010" s="182"/>
      <c r="FTO1010" s="182"/>
      <c r="FTP1010" s="182"/>
      <c r="FTQ1010" s="182"/>
      <c r="FTR1010" s="182"/>
      <c r="FTS1010" s="182"/>
      <c r="FTT1010" s="182"/>
      <c r="FTU1010" s="182"/>
      <c r="FTV1010" s="182"/>
      <c r="FTW1010" s="182"/>
      <c r="FTX1010" s="182"/>
      <c r="FTY1010" s="182"/>
      <c r="FTZ1010" s="182"/>
      <c r="FUA1010" s="182"/>
      <c r="FUB1010" s="182"/>
      <c r="FUC1010" s="182"/>
      <c r="FUD1010" s="182"/>
      <c r="FUE1010" s="182"/>
      <c r="FUF1010" s="182"/>
      <c r="FUG1010" s="182"/>
      <c r="FUH1010" s="182"/>
      <c r="FUI1010" s="182"/>
      <c r="FUJ1010" s="182"/>
      <c r="FUK1010" s="182"/>
      <c r="FUL1010" s="182"/>
      <c r="FUM1010" s="182"/>
      <c r="FUN1010" s="182"/>
      <c r="FUO1010" s="182"/>
      <c r="FUP1010" s="182"/>
      <c r="FUQ1010" s="182"/>
      <c r="FUR1010" s="182"/>
      <c r="FUS1010" s="182"/>
      <c r="FUT1010" s="182"/>
      <c r="FUU1010" s="182"/>
      <c r="FUV1010" s="182"/>
      <c r="FUW1010" s="182"/>
      <c r="FUX1010" s="182"/>
      <c r="FUY1010" s="182"/>
      <c r="FUZ1010" s="182"/>
      <c r="FVA1010" s="182"/>
      <c r="FVB1010" s="182"/>
      <c r="FVC1010" s="182"/>
      <c r="FVD1010" s="182"/>
      <c r="FVE1010" s="182"/>
      <c r="FVF1010" s="182"/>
      <c r="FVG1010" s="182"/>
      <c r="FVH1010" s="182"/>
      <c r="FVI1010" s="182"/>
      <c r="FVJ1010" s="182"/>
      <c r="FVK1010" s="182"/>
      <c r="FVL1010" s="182"/>
      <c r="FVM1010" s="182"/>
      <c r="FVN1010" s="182"/>
      <c r="FVO1010" s="182"/>
      <c r="FVP1010" s="182"/>
      <c r="FVQ1010" s="182"/>
      <c r="FVR1010" s="182"/>
      <c r="FVS1010" s="182"/>
      <c r="FVT1010" s="182"/>
      <c r="FVU1010" s="182"/>
      <c r="FVV1010" s="182"/>
      <c r="FVW1010" s="182"/>
      <c r="FVX1010" s="182"/>
      <c r="FVY1010" s="182"/>
      <c r="FVZ1010" s="182"/>
      <c r="FWA1010" s="182"/>
      <c r="FWB1010" s="182"/>
      <c r="FWC1010" s="182"/>
      <c r="FWD1010" s="182"/>
      <c r="FWE1010" s="182"/>
      <c r="FWF1010" s="182"/>
      <c r="FWG1010" s="182"/>
      <c r="FWH1010" s="182"/>
      <c r="FWI1010" s="182"/>
      <c r="FWJ1010" s="182"/>
      <c r="FWK1010" s="182"/>
      <c r="FWL1010" s="182"/>
      <c r="FWM1010" s="182"/>
      <c r="FWN1010" s="182"/>
      <c r="FWO1010" s="182"/>
      <c r="FWP1010" s="182"/>
      <c r="FWQ1010" s="182"/>
      <c r="FWR1010" s="182"/>
      <c r="FWS1010" s="182"/>
      <c r="FWT1010" s="182"/>
      <c r="FWU1010" s="182"/>
      <c r="FWV1010" s="182"/>
      <c r="FWW1010" s="182"/>
      <c r="FWX1010" s="182"/>
      <c r="FWY1010" s="182"/>
      <c r="FWZ1010" s="182"/>
      <c r="FXA1010" s="182"/>
      <c r="FXB1010" s="182"/>
      <c r="FXC1010" s="182"/>
      <c r="FXD1010" s="182"/>
      <c r="FXE1010" s="182"/>
      <c r="FXF1010" s="182"/>
      <c r="FXG1010" s="182"/>
      <c r="FXH1010" s="182"/>
      <c r="FXI1010" s="182"/>
      <c r="FXJ1010" s="182"/>
      <c r="FXK1010" s="182"/>
      <c r="FXL1010" s="182"/>
      <c r="FXM1010" s="182"/>
      <c r="FXN1010" s="182"/>
      <c r="FXO1010" s="182"/>
      <c r="FXP1010" s="182"/>
      <c r="FXQ1010" s="182"/>
      <c r="FXR1010" s="182"/>
      <c r="FXS1010" s="182"/>
      <c r="FXT1010" s="182"/>
      <c r="FXU1010" s="182"/>
      <c r="FXV1010" s="182"/>
      <c r="FXW1010" s="182"/>
      <c r="FXX1010" s="182"/>
      <c r="FXY1010" s="182"/>
      <c r="FXZ1010" s="182"/>
      <c r="FYA1010" s="182"/>
      <c r="FYB1010" s="182"/>
      <c r="FYC1010" s="182"/>
      <c r="FYD1010" s="182"/>
      <c r="FYE1010" s="182"/>
      <c r="FYF1010" s="182"/>
      <c r="FYG1010" s="182"/>
      <c r="FYH1010" s="182"/>
      <c r="FYI1010" s="182"/>
      <c r="FYJ1010" s="182"/>
      <c r="FYK1010" s="182"/>
      <c r="FYL1010" s="182"/>
      <c r="FYM1010" s="182"/>
      <c r="FYN1010" s="182"/>
      <c r="FYO1010" s="182"/>
      <c r="FYP1010" s="182"/>
      <c r="FYQ1010" s="182"/>
      <c r="FYR1010" s="182"/>
      <c r="FYS1010" s="182"/>
      <c r="FYT1010" s="182"/>
      <c r="FYU1010" s="182"/>
      <c r="FYV1010" s="182"/>
      <c r="FYW1010" s="182"/>
      <c r="FYX1010" s="182"/>
      <c r="FYY1010" s="182"/>
      <c r="FYZ1010" s="182"/>
      <c r="FZA1010" s="182"/>
      <c r="FZB1010" s="182"/>
      <c r="FZC1010" s="182"/>
      <c r="FZD1010" s="182"/>
      <c r="FZE1010" s="182"/>
      <c r="FZF1010" s="182"/>
      <c r="FZG1010" s="182"/>
      <c r="FZH1010" s="182"/>
      <c r="FZI1010" s="182"/>
      <c r="FZJ1010" s="182"/>
      <c r="FZK1010" s="182"/>
      <c r="FZL1010" s="182"/>
      <c r="FZM1010" s="182"/>
      <c r="FZN1010" s="182"/>
      <c r="FZO1010" s="182"/>
      <c r="FZP1010" s="182"/>
      <c r="FZQ1010" s="182"/>
      <c r="FZR1010" s="182"/>
      <c r="FZS1010" s="182"/>
      <c r="FZT1010" s="182"/>
      <c r="FZU1010" s="182"/>
      <c r="FZV1010" s="182"/>
      <c r="FZW1010" s="182"/>
      <c r="FZX1010" s="182"/>
      <c r="FZY1010" s="182"/>
      <c r="FZZ1010" s="182"/>
      <c r="GAA1010" s="182"/>
      <c r="GAB1010" s="182"/>
      <c r="GAC1010" s="182"/>
      <c r="GAD1010" s="182"/>
      <c r="GAE1010" s="182"/>
      <c r="GAF1010" s="182"/>
      <c r="GAG1010" s="182"/>
      <c r="GAH1010" s="182"/>
      <c r="GAI1010" s="182"/>
      <c r="GAJ1010" s="182"/>
      <c r="GAK1010" s="182"/>
      <c r="GAL1010" s="182"/>
      <c r="GAM1010" s="182"/>
      <c r="GAN1010" s="182"/>
      <c r="GAO1010" s="182"/>
      <c r="GAP1010" s="182"/>
      <c r="GAQ1010" s="182"/>
      <c r="GAR1010" s="182"/>
      <c r="GAS1010" s="182"/>
      <c r="GAT1010" s="182"/>
      <c r="GAU1010" s="182"/>
      <c r="GAV1010" s="182"/>
      <c r="GAW1010" s="182"/>
      <c r="GAX1010" s="182"/>
      <c r="GAY1010" s="182"/>
      <c r="GAZ1010" s="182"/>
      <c r="GBA1010" s="182"/>
      <c r="GBB1010" s="182"/>
      <c r="GBC1010" s="182"/>
      <c r="GBD1010" s="182"/>
      <c r="GBE1010" s="182"/>
      <c r="GBF1010" s="182"/>
      <c r="GBG1010" s="182"/>
      <c r="GBH1010" s="182"/>
      <c r="GBI1010" s="182"/>
      <c r="GBJ1010" s="182"/>
      <c r="GBK1010" s="182"/>
      <c r="GBL1010" s="182"/>
      <c r="GBM1010" s="182"/>
      <c r="GBN1010" s="182"/>
      <c r="GBO1010" s="182"/>
      <c r="GBP1010" s="182"/>
      <c r="GBQ1010" s="182"/>
      <c r="GBR1010" s="182"/>
      <c r="GBS1010" s="182"/>
      <c r="GBT1010" s="182"/>
      <c r="GBU1010" s="182"/>
      <c r="GBV1010" s="182"/>
      <c r="GBW1010" s="182"/>
      <c r="GBX1010" s="182"/>
      <c r="GBY1010" s="182"/>
      <c r="GBZ1010" s="182"/>
      <c r="GCA1010" s="182"/>
      <c r="GCB1010" s="182"/>
      <c r="GCC1010" s="182"/>
      <c r="GCD1010" s="182"/>
      <c r="GCE1010" s="182"/>
      <c r="GCF1010" s="182"/>
      <c r="GCG1010" s="182"/>
      <c r="GCH1010" s="182"/>
      <c r="GCI1010" s="182"/>
      <c r="GCJ1010" s="182"/>
      <c r="GCK1010" s="182"/>
      <c r="GCL1010" s="182"/>
      <c r="GCM1010" s="182"/>
      <c r="GCN1010" s="182"/>
      <c r="GCO1010" s="182"/>
      <c r="GCP1010" s="182"/>
      <c r="GCQ1010" s="182"/>
      <c r="GCR1010" s="182"/>
      <c r="GCS1010" s="182"/>
      <c r="GCT1010" s="182"/>
      <c r="GCU1010" s="182"/>
      <c r="GCV1010" s="182"/>
      <c r="GCW1010" s="182"/>
      <c r="GCX1010" s="182"/>
      <c r="GCY1010" s="182"/>
      <c r="GCZ1010" s="182"/>
      <c r="GDA1010" s="182"/>
      <c r="GDB1010" s="182"/>
      <c r="GDC1010" s="182"/>
      <c r="GDD1010" s="182"/>
      <c r="GDE1010" s="182"/>
      <c r="GDF1010" s="182"/>
      <c r="GDG1010" s="182"/>
      <c r="GDH1010" s="182"/>
      <c r="GDI1010" s="182"/>
      <c r="GDJ1010" s="182"/>
      <c r="GDK1010" s="182"/>
      <c r="GDL1010" s="182"/>
      <c r="GDM1010" s="182"/>
      <c r="GDN1010" s="182"/>
      <c r="GDO1010" s="182"/>
      <c r="GDP1010" s="182"/>
      <c r="GDQ1010" s="182"/>
      <c r="GDR1010" s="182"/>
      <c r="GDS1010" s="182"/>
      <c r="GDT1010" s="182"/>
      <c r="GDU1010" s="182"/>
      <c r="GDV1010" s="182"/>
      <c r="GDW1010" s="182"/>
      <c r="GDX1010" s="182"/>
      <c r="GDY1010" s="182"/>
      <c r="GDZ1010" s="182"/>
      <c r="GEA1010" s="182"/>
      <c r="GEB1010" s="182"/>
      <c r="GEC1010" s="182"/>
      <c r="GED1010" s="182"/>
      <c r="GEE1010" s="182"/>
      <c r="GEF1010" s="182"/>
      <c r="GEG1010" s="182"/>
      <c r="GEH1010" s="182"/>
      <c r="GEI1010" s="182"/>
      <c r="GEJ1010" s="182"/>
      <c r="GEK1010" s="182"/>
      <c r="GEL1010" s="182"/>
      <c r="GEM1010" s="182"/>
      <c r="GEN1010" s="182"/>
      <c r="GEO1010" s="182"/>
      <c r="GEP1010" s="182"/>
      <c r="GEQ1010" s="182"/>
      <c r="GER1010" s="182"/>
      <c r="GES1010" s="182"/>
      <c r="GET1010" s="182"/>
      <c r="GEU1010" s="182"/>
      <c r="GEV1010" s="182"/>
      <c r="GEW1010" s="182"/>
      <c r="GEX1010" s="182"/>
      <c r="GEY1010" s="182"/>
      <c r="GEZ1010" s="182"/>
      <c r="GFA1010" s="182"/>
      <c r="GFB1010" s="182"/>
      <c r="GFC1010" s="182"/>
      <c r="GFD1010" s="182"/>
      <c r="GFE1010" s="182"/>
      <c r="GFF1010" s="182"/>
      <c r="GFG1010" s="182"/>
      <c r="GFH1010" s="182"/>
      <c r="GFI1010" s="182"/>
      <c r="GFJ1010" s="182"/>
      <c r="GFK1010" s="182"/>
      <c r="GFL1010" s="182"/>
      <c r="GFM1010" s="182"/>
      <c r="GFN1010" s="182"/>
      <c r="GFO1010" s="182"/>
      <c r="GFP1010" s="182"/>
      <c r="GFQ1010" s="182"/>
      <c r="GFR1010" s="182"/>
      <c r="GFS1010" s="182"/>
      <c r="GFT1010" s="182"/>
      <c r="GFU1010" s="182"/>
      <c r="GFV1010" s="182"/>
      <c r="GFW1010" s="182"/>
      <c r="GFX1010" s="182"/>
      <c r="GFY1010" s="182"/>
      <c r="GFZ1010" s="182"/>
      <c r="GGA1010" s="182"/>
      <c r="GGB1010" s="182"/>
      <c r="GGC1010" s="182"/>
      <c r="GGD1010" s="182"/>
      <c r="GGE1010" s="182"/>
      <c r="GGF1010" s="182"/>
      <c r="GGG1010" s="182"/>
      <c r="GGH1010" s="182"/>
      <c r="GGI1010" s="182"/>
      <c r="GGJ1010" s="182"/>
      <c r="GGK1010" s="182"/>
      <c r="GGL1010" s="182"/>
      <c r="GGM1010" s="182"/>
      <c r="GGN1010" s="182"/>
      <c r="GGO1010" s="182"/>
      <c r="GGP1010" s="182"/>
      <c r="GGQ1010" s="182"/>
      <c r="GGR1010" s="182"/>
      <c r="GGS1010" s="182"/>
      <c r="GGT1010" s="182"/>
      <c r="GGU1010" s="182"/>
      <c r="GGV1010" s="182"/>
      <c r="GGW1010" s="182"/>
      <c r="GGX1010" s="182"/>
      <c r="GGY1010" s="182"/>
      <c r="GGZ1010" s="182"/>
      <c r="GHA1010" s="182"/>
      <c r="GHB1010" s="182"/>
      <c r="GHC1010" s="182"/>
      <c r="GHD1010" s="182"/>
      <c r="GHE1010" s="182"/>
      <c r="GHF1010" s="182"/>
      <c r="GHG1010" s="182"/>
      <c r="GHH1010" s="182"/>
      <c r="GHI1010" s="182"/>
      <c r="GHJ1010" s="182"/>
      <c r="GHK1010" s="182"/>
      <c r="GHL1010" s="182"/>
      <c r="GHM1010" s="182"/>
      <c r="GHN1010" s="182"/>
      <c r="GHO1010" s="182"/>
      <c r="GHP1010" s="182"/>
      <c r="GHQ1010" s="182"/>
      <c r="GHR1010" s="182"/>
      <c r="GHS1010" s="182"/>
      <c r="GHT1010" s="182"/>
      <c r="GHU1010" s="182"/>
      <c r="GHV1010" s="182"/>
      <c r="GHW1010" s="182"/>
      <c r="GHX1010" s="182"/>
      <c r="GHY1010" s="182"/>
      <c r="GHZ1010" s="182"/>
      <c r="GIA1010" s="182"/>
      <c r="GIB1010" s="182"/>
      <c r="GIC1010" s="182"/>
      <c r="GID1010" s="182"/>
      <c r="GIE1010" s="182"/>
      <c r="GIF1010" s="182"/>
      <c r="GIG1010" s="182"/>
      <c r="GIH1010" s="182"/>
      <c r="GII1010" s="182"/>
      <c r="GIJ1010" s="182"/>
      <c r="GIK1010" s="182"/>
      <c r="GIL1010" s="182"/>
      <c r="GIM1010" s="182"/>
      <c r="GIN1010" s="182"/>
      <c r="GIO1010" s="182"/>
      <c r="GIP1010" s="182"/>
      <c r="GIQ1010" s="182"/>
      <c r="GIR1010" s="182"/>
      <c r="GIS1010" s="182"/>
      <c r="GIT1010" s="182"/>
      <c r="GIU1010" s="182"/>
      <c r="GIV1010" s="182"/>
      <c r="GIW1010" s="182"/>
      <c r="GIX1010" s="182"/>
      <c r="GIY1010" s="182"/>
      <c r="GIZ1010" s="182"/>
      <c r="GJA1010" s="182"/>
      <c r="GJB1010" s="182"/>
      <c r="GJC1010" s="182"/>
      <c r="GJD1010" s="182"/>
      <c r="GJE1010" s="182"/>
      <c r="GJF1010" s="182"/>
      <c r="GJG1010" s="182"/>
      <c r="GJH1010" s="182"/>
      <c r="GJI1010" s="182"/>
      <c r="GJJ1010" s="182"/>
      <c r="GJK1010" s="182"/>
      <c r="GJL1010" s="182"/>
      <c r="GJM1010" s="182"/>
      <c r="GJN1010" s="182"/>
      <c r="GJO1010" s="182"/>
      <c r="GJP1010" s="182"/>
      <c r="GJQ1010" s="182"/>
      <c r="GJR1010" s="182"/>
      <c r="GJS1010" s="182"/>
      <c r="GJT1010" s="182"/>
      <c r="GJU1010" s="182"/>
      <c r="GJV1010" s="182"/>
      <c r="GJW1010" s="182"/>
      <c r="GJX1010" s="182"/>
      <c r="GJY1010" s="182"/>
      <c r="GJZ1010" s="182"/>
      <c r="GKA1010" s="182"/>
      <c r="GKB1010" s="182"/>
      <c r="GKC1010" s="182"/>
      <c r="GKD1010" s="182"/>
      <c r="GKE1010" s="182"/>
      <c r="GKF1010" s="182"/>
      <c r="GKG1010" s="182"/>
      <c r="GKH1010" s="182"/>
      <c r="GKI1010" s="182"/>
      <c r="GKJ1010" s="182"/>
      <c r="GKK1010" s="182"/>
      <c r="GKL1010" s="182"/>
      <c r="GKM1010" s="182"/>
      <c r="GKN1010" s="182"/>
      <c r="GKO1010" s="182"/>
      <c r="GKP1010" s="182"/>
      <c r="GKQ1010" s="182"/>
      <c r="GKR1010" s="182"/>
      <c r="GKS1010" s="182"/>
      <c r="GKT1010" s="182"/>
      <c r="GKU1010" s="182"/>
      <c r="GKV1010" s="182"/>
      <c r="GKW1010" s="182"/>
      <c r="GKX1010" s="182"/>
      <c r="GKY1010" s="182"/>
      <c r="GKZ1010" s="182"/>
      <c r="GLA1010" s="182"/>
      <c r="GLB1010" s="182"/>
      <c r="GLC1010" s="182"/>
      <c r="GLD1010" s="182"/>
      <c r="GLE1010" s="182"/>
      <c r="GLF1010" s="182"/>
      <c r="GLG1010" s="182"/>
      <c r="GLH1010" s="182"/>
      <c r="GLI1010" s="182"/>
      <c r="GLJ1010" s="182"/>
      <c r="GLK1010" s="182"/>
      <c r="GLL1010" s="182"/>
      <c r="GLM1010" s="182"/>
      <c r="GLN1010" s="182"/>
      <c r="GLO1010" s="182"/>
      <c r="GLP1010" s="182"/>
      <c r="GLQ1010" s="182"/>
      <c r="GLR1010" s="182"/>
      <c r="GLS1010" s="182"/>
      <c r="GLT1010" s="182"/>
      <c r="GLU1010" s="182"/>
      <c r="GLV1010" s="182"/>
      <c r="GLW1010" s="182"/>
      <c r="GLX1010" s="182"/>
      <c r="GLY1010" s="182"/>
      <c r="GLZ1010" s="182"/>
      <c r="GMA1010" s="182"/>
      <c r="GMB1010" s="182"/>
      <c r="GMC1010" s="182"/>
      <c r="GMD1010" s="182"/>
      <c r="GME1010" s="182"/>
      <c r="GMF1010" s="182"/>
      <c r="GMG1010" s="182"/>
      <c r="GMH1010" s="182"/>
      <c r="GMI1010" s="182"/>
      <c r="GMJ1010" s="182"/>
      <c r="GMK1010" s="182"/>
      <c r="GML1010" s="182"/>
      <c r="GMM1010" s="182"/>
      <c r="GMN1010" s="182"/>
      <c r="GMO1010" s="182"/>
      <c r="GMP1010" s="182"/>
      <c r="GMQ1010" s="182"/>
      <c r="GMR1010" s="182"/>
      <c r="GMS1010" s="182"/>
      <c r="GMT1010" s="182"/>
      <c r="GMU1010" s="182"/>
      <c r="GMV1010" s="182"/>
      <c r="GMW1010" s="182"/>
      <c r="GMX1010" s="182"/>
      <c r="GMY1010" s="182"/>
      <c r="GMZ1010" s="182"/>
      <c r="GNA1010" s="182"/>
      <c r="GNB1010" s="182"/>
      <c r="GNC1010" s="182"/>
      <c r="GND1010" s="182"/>
      <c r="GNE1010" s="182"/>
      <c r="GNF1010" s="182"/>
      <c r="GNG1010" s="182"/>
      <c r="GNH1010" s="182"/>
      <c r="GNI1010" s="182"/>
      <c r="GNJ1010" s="182"/>
      <c r="GNK1010" s="182"/>
      <c r="GNL1010" s="182"/>
      <c r="GNM1010" s="182"/>
      <c r="GNN1010" s="182"/>
      <c r="GNO1010" s="182"/>
      <c r="GNP1010" s="182"/>
      <c r="GNQ1010" s="182"/>
      <c r="GNR1010" s="182"/>
      <c r="GNS1010" s="182"/>
      <c r="GNT1010" s="182"/>
      <c r="GNU1010" s="182"/>
      <c r="GNV1010" s="182"/>
      <c r="GNW1010" s="182"/>
      <c r="GNX1010" s="182"/>
      <c r="GNY1010" s="182"/>
      <c r="GNZ1010" s="182"/>
      <c r="GOA1010" s="182"/>
      <c r="GOB1010" s="182"/>
      <c r="GOC1010" s="182"/>
      <c r="GOD1010" s="182"/>
      <c r="GOE1010" s="182"/>
      <c r="GOF1010" s="182"/>
      <c r="GOG1010" s="182"/>
      <c r="GOH1010" s="182"/>
      <c r="GOI1010" s="182"/>
      <c r="GOJ1010" s="182"/>
      <c r="GOK1010" s="182"/>
      <c r="GOL1010" s="182"/>
      <c r="GOM1010" s="182"/>
      <c r="GON1010" s="182"/>
      <c r="GOO1010" s="182"/>
      <c r="GOP1010" s="182"/>
      <c r="GOQ1010" s="182"/>
      <c r="GOR1010" s="182"/>
      <c r="GOS1010" s="182"/>
      <c r="GOT1010" s="182"/>
      <c r="GOU1010" s="182"/>
      <c r="GOV1010" s="182"/>
      <c r="GOW1010" s="182"/>
      <c r="GOX1010" s="182"/>
      <c r="GOY1010" s="182"/>
      <c r="GOZ1010" s="182"/>
      <c r="GPA1010" s="182"/>
      <c r="GPB1010" s="182"/>
      <c r="GPC1010" s="182"/>
      <c r="GPD1010" s="182"/>
      <c r="GPE1010" s="182"/>
      <c r="GPF1010" s="182"/>
      <c r="GPG1010" s="182"/>
      <c r="GPH1010" s="182"/>
      <c r="GPI1010" s="182"/>
      <c r="GPJ1010" s="182"/>
      <c r="GPK1010" s="182"/>
      <c r="GPL1010" s="182"/>
      <c r="GPM1010" s="182"/>
      <c r="GPN1010" s="182"/>
      <c r="GPO1010" s="182"/>
      <c r="GPP1010" s="182"/>
      <c r="GPQ1010" s="182"/>
      <c r="GPR1010" s="182"/>
      <c r="GPS1010" s="182"/>
      <c r="GPT1010" s="182"/>
      <c r="GPU1010" s="182"/>
      <c r="GPV1010" s="182"/>
      <c r="GPW1010" s="182"/>
      <c r="GPX1010" s="182"/>
      <c r="GPY1010" s="182"/>
      <c r="GPZ1010" s="182"/>
      <c r="GQA1010" s="182"/>
      <c r="GQB1010" s="182"/>
      <c r="GQC1010" s="182"/>
      <c r="GQD1010" s="182"/>
      <c r="GQE1010" s="182"/>
      <c r="GQF1010" s="182"/>
      <c r="GQG1010" s="182"/>
      <c r="GQH1010" s="182"/>
      <c r="GQI1010" s="182"/>
      <c r="GQJ1010" s="182"/>
      <c r="GQK1010" s="182"/>
      <c r="GQL1010" s="182"/>
      <c r="GQM1010" s="182"/>
      <c r="GQN1010" s="182"/>
      <c r="GQO1010" s="182"/>
      <c r="GQP1010" s="182"/>
      <c r="GQQ1010" s="182"/>
      <c r="GQR1010" s="182"/>
      <c r="GQS1010" s="182"/>
      <c r="GQT1010" s="182"/>
      <c r="GQU1010" s="182"/>
      <c r="GQV1010" s="182"/>
      <c r="GQW1010" s="182"/>
      <c r="GQX1010" s="182"/>
      <c r="GQY1010" s="182"/>
      <c r="GQZ1010" s="182"/>
      <c r="GRA1010" s="182"/>
      <c r="GRB1010" s="182"/>
      <c r="GRC1010" s="182"/>
      <c r="GRD1010" s="182"/>
      <c r="GRE1010" s="182"/>
      <c r="GRF1010" s="182"/>
      <c r="GRG1010" s="182"/>
      <c r="GRH1010" s="182"/>
      <c r="GRI1010" s="182"/>
      <c r="GRJ1010" s="182"/>
      <c r="GRK1010" s="182"/>
      <c r="GRL1010" s="182"/>
      <c r="GRM1010" s="182"/>
      <c r="GRN1010" s="182"/>
      <c r="GRO1010" s="182"/>
      <c r="GRP1010" s="182"/>
      <c r="GRQ1010" s="182"/>
      <c r="GRR1010" s="182"/>
      <c r="GRS1010" s="182"/>
      <c r="GRT1010" s="182"/>
      <c r="GRU1010" s="182"/>
      <c r="GRV1010" s="182"/>
      <c r="GRW1010" s="182"/>
      <c r="GRX1010" s="182"/>
      <c r="GRY1010" s="182"/>
      <c r="GRZ1010" s="182"/>
      <c r="GSA1010" s="182"/>
      <c r="GSB1010" s="182"/>
      <c r="GSC1010" s="182"/>
      <c r="GSD1010" s="182"/>
      <c r="GSE1010" s="182"/>
      <c r="GSF1010" s="182"/>
      <c r="GSG1010" s="182"/>
      <c r="GSH1010" s="182"/>
      <c r="GSI1010" s="182"/>
      <c r="GSJ1010" s="182"/>
      <c r="GSK1010" s="182"/>
      <c r="GSL1010" s="182"/>
      <c r="GSM1010" s="182"/>
      <c r="GSN1010" s="182"/>
      <c r="GSO1010" s="182"/>
      <c r="GSP1010" s="182"/>
      <c r="GSQ1010" s="182"/>
      <c r="GSR1010" s="182"/>
      <c r="GSS1010" s="182"/>
      <c r="GST1010" s="182"/>
      <c r="GSU1010" s="182"/>
      <c r="GSV1010" s="182"/>
      <c r="GSW1010" s="182"/>
      <c r="GSX1010" s="182"/>
      <c r="GSY1010" s="182"/>
      <c r="GSZ1010" s="182"/>
      <c r="GTA1010" s="182"/>
      <c r="GTB1010" s="182"/>
      <c r="GTC1010" s="182"/>
      <c r="GTD1010" s="182"/>
      <c r="GTE1010" s="182"/>
      <c r="GTF1010" s="182"/>
      <c r="GTG1010" s="182"/>
      <c r="GTH1010" s="182"/>
      <c r="GTI1010" s="182"/>
      <c r="GTJ1010" s="182"/>
      <c r="GTK1010" s="182"/>
      <c r="GTL1010" s="182"/>
      <c r="GTM1010" s="182"/>
      <c r="GTN1010" s="182"/>
      <c r="GTO1010" s="182"/>
      <c r="GTP1010" s="182"/>
      <c r="GTQ1010" s="182"/>
      <c r="GTR1010" s="182"/>
      <c r="GTS1010" s="182"/>
      <c r="GTT1010" s="182"/>
      <c r="GTU1010" s="182"/>
      <c r="GTV1010" s="182"/>
      <c r="GTW1010" s="182"/>
      <c r="GTX1010" s="182"/>
      <c r="GTY1010" s="182"/>
      <c r="GTZ1010" s="182"/>
      <c r="GUA1010" s="182"/>
      <c r="GUB1010" s="182"/>
      <c r="GUC1010" s="182"/>
      <c r="GUD1010" s="182"/>
      <c r="GUE1010" s="182"/>
      <c r="GUF1010" s="182"/>
      <c r="GUG1010" s="182"/>
      <c r="GUH1010" s="182"/>
      <c r="GUI1010" s="182"/>
      <c r="GUJ1010" s="182"/>
      <c r="GUK1010" s="182"/>
      <c r="GUL1010" s="182"/>
      <c r="GUM1010" s="182"/>
      <c r="GUN1010" s="182"/>
      <c r="GUO1010" s="182"/>
      <c r="GUP1010" s="182"/>
      <c r="GUQ1010" s="182"/>
      <c r="GUR1010" s="182"/>
      <c r="GUS1010" s="182"/>
      <c r="GUT1010" s="182"/>
      <c r="GUU1010" s="182"/>
      <c r="GUV1010" s="182"/>
      <c r="GUW1010" s="182"/>
      <c r="GUX1010" s="182"/>
      <c r="GUY1010" s="182"/>
      <c r="GUZ1010" s="182"/>
      <c r="GVA1010" s="182"/>
      <c r="GVB1010" s="182"/>
      <c r="GVC1010" s="182"/>
      <c r="GVD1010" s="182"/>
      <c r="GVE1010" s="182"/>
      <c r="GVF1010" s="182"/>
      <c r="GVG1010" s="182"/>
      <c r="GVH1010" s="182"/>
      <c r="GVI1010" s="182"/>
      <c r="GVJ1010" s="182"/>
      <c r="GVK1010" s="182"/>
      <c r="GVL1010" s="182"/>
      <c r="GVM1010" s="182"/>
      <c r="GVN1010" s="182"/>
      <c r="GVO1010" s="182"/>
      <c r="GVP1010" s="182"/>
      <c r="GVQ1010" s="182"/>
      <c r="GVR1010" s="182"/>
      <c r="GVS1010" s="182"/>
      <c r="GVT1010" s="182"/>
      <c r="GVU1010" s="182"/>
      <c r="GVV1010" s="182"/>
      <c r="GVW1010" s="182"/>
      <c r="GVX1010" s="182"/>
      <c r="GVY1010" s="182"/>
      <c r="GVZ1010" s="182"/>
      <c r="GWA1010" s="182"/>
      <c r="GWB1010" s="182"/>
      <c r="GWC1010" s="182"/>
      <c r="GWD1010" s="182"/>
      <c r="GWE1010" s="182"/>
      <c r="GWF1010" s="182"/>
      <c r="GWG1010" s="182"/>
      <c r="GWH1010" s="182"/>
      <c r="GWI1010" s="182"/>
      <c r="GWJ1010" s="182"/>
      <c r="GWK1010" s="182"/>
      <c r="GWL1010" s="182"/>
      <c r="GWM1010" s="182"/>
      <c r="GWN1010" s="182"/>
      <c r="GWO1010" s="182"/>
      <c r="GWP1010" s="182"/>
      <c r="GWQ1010" s="182"/>
      <c r="GWR1010" s="182"/>
      <c r="GWS1010" s="182"/>
      <c r="GWT1010" s="182"/>
      <c r="GWU1010" s="182"/>
      <c r="GWV1010" s="182"/>
      <c r="GWW1010" s="182"/>
      <c r="GWX1010" s="182"/>
      <c r="GWY1010" s="182"/>
      <c r="GWZ1010" s="182"/>
      <c r="GXA1010" s="182"/>
      <c r="GXB1010" s="182"/>
      <c r="GXC1010" s="182"/>
      <c r="GXD1010" s="182"/>
      <c r="GXE1010" s="182"/>
      <c r="GXF1010" s="182"/>
      <c r="GXG1010" s="182"/>
      <c r="GXH1010" s="182"/>
      <c r="GXI1010" s="182"/>
      <c r="GXJ1010" s="182"/>
      <c r="GXK1010" s="182"/>
      <c r="GXL1010" s="182"/>
      <c r="GXM1010" s="182"/>
      <c r="GXN1010" s="182"/>
      <c r="GXO1010" s="182"/>
      <c r="GXP1010" s="182"/>
      <c r="GXQ1010" s="182"/>
      <c r="GXR1010" s="182"/>
      <c r="GXS1010" s="182"/>
      <c r="GXT1010" s="182"/>
      <c r="GXU1010" s="182"/>
      <c r="GXV1010" s="182"/>
      <c r="GXW1010" s="182"/>
      <c r="GXX1010" s="182"/>
      <c r="GXY1010" s="182"/>
      <c r="GXZ1010" s="182"/>
      <c r="GYA1010" s="182"/>
      <c r="GYB1010" s="182"/>
      <c r="GYC1010" s="182"/>
      <c r="GYD1010" s="182"/>
      <c r="GYE1010" s="182"/>
      <c r="GYF1010" s="182"/>
      <c r="GYG1010" s="182"/>
      <c r="GYH1010" s="182"/>
      <c r="GYI1010" s="182"/>
      <c r="GYJ1010" s="182"/>
      <c r="GYK1010" s="182"/>
      <c r="GYL1010" s="182"/>
      <c r="GYM1010" s="182"/>
      <c r="GYN1010" s="182"/>
      <c r="GYO1010" s="182"/>
      <c r="GYP1010" s="182"/>
      <c r="GYQ1010" s="182"/>
      <c r="GYR1010" s="182"/>
      <c r="GYS1010" s="182"/>
      <c r="GYT1010" s="182"/>
      <c r="GYU1010" s="182"/>
      <c r="GYV1010" s="182"/>
      <c r="GYW1010" s="182"/>
      <c r="GYX1010" s="182"/>
      <c r="GYY1010" s="182"/>
      <c r="GYZ1010" s="182"/>
      <c r="GZA1010" s="182"/>
      <c r="GZB1010" s="182"/>
      <c r="GZC1010" s="182"/>
      <c r="GZD1010" s="182"/>
      <c r="GZE1010" s="182"/>
      <c r="GZF1010" s="182"/>
      <c r="GZG1010" s="182"/>
      <c r="GZH1010" s="182"/>
      <c r="GZI1010" s="182"/>
      <c r="GZJ1010" s="182"/>
      <c r="GZK1010" s="182"/>
      <c r="GZL1010" s="182"/>
      <c r="GZM1010" s="182"/>
      <c r="GZN1010" s="182"/>
      <c r="GZO1010" s="182"/>
      <c r="GZP1010" s="182"/>
      <c r="GZQ1010" s="182"/>
      <c r="GZR1010" s="182"/>
      <c r="GZS1010" s="182"/>
      <c r="GZT1010" s="182"/>
      <c r="GZU1010" s="182"/>
      <c r="GZV1010" s="182"/>
      <c r="GZW1010" s="182"/>
      <c r="GZX1010" s="182"/>
      <c r="GZY1010" s="182"/>
      <c r="GZZ1010" s="182"/>
      <c r="HAA1010" s="182"/>
      <c r="HAB1010" s="182"/>
      <c r="HAC1010" s="182"/>
      <c r="HAD1010" s="182"/>
      <c r="HAE1010" s="182"/>
      <c r="HAF1010" s="182"/>
      <c r="HAG1010" s="182"/>
      <c r="HAH1010" s="182"/>
      <c r="HAI1010" s="182"/>
      <c r="HAJ1010" s="182"/>
      <c r="HAK1010" s="182"/>
      <c r="HAL1010" s="182"/>
      <c r="HAM1010" s="182"/>
      <c r="HAN1010" s="182"/>
      <c r="HAO1010" s="182"/>
      <c r="HAP1010" s="182"/>
      <c r="HAQ1010" s="182"/>
      <c r="HAR1010" s="182"/>
      <c r="HAS1010" s="182"/>
      <c r="HAT1010" s="182"/>
      <c r="HAU1010" s="182"/>
      <c r="HAV1010" s="182"/>
      <c r="HAW1010" s="182"/>
      <c r="HAX1010" s="182"/>
      <c r="HAY1010" s="182"/>
      <c r="HAZ1010" s="182"/>
      <c r="HBA1010" s="182"/>
      <c r="HBB1010" s="182"/>
      <c r="HBC1010" s="182"/>
      <c r="HBD1010" s="182"/>
      <c r="HBE1010" s="182"/>
      <c r="HBF1010" s="182"/>
      <c r="HBG1010" s="182"/>
      <c r="HBH1010" s="182"/>
      <c r="HBI1010" s="182"/>
      <c r="HBJ1010" s="182"/>
      <c r="HBK1010" s="182"/>
      <c r="HBL1010" s="182"/>
      <c r="HBM1010" s="182"/>
      <c r="HBN1010" s="182"/>
      <c r="HBO1010" s="182"/>
      <c r="HBP1010" s="182"/>
      <c r="HBQ1010" s="182"/>
      <c r="HBR1010" s="182"/>
      <c r="HBS1010" s="182"/>
      <c r="HBT1010" s="182"/>
      <c r="HBU1010" s="182"/>
      <c r="HBV1010" s="182"/>
      <c r="HBW1010" s="182"/>
      <c r="HBX1010" s="182"/>
      <c r="HBY1010" s="182"/>
      <c r="HBZ1010" s="182"/>
      <c r="HCA1010" s="182"/>
      <c r="HCB1010" s="182"/>
      <c r="HCC1010" s="182"/>
      <c r="HCD1010" s="182"/>
      <c r="HCE1010" s="182"/>
      <c r="HCF1010" s="182"/>
      <c r="HCG1010" s="182"/>
      <c r="HCH1010" s="182"/>
      <c r="HCI1010" s="182"/>
      <c r="HCJ1010" s="182"/>
      <c r="HCK1010" s="182"/>
      <c r="HCL1010" s="182"/>
      <c r="HCM1010" s="182"/>
      <c r="HCN1010" s="182"/>
      <c r="HCO1010" s="182"/>
      <c r="HCP1010" s="182"/>
      <c r="HCQ1010" s="182"/>
      <c r="HCR1010" s="182"/>
      <c r="HCS1010" s="182"/>
      <c r="HCT1010" s="182"/>
      <c r="HCU1010" s="182"/>
      <c r="HCV1010" s="182"/>
      <c r="HCW1010" s="182"/>
      <c r="HCX1010" s="182"/>
      <c r="HCY1010" s="182"/>
      <c r="HCZ1010" s="182"/>
      <c r="HDA1010" s="182"/>
      <c r="HDB1010" s="182"/>
      <c r="HDC1010" s="182"/>
      <c r="HDD1010" s="182"/>
      <c r="HDE1010" s="182"/>
      <c r="HDF1010" s="182"/>
      <c r="HDG1010" s="182"/>
      <c r="HDH1010" s="182"/>
      <c r="HDI1010" s="182"/>
      <c r="HDJ1010" s="182"/>
      <c r="HDK1010" s="182"/>
      <c r="HDL1010" s="182"/>
      <c r="HDM1010" s="182"/>
      <c r="HDN1010" s="182"/>
      <c r="HDO1010" s="182"/>
      <c r="HDP1010" s="182"/>
      <c r="HDQ1010" s="182"/>
      <c r="HDR1010" s="182"/>
      <c r="HDS1010" s="182"/>
      <c r="HDT1010" s="182"/>
      <c r="HDU1010" s="182"/>
      <c r="HDV1010" s="182"/>
      <c r="HDW1010" s="182"/>
      <c r="HDX1010" s="182"/>
      <c r="HDY1010" s="182"/>
      <c r="HDZ1010" s="182"/>
      <c r="HEA1010" s="182"/>
      <c r="HEB1010" s="182"/>
      <c r="HEC1010" s="182"/>
      <c r="HED1010" s="182"/>
      <c r="HEE1010" s="182"/>
      <c r="HEF1010" s="182"/>
      <c r="HEG1010" s="182"/>
      <c r="HEH1010" s="182"/>
      <c r="HEI1010" s="182"/>
      <c r="HEJ1010" s="182"/>
      <c r="HEK1010" s="182"/>
      <c r="HEL1010" s="182"/>
      <c r="HEM1010" s="182"/>
      <c r="HEN1010" s="182"/>
      <c r="HEO1010" s="182"/>
      <c r="HEP1010" s="182"/>
      <c r="HEQ1010" s="182"/>
      <c r="HER1010" s="182"/>
      <c r="HES1010" s="182"/>
      <c r="HET1010" s="182"/>
      <c r="HEU1010" s="182"/>
      <c r="HEV1010" s="182"/>
      <c r="HEW1010" s="182"/>
      <c r="HEX1010" s="182"/>
      <c r="HEY1010" s="182"/>
      <c r="HEZ1010" s="182"/>
      <c r="HFA1010" s="182"/>
      <c r="HFB1010" s="182"/>
      <c r="HFC1010" s="182"/>
      <c r="HFD1010" s="182"/>
      <c r="HFE1010" s="182"/>
      <c r="HFF1010" s="182"/>
      <c r="HFG1010" s="182"/>
      <c r="HFH1010" s="182"/>
      <c r="HFI1010" s="182"/>
      <c r="HFJ1010" s="182"/>
      <c r="HFK1010" s="182"/>
      <c r="HFL1010" s="182"/>
      <c r="HFM1010" s="182"/>
      <c r="HFN1010" s="182"/>
      <c r="HFO1010" s="182"/>
      <c r="HFP1010" s="182"/>
      <c r="HFQ1010" s="182"/>
      <c r="HFR1010" s="182"/>
      <c r="HFS1010" s="182"/>
      <c r="HFT1010" s="182"/>
      <c r="HFU1010" s="182"/>
      <c r="HFV1010" s="182"/>
      <c r="HFW1010" s="182"/>
      <c r="HFX1010" s="182"/>
      <c r="HFY1010" s="182"/>
      <c r="HFZ1010" s="182"/>
      <c r="HGA1010" s="182"/>
      <c r="HGB1010" s="182"/>
      <c r="HGC1010" s="182"/>
      <c r="HGD1010" s="182"/>
      <c r="HGE1010" s="182"/>
      <c r="HGF1010" s="182"/>
      <c r="HGG1010" s="182"/>
      <c r="HGH1010" s="182"/>
      <c r="HGI1010" s="182"/>
      <c r="HGJ1010" s="182"/>
      <c r="HGK1010" s="182"/>
      <c r="HGL1010" s="182"/>
      <c r="HGM1010" s="182"/>
      <c r="HGN1010" s="182"/>
      <c r="HGO1010" s="182"/>
      <c r="HGP1010" s="182"/>
      <c r="HGQ1010" s="182"/>
      <c r="HGR1010" s="182"/>
      <c r="HGS1010" s="182"/>
      <c r="HGT1010" s="182"/>
      <c r="HGU1010" s="182"/>
      <c r="HGV1010" s="182"/>
      <c r="HGW1010" s="182"/>
      <c r="HGX1010" s="182"/>
      <c r="HGY1010" s="182"/>
      <c r="HGZ1010" s="182"/>
      <c r="HHA1010" s="182"/>
      <c r="HHB1010" s="182"/>
      <c r="HHC1010" s="182"/>
      <c r="HHD1010" s="182"/>
      <c r="HHE1010" s="182"/>
      <c r="HHF1010" s="182"/>
      <c r="HHG1010" s="182"/>
      <c r="HHH1010" s="182"/>
      <c r="HHI1010" s="182"/>
      <c r="HHJ1010" s="182"/>
      <c r="HHK1010" s="182"/>
      <c r="HHL1010" s="182"/>
      <c r="HHM1010" s="182"/>
      <c r="HHN1010" s="182"/>
      <c r="HHO1010" s="182"/>
      <c r="HHP1010" s="182"/>
      <c r="HHQ1010" s="182"/>
      <c r="HHR1010" s="182"/>
      <c r="HHS1010" s="182"/>
      <c r="HHT1010" s="182"/>
      <c r="HHU1010" s="182"/>
      <c r="HHV1010" s="182"/>
      <c r="HHW1010" s="182"/>
      <c r="HHX1010" s="182"/>
      <c r="HHY1010" s="182"/>
      <c r="HHZ1010" s="182"/>
      <c r="HIA1010" s="182"/>
      <c r="HIB1010" s="182"/>
      <c r="HIC1010" s="182"/>
      <c r="HID1010" s="182"/>
      <c r="HIE1010" s="182"/>
      <c r="HIF1010" s="182"/>
      <c r="HIG1010" s="182"/>
      <c r="HIH1010" s="182"/>
      <c r="HII1010" s="182"/>
      <c r="HIJ1010" s="182"/>
      <c r="HIK1010" s="182"/>
      <c r="HIL1010" s="182"/>
      <c r="HIM1010" s="182"/>
      <c r="HIN1010" s="182"/>
      <c r="HIO1010" s="182"/>
      <c r="HIP1010" s="182"/>
      <c r="HIQ1010" s="182"/>
      <c r="HIR1010" s="182"/>
      <c r="HIS1010" s="182"/>
      <c r="HIT1010" s="182"/>
      <c r="HIU1010" s="182"/>
      <c r="HIV1010" s="182"/>
      <c r="HIW1010" s="182"/>
      <c r="HIX1010" s="182"/>
      <c r="HIY1010" s="182"/>
      <c r="HIZ1010" s="182"/>
      <c r="HJA1010" s="182"/>
      <c r="HJB1010" s="182"/>
      <c r="HJC1010" s="182"/>
      <c r="HJD1010" s="182"/>
      <c r="HJE1010" s="182"/>
      <c r="HJF1010" s="182"/>
      <c r="HJG1010" s="182"/>
      <c r="HJH1010" s="182"/>
      <c r="HJI1010" s="182"/>
      <c r="HJJ1010" s="182"/>
      <c r="HJK1010" s="182"/>
      <c r="HJL1010" s="182"/>
      <c r="HJM1010" s="182"/>
      <c r="HJN1010" s="182"/>
      <c r="HJO1010" s="182"/>
      <c r="HJP1010" s="182"/>
      <c r="HJQ1010" s="182"/>
      <c r="HJR1010" s="182"/>
      <c r="HJS1010" s="182"/>
      <c r="HJT1010" s="182"/>
      <c r="HJU1010" s="182"/>
      <c r="HJV1010" s="182"/>
      <c r="HJW1010" s="182"/>
      <c r="HJX1010" s="182"/>
      <c r="HJY1010" s="182"/>
      <c r="HJZ1010" s="182"/>
      <c r="HKA1010" s="182"/>
      <c r="HKB1010" s="182"/>
      <c r="HKC1010" s="182"/>
      <c r="HKD1010" s="182"/>
      <c r="HKE1010" s="182"/>
      <c r="HKF1010" s="182"/>
      <c r="HKG1010" s="182"/>
      <c r="HKH1010" s="182"/>
      <c r="HKI1010" s="182"/>
      <c r="HKJ1010" s="182"/>
      <c r="HKK1010" s="182"/>
      <c r="HKL1010" s="182"/>
      <c r="HKM1010" s="182"/>
      <c r="HKN1010" s="182"/>
      <c r="HKO1010" s="182"/>
      <c r="HKP1010" s="182"/>
      <c r="HKQ1010" s="182"/>
      <c r="HKR1010" s="182"/>
      <c r="HKS1010" s="182"/>
      <c r="HKT1010" s="182"/>
      <c r="HKU1010" s="182"/>
      <c r="HKV1010" s="182"/>
      <c r="HKW1010" s="182"/>
      <c r="HKX1010" s="182"/>
      <c r="HKY1010" s="182"/>
      <c r="HKZ1010" s="182"/>
      <c r="HLA1010" s="182"/>
      <c r="HLB1010" s="182"/>
      <c r="HLC1010" s="182"/>
      <c r="HLD1010" s="182"/>
      <c r="HLE1010" s="182"/>
      <c r="HLF1010" s="182"/>
      <c r="HLG1010" s="182"/>
      <c r="HLH1010" s="182"/>
      <c r="HLI1010" s="182"/>
      <c r="HLJ1010" s="182"/>
      <c r="HLK1010" s="182"/>
      <c r="HLL1010" s="182"/>
      <c r="HLM1010" s="182"/>
      <c r="HLN1010" s="182"/>
      <c r="HLO1010" s="182"/>
      <c r="HLP1010" s="182"/>
      <c r="HLQ1010" s="182"/>
      <c r="HLR1010" s="182"/>
      <c r="HLS1010" s="182"/>
      <c r="HLT1010" s="182"/>
      <c r="HLU1010" s="182"/>
      <c r="HLV1010" s="182"/>
      <c r="HLW1010" s="182"/>
      <c r="HLX1010" s="182"/>
      <c r="HLY1010" s="182"/>
      <c r="HLZ1010" s="182"/>
      <c r="HMA1010" s="182"/>
      <c r="HMB1010" s="182"/>
      <c r="HMC1010" s="182"/>
      <c r="HMD1010" s="182"/>
      <c r="HME1010" s="182"/>
      <c r="HMF1010" s="182"/>
      <c r="HMG1010" s="182"/>
      <c r="HMH1010" s="182"/>
      <c r="HMI1010" s="182"/>
      <c r="HMJ1010" s="182"/>
      <c r="HMK1010" s="182"/>
      <c r="HML1010" s="182"/>
      <c r="HMM1010" s="182"/>
      <c r="HMN1010" s="182"/>
      <c r="HMO1010" s="182"/>
      <c r="HMP1010" s="182"/>
      <c r="HMQ1010" s="182"/>
      <c r="HMR1010" s="182"/>
      <c r="HMS1010" s="182"/>
      <c r="HMT1010" s="182"/>
      <c r="HMU1010" s="182"/>
      <c r="HMV1010" s="182"/>
      <c r="HMW1010" s="182"/>
      <c r="HMX1010" s="182"/>
      <c r="HMY1010" s="182"/>
      <c r="HMZ1010" s="182"/>
      <c r="HNA1010" s="182"/>
      <c r="HNB1010" s="182"/>
      <c r="HNC1010" s="182"/>
      <c r="HND1010" s="182"/>
      <c r="HNE1010" s="182"/>
      <c r="HNF1010" s="182"/>
      <c r="HNG1010" s="182"/>
      <c r="HNH1010" s="182"/>
      <c r="HNI1010" s="182"/>
      <c r="HNJ1010" s="182"/>
      <c r="HNK1010" s="182"/>
      <c r="HNL1010" s="182"/>
      <c r="HNM1010" s="182"/>
      <c r="HNN1010" s="182"/>
      <c r="HNO1010" s="182"/>
      <c r="HNP1010" s="182"/>
      <c r="HNQ1010" s="182"/>
      <c r="HNR1010" s="182"/>
      <c r="HNS1010" s="182"/>
      <c r="HNT1010" s="182"/>
      <c r="HNU1010" s="182"/>
      <c r="HNV1010" s="182"/>
      <c r="HNW1010" s="182"/>
      <c r="HNX1010" s="182"/>
      <c r="HNY1010" s="182"/>
      <c r="HNZ1010" s="182"/>
      <c r="HOA1010" s="182"/>
      <c r="HOB1010" s="182"/>
      <c r="HOC1010" s="182"/>
      <c r="HOD1010" s="182"/>
      <c r="HOE1010" s="182"/>
      <c r="HOF1010" s="182"/>
      <c r="HOG1010" s="182"/>
      <c r="HOH1010" s="182"/>
      <c r="HOI1010" s="182"/>
      <c r="HOJ1010" s="182"/>
      <c r="HOK1010" s="182"/>
      <c r="HOL1010" s="182"/>
      <c r="HOM1010" s="182"/>
      <c r="HON1010" s="182"/>
      <c r="HOO1010" s="182"/>
      <c r="HOP1010" s="182"/>
      <c r="HOQ1010" s="182"/>
      <c r="HOR1010" s="182"/>
      <c r="HOS1010" s="182"/>
      <c r="HOT1010" s="182"/>
      <c r="HOU1010" s="182"/>
      <c r="HOV1010" s="182"/>
      <c r="HOW1010" s="182"/>
      <c r="HOX1010" s="182"/>
      <c r="HOY1010" s="182"/>
      <c r="HOZ1010" s="182"/>
      <c r="HPA1010" s="182"/>
      <c r="HPB1010" s="182"/>
      <c r="HPC1010" s="182"/>
      <c r="HPD1010" s="182"/>
      <c r="HPE1010" s="182"/>
      <c r="HPF1010" s="182"/>
      <c r="HPG1010" s="182"/>
      <c r="HPH1010" s="182"/>
      <c r="HPI1010" s="182"/>
      <c r="HPJ1010" s="182"/>
      <c r="HPK1010" s="182"/>
      <c r="HPL1010" s="182"/>
      <c r="HPM1010" s="182"/>
      <c r="HPN1010" s="182"/>
      <c r="HPO1010" s="182"/>
      <c r="HPP1010" s="182"/>
      <c r="HPQ1010" s="182"/>
      <c r="HPR1010" s="182"/>
      <c r="HPS1010" s="182"/>
      <c r="HPT1010" s="182"/>
      <c r="HPU1010" s="182"/>
      <c r="HPV1010" s="182"/>
      <c r="HPW1010" s="182"/>
      <c r="HPX1010" s="182"/>
      <c r="HPY1010" s="182"/>
      <c r="HPZ1010" s="182"/>
      <c r="HQA1010" s="182"/>
      <c r="HQB1010" s="182"/>
      <c r="HQC1010" s="182"/>
      <c r="HQD1010" s="182"/>
      <c r="HQE1010" s="182"/>
      <c r="HQF1010" s="182"/>
      <c r="HQG1010" s="182"/>
      <c r="HQH1010" s="182"/>
      <c r="HQI1010" s="182"/>
      <c r="HQJ1010" s="182"/>
      <c r="HQK1010" s="182"/>
      <c r="HQL1010" s="182"/>
      <c r="HQM1010" s="182"/>
      <c r="HQN1010" s="182"/>
      <c r="HQO1010" s="182"/>
      <c r="HQP1010" s="182"/>
      <c r="HQQ1010" s="182"/>
      <c r="HQR1010" s="182"/>
      <c r="HQS1010" s="182"/>
      <c r="HQT1010" s="182"/>
      <c r="HQU1010" s="182"/>
      <c r="HQV1010" s="182"/>
      <c r="HQW1010" s="182"/>
      <c r="HQX1010" s="182"/>
      <c r="HQY1010" s="182"/>
      <c r="HQZ1010" s="182"/>
      <c r="HRA1010" s="182"/>
      <c r="HRB1010" s="182"/>
      <c r="HRC1010" s="182"/>
      <c r="HRD1010" s="182"/>
      <c r="HRE1010" s="182"/>
      <c r="HRF1010" s="182"/>
      <c r="HRG1010" s="182"/>
      <c r="HRH1010" s="182"/>
      <c r="HRI1010" s="182"/>
      <c r="HRJ1010" s="182"/>
      <c r="HRK1010" s="182"/>
      <c r="HRL1010" s="182"/>
      <c r="HRM1010" s="182"/>
      <c r="HRN1010" s="182"/>
      <c r="HRO1010" s="182"/>
      <c r="HRP1010" s="182"/>
      <c r="HRQ1010" s="182"/>
      <c r="HRR1010" s="182"/>
      <c r="HRS1010" s="182"/>
      <c r="HRT1010" s="182"/>
      <c r="HRU1010" s="182"/>
      <c r="HRV1010" s="182"/>
      <c r="HRW1010" s="182"/>
      <c r="HRX1010" s="182"/>
      <c r="HRY1010" s="182"/>
      <c r="HRZ1010" s="182"/>
      <c r="HSA1010" s="182"/>
      <c r="HSB1010" s="182"/>
      <c r="HSC1010" s="182"/>
      <c r="HSD1010" s="182"/>
      <c r="HSE1010" s="182"/>
      <c r="HSF1010" s="182"/>
      <c r="HSG1010" s="182"/>
      <c r="HSH1010" s="182"/>
      <c r="HSI1010" s="182"/>
      <c r="HSJ1010" s="182"/>
      <c r="HSK1010" s="182"/>
      <c r="HSL1010" s="182"/>
      <c r="HSM1010" s="182"/>
      <c r="HSN1010" s="182"/>
      <c r="HSO1010" s="182"/>
      <c r="HSP1010" s="182"/>
      <c r="HSQ1010" s="182"/>
      <c r="HSR1010" s="182"/>
      <c r="HSS1010" s="182"/>
      <c r="HST1010" s="182"/>
      <c r="HSU1010" s="182"/>
      <c r="HSV1010" s="182"/>
      <c r="HSW1010" s="182"/>
      <c r="HSX1010" s="182"/>
      <c r="HSY1010" s="182"/>
      <c r="HSZ1010" s="182"/>
      <c r="HTA1010" s="182"/>
      <c r="HTB1010" s="182"/>
      <c r="HTC1010" s="182"/>
      <c r="HTD1010" s="182"/>
      <c r="HTE1010" s="182"/>
      <c r="HTF1010" s="182"/>
      <c r="HTG1010" s="182"/>
      <c r="HTH1010" s="182"/>
      <c r="HTI1010" s="182"/>
      <c r="HTJ1010" s="182"/>
      <c r="HTK1010" s="182"/>
      <c r="HTL1010" s="182"/>
      <c r="HTM1010" s="182"/>
      <c r="HTN1010" s="182"/>
      <c r="HTO1010" s="182"/>
      <c r="HTP1010" s="182"/>
      <c r="HTQ1010" s="182"/>
      <c r="HTR1010" s="182"/>
      <c r="HTS1010" s="182"/>
      <c r="HTT1010" s="182"/>
      <c r="HTU1010" s="182"/>
      <c r="HTV1010" s="182"/>
      <c r="HTW1010" s="182"/>
      <c r="HTX1010" s="182"/>
      <c r="HTY1010" s="182"/>
      <c r="HTZ1010" s="182"/>
      <c r="HUA1010" s="182"/>
      <c r="HUB1010" s="182"/>
      <c r="HUC1010" s="182"/>
      <c r="HUD1010" s="182"/>
      <c r="HUE1010" s="182"/>
      <c r="HUF1010" s="182"/>
      <c r="HUG1010" s="182"/>
      <c r="HUH1010" s="182"/>
      <c r="HUI1010" s="182"/>
      <c r="HUJ1010" s="182"/>
      <c r="HUK1010" s="182"/>
      <c r="HUL1010" s="182"/>
      <c r="HUM1010" s="182"/>
      <c r="HUN1010" s="182"/>
      <c r="HUO1010" s="182"/>
      <c r="HUP1010" s="182"/>
      <c r="HUQ1010" s="182"/>
      <c r="HUR1010" s="182"/>
      <c r="HUS1010" s="182"/>
      <c r="HUT1010" s="182"/>
      <c r="HUU1010" s="182"/>
      <c r="HUV1010" s="182"/>
      <c r="HUW1010" s="182"/>
      <c r="HUX1010" s="182"/>
      <c r="HUY1010" s="182"/>
      <c r="HUZ1010" s="182"/>
      <c r="HVA1010" s="182"/>
      <c r="HVB1010" s="182"/>
      <c r="HVC1010" s="182"/>
      <c r="HVD1010" s="182"/>
      <c r="HVE1010" s="182"/>
      <c r="HVF1010" s="182"/>
      <c r="HVG1010" s="182"/>
      <c r="HVH1010" s="182"/>
      <c r="HVI1010" s="182"/>
      <c r="HVJ1010" s="182"/>
      <c r="HVK1010" s="182"/>
      <c r="HVL1010" s="182"/>
      <c r="HVM1010" s="182"/>
      <c r="HVN1010" s="182"/>
      <c r="HVO1010" s="182"/>
      <c r="HVP1010" s="182"/>
      <c r="HVQ1010" s="182"/>
      <c r="HVR1010" s="182"/>
      <c r="HVS1010" s="182"/>
      <c r="HVT1010" s="182"/>
      <c r="HVU1010" s="182"/>
      <c r="HVV1010" s="182"/>
      <c r="HVW1010" s="182"/>
      <c r="HVX1010" s="182"/>
      <c r="HVY1010" s="182"/>
      <c r="HVZ1010" s="182"/>
      <c r="HWA1010" s="182"/>
      <c r="HWB1010" s="182"/>
      <c r="HWC1010" s="182"/>
      <c r="HWD1010" s="182"/>
      <c r="HWE1010" s="182"/>
      <c r="HWF1010" s="182"/>
      <c r="HWG1010" s="182"/>
      <c r="HWH1010" s="182"/>
      <c r="HWI1010" s="182"/>
      <c r="HWJ1010" s="182"/>
      <c r="HWK1010" s="182"/>
      <c r="HWL1010" s="182"/>
      <c r="HWM1010" s="182"/>
      <c r="HWN1010" s="182"/>
      <c r="HWO1010" s="182"/>
      <c r="HWP1010" s="182"/>
      <c r="HWQ1010" s="182"/>
      <c r="HWR1010" s="182"/>
      <c r="HWS1010" s="182"/>
      <c r="HWT1010" s="182"/>
      <c r="HWU1010" s="182"/>
      <c r="HWV1010" s="182"/>
      <c r="HWW1010" s="182"/>
      <c r="HWX1010" s="182"/>
      <c r="HWY1010" s="182"/>
      <c r="HWZ1010" s="182"/>
      <c r="HXA1010" s="182"/>
      <c r="HXB1010" s="182"/>
      <c r="HXC1010" s="182"/>
      <c r="HXD1010" s="182"/>
      <c r="HXE1010" s="182"/>
      <c r="HXF1010" s="182"/>
      <c r="HXG1010" s="182"/>
      <c r="HXH1010" s="182"/>
      <c r="HXI1010" s="182"/>
      <c r="HXJ1010" s="182"/>
      <c r="HXK1010" s="182"/>
      <c r="HXL1010" s="182"/>
      <c r="HXM1010" s="182"/>
      <c r="HXN1010" s="182"/>
      <c r="HXO1010" s="182"/>
      <c r="HXP1010" s="182"/>
      <c r="HXQ1010" s="182"/>
      <c r="HXR1010" s="182"/>
      <c r="HXS1010" s="182"/>
      <c r="HXT1010" s="182"/>
      <c r="HXU1010" s="182"/>
      <c r="HXV1010" s="182"/>
      <c r="HXW1010" s="182"/>
      <c r="HXX1010" s="182"/>
      <c r="HXY1010" s="182"/>
      <c r="HXZ1010" s="182"/>
      <c r="HYA1010" s="182"/>
      <c r="HYB1010" s="182"/>
      <c r="HYC1010" s="182"/>
      <c r="HYD1010" s="182"/>
      <c r="HYE1010" s="182"/>
      <c r="HYF1010" s="182"/>
      <c r="HYG1010" s="182"/>
      <c r="HYH1010" s="182"/>
      <c r="HYI1010" s="182"/>
      <c r="HYJ1010" s="182"/>
      <c r="HYK1010" s="182"/>
      <c r="HYL1010" s="182"/>
      <c r="HYM1010" s="182"/>
      <c r="HYN1010" s="182"/>
      <c r="HYO1010" s="182"/>
      <c r="HYP1010" s="182"/>
      <c r="HYQ1010" s="182"/>
      <c r="HYR1010" s="182"/>
      <c r="HYS1010" s="182"/>
      <c r="HYT1010" s="182"/>
      <c r="HYU1010" s="182"/>
      <c r="HYV1010" s="182"/>
      <c r="HYW1010" s="182"/>
      <c r="HYX1010" s="182"/>
      <c r="HYY1010" s="182"/>
      <c r="HYZ1010" s="182"/>
      <c r="HZA1010" s="182"/>
      <c r="HZB1010" s="182"/>
      <c r="HZC1010" s="182"/>
      <c r="HZD1010" s="182"/>
      <c r="HZE1010" s="182"/>
      <c r="HZF1010" s="182"/>
      <c r="HZG1010" s="182"/>
      <c r="HZH1010" s="182"/>
      <c r="HZI1010" s="182"/>
      <c r="HZJ1010" s="182"/>
      <c r="HZK1010" s="182"/>
      <c r="HZL1010" s="182"/>
      <c r="HZM1010" s="182"/>
      <c r="HZN1010" s="182"/>
      <c r="HZO1010" s="182"/>
      <c r="HZP1010" s="182"/>
      <c r="HZQ1010" s="182"/>
      <c r="HZR1010" s="182"/>
      <c r="HZS1010" s="182"/>
      <c r="HZT1010" s="182"/>
      <c r="HZU1010" s="182"/>
      <c r="HZV1010" s="182"/>
      <c r="HZW1010" s="182"/>
      <c r="HZX1010" s="182"/>
      <c r="HZY1010" s="182"/>
      <c r="HZZ1010" s="182"/>
      <c r="IAA1010" s="182"/>
      <c r="IAB1010" s="182"/>
      <c r="IAC1010" s="182"/>
      <c r="IAD1010" s="182"/>
      <c r="IAE1010" s="182"/>
      <c r="IAF1010" s="182"/>
      <c r="IAG1010" s="182"/>
      <c r="IAH1010" s="182"/>
      <c r="IAI1010" s="182"/>
      <c r="IAJ1010" s="182"/>
      <c r="IAK1010" s="182"/>
      <c r="IAL1010" s="182"/>
      <c r="IAM1010" s="182"/>
      <c r="IAN1010" s="182"/>
      <c r="IAO1010" s="182"/>
      <c r="IAP1010" s="182"/>
      <c r="IAQ1010" s="182"/>
      <c r="IAR1010" s="182"/>
      <c r="IAS1010" s="182"/>
      <c r="IAT1010" s="182"/>
      <c r="IAU1010" s="182"/>
      <c r="IAV1010" s="182"/>
      <c r="IAW1010" s="182"/>
      <c r="IAX1010" s="182"/>
      <c r="IAY1010" s="182"/>
      <c r="IAZ1010" s="182"/>
      <c r="IBA1010" s="182"/>
      <c r="IBB1010" s="182"/>
      <c r="IBC1010" s="182"/>
      <c r="IBD1010" s="182"/>
      <c r="IBE1010" s="182"/>
      <c r="IBF1010" s="182"/>
      <c r="IBG1010" s="182"/>
      <c r="IBH1010" s="182"/>
      <c r="IBI1010" s="182"/>
      <c r="IBJ1010" s="182"/>
      <c r="IBK1010" s="182"/>
      <c r="IBL1010" s="182"/>
      <c r="IBM1010" s="182"/>
      <c r="IBN1010" s="182"/>
      <c r="IBO1010" s="182"/>
      <c r="IBP1010" s="182"/>
      <c r="IBQ1010" s="182"/>
      <c r="IBR1010" s="182"/>
      <c r="IBS1010" s="182"/>
      <c r="IBT1010" s="182"/>
      <c r="IBU1010" s="182"/>
      <c r="IBV1010" s="182"/>
      <c r="IBW1010" s="182"/>
      <c r="IBX1010" s="182"/>
      <c r="IBY1010" s="182"/>
      <c r="IBZ1010" s="182"/>
      <c r="ICA1010" s="182"/>
      <c r="ICB1010" s="182"/>
      <c r="ICC1010" s="182"/>
      <c r="ICD1010" s="182"/>
      <c r="ICE1010" s="182"/>
      <c r="ICF1010" s="182"/>
      <c r="ICG1010" s="182"/>
      <c r="ICH1010" s="182"/>
      <c r="ICI1010" s="182"/>
      <c r="ICJ1010" s="182"/>
      <c r="ICK1010" s="182"/>
      <c r="ICL1010" s="182"/>
      <c r="ICM1010" s="182"/>
      <c r="ICN1010" s="182"/>
      <c r="ICO1010" s="182"/>
      <c r="ICP1010" s="182"/>
      <c r="ICQ1010" s="182"/>
      <c r="ICR1010" s="182"/>
      <c r="ICS1010" s="182"/>
      <c r="ICT1010" s="182"/>
      <c r="ICU1010" s="182"/>
      <c r="ICV1010" s="182"/>
      <c r="ICW1010" s="182"/>
      <c r="ICX1010" s="182"/>
      <c r="ICY1010" s="182"/>
      <c r="ICZ1010" s="182"/>
      <c r="IDA1010" s="182"/>
      <c r="IDB1010" s="182"/>
      <c r="IDC1010" s="182"/>
      <c r="IDD1010" s="182"/>
      <c r="IDE1010" s="182"/>
      <c r="IDF1010" s="182"/>
      <c r="IDG1010" s="182"/>
      <c r="IDH1010" s="182"/>
      <c r="IDI1010" s="182"/>
      <c r="IDJ1010" s="182"/>
      <c r="IDK1010" s="182"/>
      <c r="IDL1010" s="182"/>
      <c r="IDM1010" s="182"/>
      <c r="IDN1010" s="182"/>
      <c r="IDO1010" s="182"/>
      <c r="IDP1010" s="182"/>
      <c r="IDQ1010" s="182"/>
      <c r="IDR1010" s="182"/>
      <c r="IDS1010" s="182"/>
      <c r="IDT1010" s="182"/>
      <c r="IDU1010" s="182"/>
      <c r="IDV1010" s="182"/>
      <c r="IDW1010" s="182"/>
      <c r="IDX1010" s="182"/>
      <c r="IDY1010" s="182"/>
      <c r="IDZ1010" s="182"/>
      <c r="IEA1010" s="182"/>
      <c r="IEB1010" s="182"/>
      <c r="IEC1010" s="182"/>
      <c r="IED1010" s="182"/>
      <c r="IEE1010" s="182"/>
      <c r="IEF1010" s="182"/>
      <c r="IEG1010" s="182"/>
      <c r="IEH1010" s="182"/>
      <c r="IEI1010" s="182"/>
      <c r="IEJ1010" s="182"/>
      <c r="IEK1010" s="182"/>
      <c r="IEL1010" s="182"/>
      <c r="IEM1010" s="182"/>
      <c r="IEN1010" s="182"/>
      <c r="IEO1010" s="182"/>
      <c r="IEP1010" s="182"/>
      <c r="IEQ1010" s="182"/>
      <c r="IER1010" s="182"/>
      <c r="IES1010" s="182"/>
      <c r="IET1010" s="182"/>
      <c r="IEU1010" s="182"/>
      <c r="IEV1010" s="182"/>
      <c r="IEW1010" s="182"/>
      <c r="IEX1010" s="182"/>
      <c r="IEY1010" s="182"/>
      <c r="IEZ1010" s="182"/>
      <c r="IFA1010" s="182"/>
      <c r="IFB1010" s="182"/>
      <c r="IFC1010" s="182"/>
      <c r="IFD1010" s="182"/>
      <c r="IFE1010" s="182"/>
      <c r="IFF1010" s="182"/>
      <c r="IFG1010" s="182"/>
      <c r="IFH1010" s="182"/>
      <c r="IFI1010" s="182"/>
      <c r="IFJ1010" s="182"/>
      <c r="IFK1010" s="182"/>
      <c r="IFL1010" s="182"/>
      <c r="IFM1010" s="182"/>
      <c r="IFN1010" s="182"/>
      <c r="IFO1010" s="182"/>
      <c r="IFP1010" s="182"/>
      <c r="IFQ1010" s="182"/>
      <c r="IFR1010" s="182"/>
      <c r="IFS1010" s="182"/>
      <c r="IFT1010" s="182"/>
      <c r="IFU1010" s="182"/>
      <c r="IFV1010" s="182"/>
      <c r="IFW1010" s="182"/>
      <c r="IFX1010" s="182"/>
      <c r="IFY1010" s="182"/>
      <c r="IFZ1010" s="182"/>
      <c r="IGA1010" s="182"/>
      <c r="IGB1010" s="182"/>
      <c r="IGC1010" s="182"/>
      <c r="IGD1010" s="182"/>
      <c r="IGE1010" s="182"/>
      <c r="IGF1010" s="182"/>
      <c r="IGG1010" s="182"/>
      <c r="IGH1010" s="182"/>
      <c r="IGI1010" s="182"/>
      <c r="IGJ1010" s="182"/>
      <c r="IGK1010" s="182"/>
      <c r="IGL1010" s="182"/>
      <c r="IGM1010" s="182"/>
      <c r="IGN1010" s="182"/>
      <c r="IGO1010" s="182"/>
      <c r="IGP1010" s="182"/>
      <c r="IGQ1010" s="182"/>
      <c r="IGR1010" s="182"/>
      <c r="IGS1010" s="182"/>
      <c r="IGT1010" s="182"/>
      <c r="IGU1010" s="182"/>
      <c r="IGV1010" s="182"/>
      <c r="IGW1010" s="182"/>
      <c r="IGX1010" s="182"/>
      <c r="IGY1010" s="182"/>
      <c r="IGZ1010" s="182"/>
      <c r="IHA1010" s="182"/>
      <c r="IHB1010" s="182"/>
      <c r="IHC1010" s="182"/>
      <c r="IHD1010" s="182"/>
      <c r="IHE1010" s="182"/>
      <c r="IHF1010" s="182"/>
      <c r="IHG1010" s="182"/>
      <c r="IHH1010" s="182"/>
      <c r="IHI1010" s="182"/>
      <c r="IHJ1010" s="182"/>
      <c r="IHK1010" s="182"/>
      <c r="IHL1010" s="182"/>
      <c r="IHM1010" s="182"/>
      <c r="IHN1010" s="182"/>
      <c r="IHO1010" s="182"/>
      <c r="IHP1010" s="182"/>
      <c r="IHQ1010" s="182"/>
      <c r="IHR1010" s="182"/>
      <c r="IHS1010" s="182"/>
      <c r="IHT1010" s="182"/>
      <c r="IHU1010" s="182"/>
      <c r="IHV1010" s="182"/>
      <c r="IHW1010" s="182"/>
      <c r="IHX1010" s="182"/>
      <c r="IHY1010" s="182"/>
      <c r="IHZ1010" s="182"/>
      <c r="IIA1010" s="182"/>
      <c r="IIB1010" s="182"/>
      <c r="IIC1010" s="182"/>
      <c r="IID1010" s="182"/>
      <c r="IIE1010" s="182"/>
      <c r="IIF1010" s="182"/>
      <c r="IIG1010" s="182"/>
      <c r="IIH1010" s="182"/>
      <c r="III1010" s="182"/>
      <c r="IIJ1010" s="182"/>
      <c r="IIK1010" s="182"/>
      <c r="IIL1010" s="182"/>
      <c r="IIM1010" s="182"/>
      <c r="IIN1010" s="182"/>
      <c r="IIO1010" s="182"/>
      <c r="IIP1010" s="182"/>
      <c r="IIQ1010" s="182"/>
      <c r="IIR1010" s="182"/>
      <c r="IIS1010" s="182"/>
      <c r="IIT1010" s="182"/>
      <c r="IIU1010" s="182"/>
      <c r="IIV1010" s="182"/>
      <c r="IIW1010" s="182"/>
      <c r="IIX1010" s="182"/>
      <c r="IIY1010" s="182"/>
      <c r="IIZ1010" s="182"/>
      <c r="IJA1010" s="182"/>
      <c r="IJB1010" s="182"/>
      <c r="IJC1010" s="182"/>
      <c r="IJD1010" s="182"/>
      <c r="IJE1010" s="182"/>
      <c r="IJF1010" s="182"/>
      <c r="IJG1010" s="182"/>
      <c r="IJH1010" s="182"/>
      <c r="IJI1010" s="182"/>
      <c r="IJJ1010" s="182"/>
      <c r="IJK1010" s="182"/>
      <c r="IJL1010" s="182"/>
      <c r="IJM1010" s="182"/>
      <c r="IJN1010" s="182"/>
      <c r="IJO1010" s="182"/>
      <c r="IJP1010" s="182"/>
      <c r="IJQ1010" s="182"/>
      <c r="IJR1010" s="182"/>
      <c r="IJS1010" s="182"/>
      <c r="IJT1010" s="182"/>
      <c r="IJU1010" s="182"/>
      <c r="IJV1010" s="182"/>
      <c r="IJW1010" s="182"/>
      <c r="IJX1010" s="182"/>
      <c r="IJY1010" s="182"/>
      <c r="IJZ1010" s="182"/>
      <c r="IKA1010" s="182"/>
      <c r="IKB1010" s="182"/>
      <c r="IKC1010" s="182"/>
      <c r="IKD1010" s="182"/>
      <c r="IKE1010" s="182"/>
      <c r="IKF1010" s="182"/>
      <c r="IKG1010" s="182"/>
      <c r="IKH1010" s="182"/>
      <c r="IKI1010" s="182"/>
      <c r="IKJ1010" s="182"/>
      <c r="IKK1010" s="182"/>
      <c r="IKL1010" s="182"/>
      <c r="IKM1010" s="182"/>
      <c r="IKN1010" s="182"/>
      <c r="IKO1010" s="182"/>
      <c r="IKP1010" s="182"/>
      <c r="IKQ1010" s="182"/>
      <c r="IKR1010" s="182"/>
      <c r="IKS1010" s="182"/>
      <c r="IKT1010" s="182"/>
      <c r="IKU1010" s="182"/>
      <c r="IKV1010" s="182"/>
      <c r="IKW1010" s="182"/>
      <c r="IKX1010" s="182"/>
      <c r="IKY1010" s="182"/>
      <c r="IKZ1010" s="182"/>
      <c r="ILA1010" s="182"/>
      <c r="ILB1010" s="182"/>
      <c r="ILC1010" s="182"/>
      <c r="ILD1010" s="182"/>
      <c r="ILE1010" s="182"/>
      <c r="ILF1010" s="182"/>
      <c r="ILG1010" s="182"/>
      <c r="ILH1010" s="182"/>
      <c r="ILI1010" s="182"/>
      <c r="ILJ1010" s="182"/>
      <c r="ILK1010" s="182"/>
      <c r="ILL1010" s="182"/>
      <c r="ILM1010" s="182"/>
      <c r="ILN1010" s="182"/>
      <c r="ILO1010" s="182"/>
      <c r="ILP1010" s="182"/>
      <c r="ILQ1010" s="182"/>
      <c r="ILR1010" s="182"/>
      <c r="ILS1010" s="182"/>
      <c r="ILT1010" s="182"/>
      <c r="ILU1010" s="182"/>
      <c r="ILV1010" s="182"/>
      <c r="ILW1010" s="182"/>
      <c r="ILX1010" s="182"/>
      <c r="ILY1010" s="182"/>
      <c r="ILZ1010" s="182"/>
      <c r="IMA1010" s="182"/>
      <c r="IMB1010" s="182"/>
      <c r="IMC1010" s="182"/>
      <c r="IMD1010" s="182"/>
      <c r="IME1010" s="182"/>
      <c r="IMF1010" s="182"/>
      <c r="IMG1010" s="182"/>
      <c r="IMH1010" s="182"/>
      <c r="IMI1010" s="182"/>
      <c r="IMJ1010" s="182"/>
      <c r="IMK1010" s="182"/>
      <c r="IML1010" s="182"/>
      <c r="IMM1010" s="182"/>
      <c r="IMN1010" s="182"/>
      <c r="IMO1010" s="182"/>
      <c r="IMP1010" s="182"/>
      <c r="IMQ1010" s="182"/>
      <c r="IMR1010" s="182"/>
      <c r="IMS1010" s="182"/>
      <c r="IMT1010" s="182"/>
      <c r="IMU1010" s="182"/>
      <c r="IMV1010" s="182"/>
      <c r="IMW1010" s="182"/>
      <c r="IMX1010" s="182"/>
      <c r="IMY1010" s="182"/>
      <c r="IMZ1010" s="182"/>
      <c r="INA1010" s="182"/>
      <c r="INB1010" s="182"/>
      <c r="INC1010" s="182"/>
      <c r="IND1010" s="182"/>
      <c r="INE1010" s="182"/>
      <c r="INF1010" s="182"/>
      <c r="ING1010" s="182"/>
      <c r="INH1010" s="182"/>
      <c r="INI1010" s="182"/>
      <c r="INJ1010" s="182"/>
      <c r="INK1010" s="182"/>
      <c r="INL1010" s="182"/>
      <c r="INM1010" s="182"/>
      <c r="INN1010" s="182"/>
      <c r="INO1010" s="182"/>
      <c r="INP1010" s="182"/>
      <c r="INQ1010" s="182"/>
      <c r="INR1010" s="182"/>
      <c r="INS1010" s="182"/>
      <c r="INT1010" s="182"/>
      <c r="INU1010" s="182"/>
      <c r="INV1010" s="182"/>
      <c r="INW1010" s="182"/>
      <c r="INX1010" s="182"/>
      <c r="INY1010" s="182"/>
      <c r="INZ1010" s="182"/>
      <c r="IOA1010" s="182"/>
      <c r="IOB1010" s="182"/>
      <c r="IOC1010" s="182"/>
      <c r="IOD1010" s="182"/>
      <c r="IOE1010" s="182"/>
      <c r="IOF1010" s="182"/>
      <c r="IOG1010" s="182"/>
      <c r="IOH1010" s="182"/>
      <c r="IOI1010" s="182"/>
      <c r="IOJ1010" s="182"/>
      <c r="IOK1010" s="182"/>
      <c r="IOL1010" s="182"/>
      <c r="IOM1010" s="182"/>
      <c r="ION1010" s="182"/>
      <c r="IOO1010" s="182"/>
      <c r="IOP1010" s="182"/>
      <c r="IOQ1010" s="182"/>
      <c r="IOR1010" s="182"/>
      <c r="IOS1010" s="182"/>
      <c r="IOT1010" s="182"/>
      <c r="IOU1010" s="182"/>
      <c r="IOV1010" s="182"/>
      <c r="IOW1010" s="182"/>
      <c r="IOX1010" s="182"/>
      <c r="IOY1010" s="182"/>
      <c r="IOZ1010" s="182"/>
      <c r="IPA1010" s="182"/>
      <c r="IPB1010" s="182"/>
      <c r="IPC1010" s="182"/>
      <c r="IPD1010" s="182"/>
      <c r="IPE1010" s="182"/>
      <c r="IPF1010" s="182"/>
      <c r="IPG1010" s="182"/>
      <c r="IPH1010" s="182"/>
      <c r="IPI1010" s="182"/>
      <c r="IPJ1010" s="182"/>
      <c r="IPK1010" s="182"/>
      <c r="IPL1010" s="182"/>
      <c r="IPM1010" s="182"/>
      <c r="IPN1010" s="182"/>
      <c r="IPO1010" s="182"/>
      <c r="IPP1010" s="182"/>
      <c r="IPQ1010" s="182"/>
      <c r="IPR1010" s="182"/>
      <c r="IPS1010" s="182"/>
      <c r="IPT1010" s="182"/>
      <c r="IPU1010" s="182"/>
      <c r="IPV1010" s="182"/>
      <c r="IPW1010" s="182"/>
      <c r="IPX1010" s="182"/>
      <c r="IPY1010" s="182"/>
      <c r="IPZ1010" s="182"/>
      <c r="IQA1010" s="182"/>
      <c r="IQB1010" s="182"/>
      <c r="IQC1010" s="182"/>
      <c r="IQD1010" s="182"/>
      <c r="IQE1010" s="182"/>
      <c r="IQF1010" s="182"/>
      <c r="IQG1010" s="182"/>
      <c r="IQH1010" s="182"/>
      <c r="IQI1010" s="182"/>
      <c r="IQJ1010" s="182"/>
      <c r="IQK1010" s="182"/>
      <c r="IQL1010" s="182"/>
      <c r="IQM1010" s="182"/>
      <c r="IQN1010" s="182"/>
      <c r="IQO1010" s="182"/>
      <c r="IQP1010" s="182"/>
      <c r="IQQ1010" s="182"/>
      <c r="IQR1010" s="182"/>
      <c r="IQS1010" s="182"/>
      <c r="IQT1010" s="182"/>
      <c r="IQU1010" s="182"/>
      <c r="IQV1010" s="182"/>
      <c r="IQW1010" s="182"/>
      <c r="IQX1010" s="182"/>
      <c r="IQY1010" s="182"/>
      <c r="IQZ1010" s="182"/>
      <c r="IRA1010" s="182"/>
      <c r="IRB1010" s="182"/>
      <c r="IRC1010" s="182"/>
      <c r="IRD1010" s="182"/>
      <c r="IRE1010" s="182"/>
      <c r="IRF1010" s="182"/>
      <c r="IRG1010" s="182"/>
      <c r="IRH1010" s="182"/>
      <c r="IRI1010" s="182"/>
      <c r="IRJ1010" s="182"/>
      <c r="IRK1010" s="182"/>
      <c r="IRL1010" s="182"/>
      <c r="IRM1010" s="182"/>
      <c r="IRN1010" s="182"/>
      <c r="IRO1010" s="182"/>
      <c r="IRP1010" s="182"/>
      <c r="IRQ1010" s="182"/>
      <c r="IRR1010" s="182"/>
      <c r="IRS1010" s="182"/>
      <c r="IRT1010" s="182"/>
      <c r="IRU1010" s="182"/>
      <c r="IRV1010" s="182"/>
      <c r="IRW1010" s="182"/>
      <c r="IRX1010" s="182"/>
      <c r="IRY1010" s="182"/>
      <c r="IRZ1010" s="182"/>
      <c r="ISA1010" s="182"/>
      <c r="ISB1010" s="182"/>
      <c r="ISC1010" s="182"/>
      <c r="ISD1010" s="182"/>
      <c r="ISE1010" s="182"/>
      <c r="ISF1010" s="182"/>
      <c r="ISG1010" s="182"/>
      <c r="ISH1010" s="182"/>
      <c r="ISI1010" s="182"/>
      <c r="ISJ1010" s="182"/>
      <c r="ISK1010" s="182"/>
      <c r="ISL1010" s="182"/>
      <c r="ISM1010" s="182"/>
      <c r="ISN1010" s="182"/>
      <c r="ISO1010" s="182"/>
      <c r="ISP1010" s="182"/>
      <c r="ISQ1010" s="182"/>
      <c r="ISR1010" s="182"/>
      <c r="ISS1010" s="182"/>
      <c r="IST1010" s="182"/>
      <c r="ISU1010" s="182"/>
      <c r="ISV1010" s="182"/>
      <c r="ISW1010" s="182"/>
      <c r="ISX1010" s="182"/>
      <c r="ISY1010" s="182"/>
      <c r="ISZ1010" s="182"/>
      <c r="ITA1010" s="182"/>
      <c r="ITB1010" s="182"/>
      <c r="ITC1010" s="182"/>
      <c r="ITD1010" s="182"/>
      <c r="ITE1010" s="182"/>
      <c r="ITF1010" s="182"/>
      <c r="ITG1010" s="182"/>
      <c r="ITH1010" s="182"/>
      <c r="ITI1010" s="182"/>
      <c r="ITJ1010" s="182"/>
      <c r="ITK1010" s="182"/>
      <c r="ITL1010" s="182"/>
      <c r="ITM1010" s="182"/>
      <c r="ITN1010" s="182"/>
      <c r="ITO1010" s="182"/>
      <c r="ITP1010" s="182"/>
      <c r="ITQ1010" s="182"/>
      <c r="ITR1010" s="182"/>
      <c r="ITS1010" s="182"/>
      <c r="ITT1010" s="182"/>
      <c r="ITU1010" s="182"/>
      <c r="ITV1010" s="182"/>
      <c r="ITW1010" s="182"/>
      <c r="ITX1010" s="182"/>
      <c r="ITY1010" s="182"/>
      <c r="ITZ1010" s="182"/>
      <c r="IUA1010" s="182"/>
      <c r="IUB1010" s="182"/>
      <c r="IUC1010" s="182"/>
      <c r="IUD1010" s="182"/>
      <c r="IUE1010" s="182"/>
      <c r="IUF1010" s="182"/>
      <c r="IUG1010" s="182"/>
      <c r="IUH1010" s="182"/>
      <c r="IUI1010" s="182"/>
      <c r="IUJ1010" s="182"/>
      <c r="IUK1010" s="182"/>
      <c r="IUL1010" s="182"/>
      <c r="IUM1010" s="182"/>
      <c r="IUN1010" s="182"/>
      <c r="IUO1010" s="182"/>
      <c r="IUP1010" s="182"/>
      <c r="IUQ1010" s="182"/>
      <c r="IUR1010" s="182"/>
      <c r="IUS1010" s="182"/>
      <c r="IUT1010" s="182"/>
      <c r="IUU1010" s="182"/>
      <c r="IUV1010" s="182"/>
      <c r="IUW1010" s="182"/>
      <c r="IUX1010" s="182"/>
      <c r="IUY1010" s="182"/>
      <c r="IUZ1010" s="182"/>
      <c r="IVA1010" s="182"/>
      <c r="IVB1010" s="182"/>
      <c r="IVC1010" s="182"/>
      <c r="IVD1010" s="182"/>
      <c r="IVE1010" s="182"/>
      <c r="IVF1010" s="182"/>
      <c r="IVG1010" s="182"/>
      <c r="IVH1010" s="182"/>
      <c r="IVI1010" s="182"/>
      <c r="IVJ1010" s="182"/>
      <c r="IVK1010" s="182"/>
      <c r="IVL1010" s="182"/>
      <c r="IVM1010" s="182"/>
      <c r="IVN1010" s="182"/>
      <c r="IVO1010" s="182"/>
      <c r="IVP1010" s="182"/>
      <c r="IVQ1010" s="182"/>
      <c r="IVR1010" s="182"/>
      <c r="IVS1010" s="182"/>
      <c r="IVT1010" s="182"/>
      <c r="IVU1010" s="182"/>
      <c r="IVV1010" s="182"/>
      <c r="IVW1010" s="182"/>
      <c r="IVX1010" s="182"/>
      <c r="IVY1010" s="182"/>
      <c r="IVZ1010" s="182"/>
      <c r="IWA1010" s="182"/>
      <c r="IWB1010" s="182"/>
      <c r="IWC1010" s="182"/>
      <c r="IWD1010" s="182"/>
      <c r="IWE1010" s="182"/>
      <c r="IWF1010" s="182"/>
      <c r="IWG1010" s="182"/>
      <c r="IWH1010" s="182"/>
      <c r="IWI1010" s="182"/>
      <c r="IWJ1010" s="182"/>
      <c r="IWK1010" s="182"/>
      <c r="IWL1010" s="182"/>
      <c r="IWM1010" s="182"/>
      <c r="IWN1010" s="182"/>
      <c r="IWO1010" s="182"/>
      <c r="IWP1010" s="182"/>
      <c r="IWQ1010" s="182"/>
      <c r="IWR1010" s="182"/>
      <c r="IWS1010" s="182"/>
      <c r="IWT1010" s="182"/>
      <c r="IWU1010" s="182"/>
      <c r="IWV1010" s="182"/>
      <c r="IWW1010" s="182"/>
      <c r="IWX1010" s="182"/>
      <c r="IWY1010" s="182"/>
      <c r="IWZ1010" s="182"/>
      <c r="IXA1010" s="182"/>
      <c r="IXB1010" s="182"/>
      <c r="IXC1010" s="182"/>
      <c r="IXD1010" s="182"/>
      <c r="IXE1010" s="182"/>
      <c r="IXF1010" s="182"/>
      <c r="IXG1010" s="182"/>
      <c r="IXH1010" s="182"/>
      <c r="IXI1010" s="182"/>
      <c r="IXJ1010" s="182"/>
      <c r="IXK1010" s="182"/>
      <c r="IXL1010" s="182"/>
      <c r="IXM1010" s="182"/>
      <c r="IXN1010" s="182"/>
      <c r="IXO1010" s="182"/>
      <c r="IXP1010" s="182"/>
      <c r="IXQ1010" s="182"/>
      <c r="IXR1010" s="182"/>
      <c r="IXS1010" s="182"/>
      <c r="IXT1010" s="182"/>
      <c r="IXU1010" s="182"/>
      <c r="IXV1010" s="182"/>
      <c r="IXW1010" s="182"/>
      <c r="IXX1010" s="182"/>
      <c r="IXY1010" s="182"/>
      <c r="IXZ1010" s="182"/>
      <c r="IYA1010" s="182"/>
      <c r="IYB1010" s="182"/>
      <c r="IYC1010" s="182"/>
      <c r="IYD1010" s="182"/>
      <c r="IYE1010" s="182"/>
      <c r="IYF1010" s="182"/>
      <c r="IYG1010" s="182"/>
      <c r="IYH1010" s="182"/>
      <c r="IYI1010" s="182"/>
      <c r="IYJ1010" s="182"/>
      <c r="IYK1010" s="182"/>
      <c r="IYL1010" s="182"/>
      <c r="IYM1010" s="182"/>
      <c r="IYN1010" s="182"/>
      <c r="IYO1010" s="182"/>
      <c r="IYP1010" s="182"/>
      <c r="IYQ1010" s="182"/>
      <c r="IYR1010" s="182"/>
      <c r="IYS1010" s="182"/>
      <c r="IYT1010" s="182"/>
      <c r="IYU1010" s="182"/>
      <c r="IYV1010" s="182"/>
      <c r="IYW1010" s="182"/>
      <c r="IYX1010" s="182"/>
      <c r="IYY1010" s="182"/>
      <c r="IYZ1010" s="182"/>
      <c r="IZA1010" s="182"/>
      <c r="IZB1010" s="182"/>
      <c r="IZC1010" s="182"/>
      <c r="IZD1010" s="182"/>
      <c r="IZE1010" s="182"/>
      <c r="IZF1010" s="182"/>
      <c r="IZG1010" s="182"/>
      <c r="IZH1010" s="182"/>
      <c r="IZI1010" s="182"/>
      <c r="IZJ1010" s="182"/>
      <c r="IZK1010" s="182"/>
      <c r="IZL1010" s="182"/>
      <c r="IZM1010" s="182"/>
      <c r="IZN1010" s="182"/>
      <c r="IZO1010" s="182"/>
      <c r="IZP1010" s="182"/>
      <c r="IZQ1010" s="182"/>
      <c r="IZR1010" s="182"/>
      <c r="IZS1010" s="182"/>
      <c r="IZT1010" s="182"/>
      <c r="IZU1010" s="182"/>
      <c r="IZV1010" s="182"/>
      <c r="IZW1010" s="182"/>
      <c r="IZX1010" s="182"/>
      <c r="IZY1010" s="182"/>
      <c r="IZZ1010" s="182"/>
      <c r="JAA1010" s="182"/>
      <c r="JAB1010" s="182"/>
      <c r="JAC1010" s="182"/>
      <c r="JAD1010" s="182"/>
      <c r="JAE1010" s="182"/>
      <c r="JAF1010" s="182"/>
      <c r="JAG1010" s="182"/>
      <c r="JAH1010" s="182"/>
      <c r="JAI1010" s="182"/>
      <c r="JAJ1010" s="182"/>
      <c r="JAK1010" s="182"/>
      <c r="JAL1010" s="182"/>
      <c r="JAM1010" s="182"/>
      <c r="JAN1010" s="182"/>
      <c r="JAO1010" s="182"/>
      <c r="JAP1010" s="182"/>
      <c r="JAQ1010" s="182"/>
      <c r="JAR1010" s="182"/>
      <c r="JAS1010" s="182"/>
      <c r="JAT1010" s="182"/>
      <c r="JAU1010" s="182"/>
      <c r="JAV1010" s="182"/>
      <c r="JAW1010" s="182"/>
      <c r="JAX1010" s="182"/>
      <c r="JAY1010" s="182"/>
      <c r="JAZ1010" s="182"/>
      <c r="JBA1010" s="182"/>
      <c r="JBB1010" s="182"/>
      <c r="JBC1010" s="182"/>
      <c r="JBD1010" s="182"/>
      <c r="JBE1010" s="182"/>
      <c r="JBF1010" s="182"/>
      <c r="JBG1010" s="182"/>
      <c r="JBH1010" s="182"/>
      <c r="JBI1010" s="182"/>
      <c r="JBJ1010" s="182"/>
      <c r="JBK1010" s="182"/>
      <c r="JBL1010" s="182"/>
      <c r="JBM1010" s="182"/>
      <c r="JBN1010" s="182"/>
      <c r="JBO1010" s="182"/>
      <c r="JBP1010" s="182"/>
      <c r="JBQ1010" s="182"/>
      <c r="JBR1010" s="182"/>
      <c r="JBS1010" s="182"/>
      <c r="JBT1010" s="182"/>
      <c r="JBU1010" s="182"/>
      <c r="JBV1010" s="182"/>
      <c r="JBW1010" s="182"/>
      <c r="JBX1010" s="182"/>
      <c r="JBY1010" s="182"/>
      <c r="JBZ1010" s="182"/>
      <c r="JCA1010" s="182"/>
      <c r="JCB1010" s="182"/>
      <c r="JCC1010" s="182"/>
      <c r="JCD1010" s="182"/>
      <c r="JCE1010" s="182"/>
      <c r="JCF1010" s="182"/>
      <c r="JCG1010" s="182"/>
      <c r="JCH1010" s="182"/>
      <c r="JCI1010" s="182"/>
      <c r="JCJ1010" s="182"/>
      <c r="JCK1010" s="182"/>
      <c r="JCL1010" s="182"/>
      <c r="JCM1010" s="182"/>
      <c r="JCN1010" s="182"/>
      <c r="JCO1010" s="182"/>
      <c r="JCP1010" s="182"/>
      <c r="JCQ1010" s="182"/>
      <c r="JCR1010" s="182"/>
      <c r="JCS1010" s="182"/>
      <c r="JCT1010" s="182"/>
      <c r="JCU1010" s="182"/>
      <c r="JCV1010" s="182"/>
      <c r="JCW1010" s="182"/>
      <c r="JCX1010" s="182"/>
      <c r="JCY1010" s="182"/>
      <c r="JCZ1010" s="182"/>
      <c r="JDA1010" s="182"/>
      <c r="JDB1010" s="182"/>
      <c r="JDC1010" s="182"/>
      <c r="JDD1010" s="182"/>
      <c r="JDE1010" s="182"/>
      <c r="JDF1010" s="182"/>
      <c r="JDG1010" s="182"/>
      <c r="JDH1010" s="182"/>
      <c r="JDI1010" s="182"/>
      <c r="JDJ1010" s="182"/>
      <c r="JDK1010" s="182"/>
      <c r="JDL1010" s="182"/>
      <c r="JDM1010" s="182"/>
      <c r="JDN1010" s="182"/>
      <c r="JDO1010" s="182"/>
      <c r="JDP1010" s="182"/>
      <c r="JDQ1010" s="182"/>
      <c r="JDR1010" s="182"/>
      <c r="JDS1010" s="182"/>
      <c r="JDT1010" s="182"/>
      <c r="JDU1010" s="182"/>
      <c r="JDV1010" s="182"/>
      <c r="JDW1010" s="182"/>
      <c r="JDX1010" s="182"/>
      <c r="JDY1010" s="182"/>
      <c r="JDZ1010" s="182"/>
      <c r="JEA1010" s="182"/>
      <c r="JEB1010" s="182"/>
      <c r="JEC1010" s="182"/>
      <c r="JED1010" s="182"/>
      <c r="JEE1010" s="182"/>
      <c r="JEF1010" s="182"/>
      <c r="JEG1010" s="182"/>
      <c r="JEH1010" s="182"/>
      <c r="JEI1010" s="182"/>
      <c r="JEJ1010" s="182"/>
      <c r="JEK1010" s="182"/>
      <c r="JEL1010" s="182"/>
      <c r="JEM1010" s="182"/>
      <c r="JEN1010" s="182"/>
      <c r="JEO1010" s="182"/>
      <c r="JEP1010" s="182"/>
      <c r="JEQ1010" s="182"/>
      <c r="JER1010" s="182"/>
      <c r="JES1010" s="182"/>
      <c r="JET1010" s="182"/>
      <c r="JEU1010" s="182"/>
      <c r="JEV1010" s="182"/>
      <c r="JEW1010" s="182"/>
      <c r="JEX1010" s="182"/>
      <c r="JEY1010" s="182"/>
      <c r="JEZ1010" s="182"/>
      <c r="JFA1010" s="182"/>
      <c r="JFB1010" s="182"/>
      <c r="JFC1010" s="182"/>
      <c r="JFD1010" s="182"/>
      <c r="JFE1010" s="182"/>
      <c r="JFF1010" s="182"/>
      <c r="JFG1010" s="182"/>
      <c r="JFH1010" s="182"/>
      <c r="JFI1010" s="182"/>
      <c r="JFJ1010" s="182"/>
      <c r="JFK1010" s="182"/>
      <c r="JFL1010" s="182"/>
      <c r="JFM1010" s="182"/>
      <c r="JFN1010" s="182"/>
      <c r="JFO1010" s="182"/>
      <c r="JFP1010" s="182"/>
      <c r="JFQ1010" s="182"/>
      <c r="JFR1010" s="182"/>
      <c r="JFS1010" s="182"/>
      <c r="JFT1010" s="182"/>
      <c r="JFU1010" s="182"/>
      <c r="JFV1010" s="182"/>
      <c r="JFW1010" s="182"/>
      <c r="JFX1010" s="182"/>
      <c r="JFY1010" s="182"/>
      <c r="JFZ1010" s="182"/>
      <c r="JGA1010" s="182"/>
      <c r="JGB1010" s="182"/>
      <c r="JGC1010" s="182"/>
      <c r="JGD1010" s="182"/>
      <c r="JGE1010" s="182"/>
      <c r="JGF1010" s="182"/>
      <c r="JGG1010" s="182"/>
      <c r="JGH1010" s="182"/>
      <c r="JGI1010" s="182"/>
      <c r="JGJ1010" s="182"/>
      <c r="JGK1010" s="182"/>
      <c r="JGL1010" s="182"/>
      <c r="JGM1010" s="182"/>
      <c r="JGN1010" s="182"/>
      <c r="JGO1010" s="182"/>
      <c r="JGP1010" s="182"/>
      <c r="JGQ1010" s="182"/>
      <c r="JGR1010" s="182"/>
      <c r="JGS1010" s="182"/>
      <c r="JGT1010" s="182"/>
      <c r="JGU1010" s="182"/>
      <c r="JGV1010" s="182"/>
      <c r="JGW1010" s="182"/>
      <c r="JGX1010" s="182"/>
      <c r="JGY1010" s="182"/>
      <c r="JGZ1010" s="182"/>
      <c r="JHA1010" s="182"/>
      <c r="JHB1010" s="182"/>
      <c r="JHC1010" s="182"/>
      <c r="JHD1010" s="182"/>
      <c r="JHE1010" s="182"/>
      <c r="JHF1010" s="182"/>
      <c r="JHG1010" s="182"/>
      <c r="JHH1010" s="182"/>
      <c r="JHI1010" s="182"/>
      <c r="JHJ1010" s="182"/>
      <c r="JHK1010" s="182"/>
      <c r="JHL1010" s="182"/>
      <c r="JHM1010" s="182"/>
      <c r="JHN1010" s="182"/>
      <c r="JHO1010" s="182"/>
      <c r="JHP1010" s="182"/>
      <c r="JHQ1010" s="182"/>
      <c r="JHR1010" s="182"/>
      <c r="JHS1010" s="182"/>
      <c r="JHT1010" s="182"/>
      <c r="JHU1010" s="182"/>
      <c r="JHV1010" s="182"/>
      <c r="JHW1010" s="182"/>
      <c r="JHX1010" s="182"/>
      <c r="JHY1010" s="182"/>
      <c r="JHZ1010" s="182"/>
      <c r="JIA1010" s="182"/>
      <c r="JIB1010" s="182"/>
      <c r="JIC1010" s="182"/>
      <c r="JID1010" s="182"/>
      <c r="JIE1010" s="182"/>
      <c r="JIF1010" s="182"/>
      <c r="JIG1010" s="182"/>
      <c r="JIH1010" s="182"/>
      <c r="JII1010" s="182"/>
      <c r="JIJ1010" s="182"/>
      <c r="JIK1010" s="182"/>
      <c r="JIL1010" s="182"/>
      <c r="JIM1010" s="182"/>
      <c r="JIN1010" s="182"/>
      <c r="JIO1010" s="182"/>
      <c r="JIP1010" s="182"/>
      <c r="JIQ1010" s="182"/>
      <c r="JIR1010" s="182"/>
      <c r="JIS1010" s="182"/>
      <c r="JIT1010" s="182"/>
      <c r="JIU1010" s="182"/>
      <c r="JIV1010" s="182"/>
      <c r="JIW1010" s="182"/>
      <c r="JIX1010" s="182"/>
      <c r="JIY1010" s="182"/>
      <c r="JIZ1010" s="182"/>
      <c r="JJA1010" s="182"/>
      <c r="JJB1010" s="182"/>
      <c r="JJC1010" s="182"/>
      <c r="JJD1010" s="182"/>
      <c r="JJE1010" s="182"/>
      <c r="JJF1010" s="182"/>
      <c r="JJG1010" s="182"/>
      <c r="JJH1010" s="182"/>
      <c r="JJI1010" s="182"/>
      <c r="JJJ1010" s="182"/>
      <c r="JJK1010" s="182"/>
      <c r="JJL1010" s="182"/>
      <c r="JJM1010" s="182"/>
      <c r="JJN1010" s="182"/>
      <c r="JJO1010" s="182"/>
      <c r="JJP1010" s="182"/>
      <c r="JJQ1010" s="182"/>
      <c r="JJR1010" s="182"/>
      <c r="JJS1010" s="182"/>
      <c r="JJT1010" s="182"/>
      <c r="JJU1010" s="182"/>
      <c r="JJV1010" s="182"/>
      <c r="JJW1010" s="182"/>
      <c r="JJX1010" s="182"/>
      <c r="JJY1010" s="182"/>
      <c r="JJZ1010" s="182"/>
      <c r="JKA1010" s="182"/>
      <c r="JKB1010" s="182"/>
      <c r="JKC1010" s="182"/>
      <c r="JKD1010" s="182"/>
      <c r="JKE1010" s="182"/>
      <c r="JKF1010" s="182"/>
      <c r="JKG1010" s="182"/>
      <c r="JKH1010" s="182"/>
      <c r="JKI1010" s="182"/>
      <c r="JKJ1010" s="182"/>
      <c r="JKK1010" s="182"/>
      <c r="JKL1010" s="182"/>
      <c r="JKM1010" s="182"/>
      <c r="JKN1010" s="182"/>
      <c r="JKO1010" s="182"/>
      <c r="JKP1010" s="182"/>
      <c r="JKQ1010" s="182"/>
      <c r="JKR1010" s="182"/>
      <c r="JKS1010" s="182"/>
      <c r="JKT1010" s="182"/>
      <c r="JKU1010" s="182"/>
      <c r="JKV1010" s="182"/>
      <c r="JKW1010" s="182"/>
      <c r="JKX1010" s="182"/>
      <c r="JKY1010" s="182"/>
      <c r="JKZ1010" s="182"/>
      <c r="JLA1010" s="182"/>
      <c r="JLB1010" s="182"/>
      <c r="JLC1010" s="182"/>
      <c r="JLD1010" s="182"/>
      <c r="JLE1010" s="182"/>
      <c r="JLF1010" s="182"/>
      <c r="JLG1010" s="182"/>
      <c r="JLH1010" s="182"/>
      <c r="JLI1010" s="182"/>
      <c r="JLJ1010" s="182"/>
      <c r="JLK1010" s="182"/>
      <c r="JLL1010" s="182"/>
      <c r="JLM1010" s="182"/>
      <c r="JLN1010" s="182"/>
      <c r="JLO1010" s="182"/>
      <c r="JLP1010" s="182"/>
      <c r="JLQ1010" s="182"/>
      <c r="JLR1010" s="182"/>
      <c r="JLS1010" s="182"/>
      <c r="JLT1010" s="182"/>
      <c r="JLU1010" s="182"/>
      <c r="JLV1010" s="182"/>
      <c r="JLW1010" s="182"/>
      <c r="JLX1010" s="182"/>
      <c r="JLY1010" s="182"/>
      <c r="JLZ1010" s="182"/>
      <c r="JMA1010" s="182"/>
      <c r="JMB1010" s="182"/>
      <c r="JMC1010" s="182"/>
      <c r="JMD1010" s="182"/>
      <c r="JME1010" s="182"/>
      <c r="JMF1010" s="182"/>
      <c r="JMG1010" s="182"/>
      <c r="JMH1010" s="182"/>
      <c r="JMI1010" s="182"/>
      <c r="JMJ1010" s="182"/>
      <c r="JMK1010" s="182"/>
      <c r="JML1010" s="182"/>
      <c r="JMM1010" s="182"/>
      <c r="JMN1010" s="182"/>
      <c r="JMO1010" s="182"/>
      <c r="JMP1010" s="182"/>
      <c r="JMQ1010" s="182"/>
      <c r="JMR1010" s="182"/>
      <c r="JMS1010" s="182"/>
      <c r="JMT1010" s="182"/>
      <c r="JMU1010" s="182"/>
      <c r="JMV1010" s="182"/>
      <c r="JMW1010" s="182"/>
      <c r="JMX1010" s="182"/>
      <c r="JMY1010" s="182"/>
      <c r="JMZ1010" s="182"/>
      <c r="JNA1010" s="182"/>
      <c r="JNB1010" s="182"/>
      <c r="JNC1010" s="182"/>
      <c r="JND1010" s="182"/>
      <c r="JNE1010" s="182"/>
      <c r="JNF1010" s="182"/>
      <c r="JNG1010" s="182"/>
      <c r="JNH1010" s="182"/>
      <c r="JNI1010" s="182"/>
      <c r="JNJ1010" s="182"/>
      <c r="JNK1010" s="182"/>
      <c r="JNL1010" s="182"/>
      <c r="JNM1010" s="182"/>
      <c r="JNN1010" s="182"/>
      <c r="JNO1010" s="182"/>
      <c r="JNP1010" s="182"/>
      <c r="JNQ1010" s="182"/>
      <c r="JNR1010" s="182"/>
      <c r="JNS1010" s="182"/>
      <c r="JNT1010" s="182"/>
      <c r="JNU1010" s="182"/>
      <c r="JNV1010" s="182"/>
      <c r="JNW1010" s="182"/>
      <c r="JNX1010" s="182"/>
      <c r="JNY1010" s="182"/>
      <c r="JNZ1010" s="182"/>
      <c r="JOA1010" s="182"/>
      <c r="JOB1010" s="182"/>
      <c r="JOC1010" s="182"/>
      <c r="JOD1010" s="182"/>
      <c r="JOE1010" s="182"/>
      <c r="JOF1010" s="182"/>
      <c r="JOG1010" s="182"/>
      <c r="JOH1010" s="182"/>
      <c r="JOI1010" s="182"/>
      <c r="JOJ1010" s="182"/>
      <c r="JOK1010" s="182"/>
      <c r="JOL1010" s="182"/>
      <c r="JOM1010" s="182"/>
      <c r="JON1010" s="182"/>
      <c r="JOO1010" s="182"/>
      <c r="JOP1010" s="182"/>
      <c r="JOQ1010" s="182"/>
      <c r="JOR1010" s="182"/>
      <c r="JOS1010" s="182"/>
      <c r="JOT1010" s="182"/>
      <c r="JOU1010" s="182"/>
      <c r="JOV1010" s="182"/>
      <c r="JOW1010" s="182"/>
      <c r="JOX1010" s="182"/>
      <c r="JOY1010" s="182"/>
      <c r="JOZ1010" s="182"/>
      <c r="JPA1010" s="182"/>
      <c r="JPB1010" s="182"/>
      <c r="JPC1010" s="182"/>
      <c r="JPD1010" s="182"/>
      <c r="JPE1010" s="182"/>
      <c r="JPF1010" s="182"/>
      <c r="JPG1010" s="182"/>
      <c r="JPH1010" s="182"/>
      <c r="JPI1010" s="182"/>
      <c r="JPJ1010" s="182"/>
      <c r="JPK1010" s="182"/>
      <c r="JPL1010" s="182"/>
      <c r="JPM1010" s="182"/>
      <c r="JPN1010" s="182"/>
      <c r="JPO1010" s="182"/>
      <c r="JPP1010" s="182"/>
      <c r="JPQ1010" s="182"/>
      <c r="JPR1010" s="182"/>
      <c r="JPS1010" s="182"/>
      <c r="JPT1010" s="182"/>
      <c r="JPU1010" s="182"/>
      <c r="JPV1010" s="182"/>
      <c r="JPW1010" s="182"/>
      <c r="JPX1010" s="182"/>
      <c r="JPY1010" s="182"/>
      <c r="JPZ1010" s="182"/>
      <c r="JQA1010" s="182"/>
      <c r="JQB1010" s="182"/>
      <c r="JQC1010" s="182"/>
      <c r="JQD1010" s="182"/>
      <c r="JQE1010" s="182"/>
      <c r="JQF1010" s="182"/>
      <c r="JQG1010" s="182"/>
      <c r="JQH1010" s="182"/>
      <c r="JQI1010" s="182"/>
      <c r="JQJ1010" s="182"/>
      <c r="JQK1010" s="182"/>
      <c r="JQL1010" s="182"/>
      <c r="JQM1010" s="182"/>
      <c r="JQN1010" s="182"/>
      <c r="JQO1010" s="182"/>
      <c r="JQP1010" s="182"/>
      <c r="JQQ1010" s="182"/>
      <c r="JQR1010" s="182"/>
      <c r="JQS1010" s="182"/>
      <c r="JQT1010" s="182"/>
      <c r="JQU1010" s="182"/>
      <c r="JQV1010" s="182"/>
      <c r="JQW1010" s="182"/>
      <c r="JQX1010" s="182"/>
      <c r="JQY1010" s="182"/>
      <c r="JQZ1010" s="182"/>
      <c r="JRA1010" s="182"/>
      <c r="JRB1010" s="182"/>
      <c r="JRC1010" s="182"/>
      <c r="JRD1010" s="182"/>
      <c r="JRE1010" s="182"/>
      <c r="JRF1010" s="182"/>
      <c r="JRG1010" s="182"/>
      <c r="JRH1010" s="182"/>
      <c r="JRI1010" s="182"/>
      <c r="JRJ1010" s="182"/>
      <c r="JRK1010" s="182"/>
      <c r="JRL1010" s="182"/>
      <c r="JRM1010" s="182"/>
      <c r="JRN1010" s="182"/>
      <c r="JRO1010" s="182"/>
      <c r="JRP1010" s="182"/>
      <c r="JRQ1010" s="182"/>
      <c r="JRR1010" s="182"/>
      <c r="JRS1010" s="182"/>
      <c r="JRT1010" s="182"/>
      <c r="JRU1010" s="182"/>
      <c r="JRV1010" s="182"/>
      <c r="JRW1010" s="182"/>
      <c r="JRX1010" s="182"/>
      <c r="JRY1010" s="182"/>
      <c r="JRZ1010" s="182"/>
      <c r="JSA1010" s="182"/>
      <c r="JSB1010" s="182"/>
      <c r="JSC1010" s="182"/>
      <c r="JSD1010" s="182"/>
      <c r="JSE1010" s="182"/>
      <c r="JSF1010" s="182"/>
      <c r="JSG1010" s="182"/>
      <c r="JSH1010" s="182"/>
      <c r="JSI1010" s="182"/>
      <c r="JSJ1010" s="182"/>
      <c r="JSK1010" s="182"/>
      <c r="JSL1010" s="182"/>
      <c r="JSM1010" s="182"/>
      <c r="JSN1010" s="182"/>
      <c r="JSO1010" s="182"/>
      <c r="JSP1010" s="182"/>
      <c r="JSQ1010" s="182"/>
      <c r="JSR1010" s="182"/>
      <c r="JSS1010" s="182"/>
      <c r="JST1010" s="182"/>
      <c r="JSU1010" s="182"/>
      <c r="JSV1010" s="182"/>
      <c r="JSW1010" s="182"/>
      <c r="JSX1010" s="182"/>
      <c r="JSY1010" s="182"/>
      <c r="JSZ1010" s="182"/>
      <c r="JTA1010" s="182"/>
      <c r="JTB1010" s="182"/>
      <c r="JTC1010" s="182"/>
      <c r="JTD1010" s="182"/>
      <c r="JTE1010" s="182"/>
      <c r="JTF1010" s="182"/>
      <c r="JTG1010" s="182"/>
      <c r="JTH1010" s="182"/>
      <c r="JTI1010" s="182"/>
      <c r="JTJ1010" s="182"/>
      <c r="JTK1010" s="182"/>
      <c r="JTL1010" s="182"/>
      <c r="JTM1010" s="182"/>
      <c r="JTN1010" s="182"/>
      <c r="JTO1010" s="182"/>
      <c r="JTP1010" s="182"/>
      <c r="JTQ1010" s="182"/>
      <c r="JTR1010" s="182"/>
      <c r="JTS1010" s="182"/>
      <c r="JTT1010" s="182"/>
      <c r="JTU1010" s="182"/>
      <c r="JTV1010" s="182"/>
      <c r="JTW1010" s="182"/>
      <c r="JTX1010" s="182"/>
      <c r="JTY1010" s="182"/>
      <c r="JTZ1010" s="182"/>
      <c r="JUA1010" s="182"/>
      <c r="JUB1010" s="182"/>
      <c r="JUC1010" s="182"/>
      <c r="JUD1010" s="182"/>
      <c r="JUE1010" s="182"/>
      <c r="JUF1010" s="182"/>
      <c r="JUG1010" s="182"/>
      <c r="JUH1010" s="182"/>
      <c r="JUI1010" s="182"/>
      <c r="JUJ1010" s="182"/>
      <c r="JUK1010" s="182"/>
      <c r="JUL1010" s="182"/>
      <c r="JUM1010" s="182"/>
      <c r="JUN1010" s="182"/>
      <c r="JUO1010" s="182"/>
      <c r="JUP1010" s="182"/>
      <c r="JUQ1010" s="182"/>
      <c r="JUR1010" s="182"/>
      <c r="JUS1010" s="182"/>
      <c r="JUT1010" s="182"/>
      <c r="JUU1010" s="182"/>
      <c r="JUV1010" s="182"/>
      <c r="JUW1010" s="182"/>
      <c r="JUX1010" s="182"/>
      <c r="JUY1010" s="182"/>
      <c r="JUZ1010" s="182"/>
      <c r="JVA1010" s="182"/>
      <c r="JVB1010" s="182"/>
      <c r="JVC1010" s="182"/>
      <c r="JVD1010" s="182"/>
      <c r="JVE1010" s="182"/>
      <c r="JVF1010" s="182"/>
      <c r="JVG1010" s="182"/>
      <c r="JVH1010" s="182"/>
      <c r="JVI1010" s="182"/>
      <c r="JVJ1010" s="182"/>
      <c r="JVK1010" s="182"/>
      <c r="JVL1010" s="182"/>
      <c r="JVM1010" s="182"/>
      <c r="JVN1010" s="182"/>
      <c r="JVO1010" s="182"/>
      <c r="JVP1010" s="182"/>
      <c r="JVQ1010" s="182"/>
      <c r="JVR1010" s="182"/>
      <c r="JVS1010" s="182"/>
      <c r="JVT1010" s="182"/>
      <c r="JVU1010" s="182"/>
      <c r="JVV1010" s="182"/>
      <c r="JVW1010" s="182"/>
      <c r="JVX1010" s="182"/>
      <c r="JVY1010" s="182"/>
      <c r="JVZ1010" s="182"/>
      <c r="JWA1010" s="182"/>
      <c r="JWB1010" s="182"/>
      <c r="JWC1010" s="182"/>
      <c r="JWD1010" s="182"/>
      <c r="JWE1010" s="182"/>
      <c r="JWF1010" s="182"/>
      <c r="JWG1010" s="182"/>
      <c r="JWH1010" s="182"/>
      <c r="JWI1010" s="182"/>
      <c r="JWJ1010" s="182"/>
      <c r="JWK1010" s="182"/>
      <c r="JWL1010" s="182"/>
      <c r="JWM1010" s="182"/>
      <c r="JWN1010" s="182"/>
      <c r="JWO1010" s="182"/>
      <c r="JWP1010" s="182"/>
      <c r="JWQ1010" s="182"/>
      <c r="JWR1010" s="182"/>
      <c r="JWS1010" s="182"/>
      <c r="JWT1010" s="182"/>
      <c r="JWU1010" s="182"/>
      <c r="JWV1010" s="182"/>
      <c r="JWW1010" s="182"/>
      <c r="JWX1010" s="182"/>
      <c r="JWY1010" s="182"/>
      <c r="JWZ1010" s="182"/>
      <c r="JXA1010" s="182"/>
      <c r="JXB1010" s="182"/>
      <c r="JXC1010" s="182"/>
      <c r="JXD1010" s="182"/>
      <c r="JXE1010" s="182"/>
      <c r="JXF1010" s="182"/>
      <c r="JXG1010" s="182"/>
      <c r="JXH1010" s="182"/>
      <c r="JXI1010" s="182"/>
      <c r="JXJ1010" s="182"/>
      <c r="JXK1010" s="182"/>
      <c r="JXL1010" s="182"/>
      <c r="JXM1010" s="182"/>
      <c r="JXN1010" s="182"/>
      <c r="JXO1010" s="182"/>
      <c r="JXP1010" s="182"/>
      <c r="JXQ1010" s="182"/>
      <c r="JXR1010" s="182"/>
      <c r="JXS1010" s="182"/>
      <c r="JXT1010" s="182"/>
      <c r="JXU1010" s="182"/>
      <c r="JXV1010" s="182"/>
      <c r="JXW1010" s="182"/>
      <c r="JXX1010" s="182"/>
      <c r="JXY1010" s="182"/>
      <c r="JXZ1010" s="182"/>
      <c r="JYA1010" s="182"/>
      <c r="JYB1010" s="182"/>
      <c r="JYC1010" s="182"/>
      <c r="JYD1010" s="182"/>
      <c r="JYE1010" s="182"/>
      <c r="JYF1010" s="182"/>
      <c r="JYG1010" s="182"/>
      <c r="JYH1010" s="182"/>
      <c r="JYI1010" s="182"/>
      <c r="JYJ1010" s="182"/>
      <c r="JYK1010" s="182"/>
      <c r="JYL1010" s="182"/>
      <c r="JYM1010" s="182"/>
      <c r="JYN1010" s="182"/>
      <c r="JYO1010" s="182"/>
      <c r="JYP1010" s="182"/>
      <c r="JYQ1010" s="182"/>
      <c r="JYR1010" s="182"/>
      <c r="JYS1010" s="182"/>
      <c r="JYT1010" s="182"/>
      <c r="JYU1010" s="182"/>
      <c r="JYV1010" s="182"/>
      <c r="JYW1010" s="182"/>
      <c r="JYX1010" s="182"/>
      <c r="JYY1010" s="182"/>
      <c r="JYZ1010" s="182"/>
      <c r="JZA1010" s="182"/>
      <c r="JZB1010" s="182"/>
      <c r="JZC1010" s="182"/>
      <c r="JZD1010" s="182"/>
      <c r="JZE1010" s="182"/>
      <c r="JZF1010" s="182"/>
      <c r="JZG1010" s="182"/>
      <c r="JZH1010" s="182"/>
      <c r="JZI1010" s="182"/>
      <c r="JZJ1010" s="182"/>
      <c r="JZK1010" s="182"/>
      <c r="JZL1010" s="182"/>
      <c r="JZM1010" s="182"/>
      <c r="JZN1010" s="182"/>
      <c r="JZO1010" s="182"/>
      <c r="JZP1010" s="182"/>
      <c r="JZQ1010" s="182"/>
      <c r="JZR1010" s="182"/>
      <c r="JZS1010" s="182"/>
      <c r="JZT1010" s="182"/>
      <c r="JZU1010" s="182"/>
      <c r="JZV1010" s="182"/>
      <c r="JZW1010" s="182"/>
      <c r="JZX1010" s="182"/>
      <c r="JZY1010" s="182"/>
      <c r="JZZ1010" s="182"/>
      <c r="KAA1010" s="182"/>
      <c r="KAB1010" s="182"/>
      <c r="KAC1010" s="182"/>
      <c r="KAD1010" s="182"/>
      <c r="KAE1010" s="182"/>
      <c r="KAF1010" s="182"/>
      <c r="KAG1010" s="182"/>
      <c r="KAH1010" s="182"/>
      <c r="KAI1010" s="182"/>
      <c r="KAJ1010" s="182"/>
      <c r="KAK1010" s="182"/>
      <c r="KAL1010" s="182"/>
      <c r="KAM1010" s="182"/>
      <c r="KAN1010" s="182"/>
      <c r="KAO1010" s="182"/>
      <c r="KAP1010" s="182"/>
      <c r="KAQ1010" s="182"/>
      <c r="KAR1010" s="182"/>
      <c r="KAS1010" s="182"/>
      <c r="KAT1010" s="182"/>
      <c r="KAU1010" s="182"/>
      <c r="KAV1010" s="182"/>
      <c r="KAW1010" s="182"/>
      <c r="KAX1010" s="182"/>
      <c r="KAY1010" s="182"/>
      <c r="KAZ1010" s="182"/>
      <c r="KBA1010" s="182"/>
      <c r="KBB1010" s="182"/>
      <c r="KBC1010" s="182"/>
      <c r="KBD1010" s="182"/>
      <c r="KBE1010" s="182"/>
      <c r="KBF1010" s="182"/>
      <c r="KBG1010" s="182"/>
      <c r="KBH1010" s="182"/>
      <c r="KBI1010" s="182"/>
      <c r="KBJ1010" s="182"/>
      <c r="KBK1010" s="182"/>
      <c r="KBL1010" s="182"/>
      <c r="KBM1010" s="182"/>
      <c r="KBN1010" s="182"/>
      <c r="KBO1010" s="182"/>
      <c r="KBP1010" s="182"/>
      <c r="KBQ1010" s="182"/>
      <c r="KBR1010" s="182"/>
      <c r="KBS1010" s="182"/>
      <c r="KBT1010" s="182"/>
      <c r="KBU1010" s="182"/>
      <c r="KBV1010" s="182"/>
      <c r="KBW1010" s="182"/>
      <c r="KBX1010" s="182"/>
      <c r="KBY1010" s="182"/>
      <c r="KBZ1010" s="182"/>
      <c r="KCA1010" s="182"/>
      <c r="KCB1010" s="182"/>
      <c r="KCC1010" s="182"/>
      <c r="KCD1010" s="182"/>
      <c r="KCE1010" s="182"/>
      <c r="KCF1010" s="182"/>
      <c r="KCG1010" s="182"/>
      <c r="KCH1010" s="182"/>
      <c r="KCI1010" s="182"/>
      <c r="KCJ1010" s="182"/>
      <c r="KCK1010" s="182"/>
      <c r="KCL1010" s="182"/>
      <c r="KCM1010" s="182"/>
      <c r="KCN1010" s="182"/>
      <c r="KCO1010" s="182"/>
      <c r="KCP1010" s="182"/>
      <c r="KCQ1010" s="182"/>
      <c r="KCR1010" s="182"/>
      <c r="KCS1010" s="182"/>
      <c r="KCT1010" s="182"/>
      <c r="KCU1010" s="182"/>
      <c r="KCV1010" s="182"/>
      <c r="KCW1010" s="182"/>
      <c r="KCX1010" s="182"/>
      <c r="KCY1010" s="182"/>
      <c r="KCZ1010" s="182"/>
      <c r="KDA1010" s="182"/>
      <c r="KDB1010" s="182"/>
      <c r="KDC1010" s="182"/>
      <c r="KDD1010" s="182"/>
      <c r="KDE1010" s="182"/>
      <c r="KDF1010" s="182"/>
      <c r="KDG1010" s="182"/>
      <c r="KDH1010" s="182"/>
      <c r="KDI1010" s="182"/>
      <c r="KDJ1010" s="182"/>
      <c r="KDK1010" s="182"/>
      <c r="KDL1010" s="182"/>
      <c r="KDM1010" s="182"/>
      <c r="KDN1010" s="182"/>
      <c r="KDO1010" s="182"/>
      <c r="KDP1010" s="182"/>
      <c r="KDQ1010" s="182"/>
      <c r="KDR1010" s="182"/>
      <c r="KDS1010" s="182"/>
      <c r="KDT1010" s="182"/>
      <c r="KDU1010" s="182"/>
      <c r="KDV1010" s="182"/>
      <c r="KDW1010" s="182"/>
      <c r="KDX1010" s="182"/>
      <c r="KDY1010" s="182"/>
      <c r="KDZ1010" s="182"/>
      <c r="KEA1010" s="182"/>
      <c r="KEB1010" s="182"/>
      <c r="KEC1010" s="182"/>
      <c r="KED1010" s="182"/>
      <c r="KEE1010" s="182"/>
      <c r="KEF1010" s="182"/>
      <c r="KEG1010" s="182"/>
      <c r="KEH1010" s="182"/>
      <c r="KEI1010" s="182"/>
      <c r="KEJ1010" s="182"/>
      <c r="KEK1010" s="182"/>
      <c r="KEL1010" s="182"/>
      <c r="KEM1010" s="182"/>
      <c r="KEN1010" s="182"/>
      <c r="KEO1010" s="182"/>
      <c r="KEP1010" s="182"/>
      <c r="KEQ1010" s="182"/>
      <c r="KER1010" s="182"/>
      <c r="KES1010" s="182"/>
      <c r="KET1010" s="182"/>
      <c r="KEU1010" s="182"/>
      <c r="KEV1010" s="182"/>
      <c r="KEW1010" s="182"/>
      <c r="KEX1010" s="182"/>
      <c r="KEY1010" s="182"/>
      <c r="KEZ1010" s="182"/>
      <c r="KFA1010" s="182"/>
      <c r="KFB1010" s="182"/>
      <c r="KFC1010" s="182"/>
      <c r="KFD1010" s="182"/>
      <c r="KFE1010" s="182"/>
      <c r="KFF1010" s="182"/>
      <c r="KFG1010" s="182"/>
      <c r="KFH1010" s="182"/>
      <c r="KFI1010" s="182"/>
      <c r="KFJ1010" s="182"/>
      <c r="KFK1010" s="182"/>
      <c r="KFL1010" s="182"/>
      <c r="KFM1010" s="182"/>
      <c r="KFN1010" s="182"/>
      <c r="KFO1010" s="182"/>
      <c r="KFP1010" s="182"/>
      <c r="KFQ1010" s="182"/>
      <c r="KFR1010" s="182"/>
      <c r="KFS1010" s="182"/>
      <c r="KFT1010" s="182"/>
      <c r="KFU1010" s="182"/>
      <c r="KFV1010" s="182"/>
      <c r="KFW1010" s="182"/>
      <c r="KFX1010" s="182"/>
      <c r="KFY1010" s="182"/>
      <c r="KFZ1010" s="182"/>
      <c r="KGA1010" s="182"/>
      <c r="KGB1010" s="182"/>
      <c r="KGC1010" s="182"/>
      <c r="KGD1010" s="182"/>
      <c r="KGE1010" s="182"/>
      <c r="KGF1010" s="182"/>
      <c r="KGG1010" s="182"/>
      <c r="KGH1010" s="182"/>
      <c r="KGI1010" s="182"/>
      <c r="KGJ1010" s="182"/>
      <c r="KGK1010" s="182"/>
      <c r="KGL1010" s="182"/>
      <c r="KGM1010" s="182"/>
      <c r="KGN1010" s="182"/>
      <c r="KGO1010" s="182"/>
      <c r="KGP1010" s="182"/>
      <c r="KGQ1010" s="182"/>
      <c r="KGR1010" s="182"/>
      <c r="KGS1010" s="182"/>
      <c r="KGT1010" s="182"/>
      <c r="KGU1010" s="182"/>
      <c r="KGV1010" s="182"/>
      <c r="KGW1010" s="182"/>
      <c r="KGX1010" s="182"/>
      <c r="KGY1010" s="182"/>
      <c r="KGZ1010" s="182"/>
      <c r="KHA1010" s="182"/>
      <c r="KHB1010" s="182"/>
      <c r="KHC1010" s="182"/>
      <c r="KHD1010" s="182"/>
      <c r="KHE1010" s="182"/>
      <c r="KHF1010" s="182"/>
      <c r="KHG1010" s="182"/>
      <c r="KHH1010" s="182"/>
      <c r="KHI1010" s="182"/>
      <c r="KHJ1010" s="182"/>
      <c r="KHK1010" s="182"/>
      <c r="KHL1010" s="182"/>
      <c r="KHM1010" s="182"/>
      <c r="KHN1010" s="182"/>
      <c r="KHO1010" s="182"/>
      <c r="KHP1010" s="182"/>
      <c r="KHQ1010" s="182"/>
      <c r="KHR1010" s="182"/>
      <c r="KHS1010" s="182"/>
      <c r="KHT1010" s="182"/>
      <c r="KHU1010" s="182"/>
      <c r="KHV1010" s="182"/>
      <c r="KHW1010" s="182"/>
      <c r="KHX1010" s="182"/>
      <c r="KHY1010" s="182"/>
      <c r="KHZ1010" s="182"/>
      <c r="KIA1010" s="182"/>
      <c r="KIB1010" s="182"/>
      <c r="KIC1010" s="182"/>
      <c r="KID1010" s="182"/>
      <c r="KIE1010" s="182"/>
      <c r="KIF1010" s="182"/>
      <c r="KIG1010" s="182"/>
      <c r="KIH1010" s="182"/>
      <c r="KII1010" s="182"/>
      <c r="KIJ1010" s="182"/>
      <c r="KIK1010" s="182"/>
      <c r="KIL1010" s="182"/>
      <c r="KIM1010" s="182"/>
      <c r="KIN1010" s="182"/>
      <c r="KIO1010" s="182"/>
      <c r="KIP1010" s="182"/>
      <c r="KIQ1010" s="182"/>
      <c r="KIR1010" s="182"/>
      <c r="KIS1010" s="182"/>
      <c r="KIT1010" s="182"/>
      <c r="KIU1010" s="182"/>
      <c r="KIV1010" s="182"/>
      <c r="KIW1010" s="182"/>
      <c r="KIX1010" s="182"/>
      <c r="KIY1010" s="182"/>
      <c r="KIZ1010" s="182"/>
      <c r="KJA1010" s="182"/>
      <c r="KJB1010" s="182"/>
      <c r="KJC1010" s="182"/>
      <c r="KJD1010" s="182"/>
      <c r="KJE1010" s="182"/>
      <c r="KJF1010" s="182"/>
      <c r="KJG1010" s="182"/>
      <c r="KJH1010" s="182"/>
      <c r="KJI1010" s="182"/>
      <c r="KJJ1010" s="182"/>
      <c r="KJK1010" s="182"/>
      <c r="KJL1010" s="182"/>
      <c r="KJM1010" s="182"/>
      <c r="KJN1010" s="182"/>
      <c r="KJO1010" s="182"/>
      <c r="KJP1010" s="182"/>
      <c r="KJQ1010" s="182"/>
      <c r="KJR1010" s="182"/>
      <c r="KJS1010" s="182"/>
      <c r="KJT1010" s="182"/>
      <c r="KJU1010" s="182"/>
      <c r="KJV1010" s="182"/>
      <c r="KJW1010" s="182"/>
      <c r="KJX1010" s="182"/>
      <c r="KJY1010" s="182"/>
      <c r="KJZ1010" s="182"/>
      <c r="KKA1010" s="182"/>
      <c r="KKB1010" s="182"/>
      <c r="KKC1010" s="182"/>
      <c r="KKD1010" s="182"/>
      <c r="KKE1010" s="182"/>
      <c r="KKF1010" s="182"/>
      <c r="KKG1010" s="182"/>
      <c r="KKH1010" s="182"/>
      <c r="KKI1010" s="182"/>
      <c r="KKJ1010" s="182"/>
      <c r="KKK1010" s="182"/>
      <c r="KKL1010" s="182"/>
      <c r="KKM1010" s="182"/>
      <c r="KKN1010" s="182"/>
      <c r="KKO1010" s="182"/>
      <c r="KKP1010" s="182"/>
      <c r="KKQ1010" s="182"/>
      <c r="KKR1010" s="182"/>
      <c r="KKS1010" s="182"/>
      <c r="KKT1010" s="182"/>
      <c r="KKU1010" s="182"/>
      <c r="KKV1010" s="182"/>
      <c r="KKW1010" s="182"/>
      <c r="KKX1010" s="182"/>
      <c r="KKY1010" s="182"/>
      <c r="KKZ1010" s="182"/>
      <c r="KLA1010" s="182"/>
      <c r="KLB1010" s="182"/>
      <c r="KLC1010" s="182"/>
      <c r="KLD1010" s="182"/>
      <c r="KLE1010" s="182"/>
      <c r="KLF1010" s="182"/>
      <c r="KLG1010" s="182"/>
      <c r="KLH1010" s="182"/>
      <c r="KLI1010" s="182"/>
      <c r="KLJ1010" s="182"/>
      <c r="KLK1010" s="182"/>
      <c r="KLL1010" s="182"/>
      <c r="KLM1010" s="182"/>
      <c r="KLN1010" s="182"/>
      <c r="KLO1010" s="182"/>
      <c r="KLP1010" s="182"/>
      <c r="KLQ1010" s="182"/>
      <c r="KLR1010" s="182"/>
      <c r="KLS1010" s="182"/>
      <c r="KLT1010" s="182"/>
      <c r="KLU1010" s="182"/>
      <c r="KLV1010" s="182"/>
      <c r="KLW1010" s="182"/>
      <c r="KLX1010" s="182"/>
      <c r="KLY1010" s="182"/>
      <c r="KLZ1010" s="182"/>
      <c r="KMA1010" s="182"/>
      <c r="KMB1010" s="182"/>
      <c r="KMC1010" s="182"/>
      <c r="KMD1010" s="182"/>
      <c r="KME1010" s="182"/>
      <c r="KMF1010" s="182"/>
      <c r="KMG1010" s="182"/>
      <c r="KMH1010" s="182"/>
      <c r="KMI1010" s="182"/>
      <c r="KMJ1010" s="182"/>
      <c r="KMK1010" s="182"/>
      <c r="KML1010" s="182"/>
      <c r="KMM1010" s="182"/>
      <c r="KMN1010" s="182"/>
      <c r="KMO1010" s="182"/>
      <c r="KMP1010" s="182"/>
      <c r="KMQ1010" s="182"/>
      <c r="KMR1010" s="182"/>
      <c r="KMS1010" s="182"/>
      <c r="KMT1010" s="182"/>
      <c r="KMU1010" s="182"/>
      <c r="KMV1010" s="182"/>
      <c r="KMW1010" s="182"/>
      <c r="KMX1010" s="182"/>
      <c r="KMY1010" s="182"/>
      <c r="KMZ1010" s="182"/>
      <c r="KNA1010" s="182"/>
      <c r="KNB1010" s="182"/>
      <c r="KNC1010" s="182"/>
      <c r="KND1010" s="182"/>
      <c r="KNE1010" s="182"/>
      <c r="KNF1010" s="182"/>
      <c r="KNG1010" s="182"/>
      <c r="KNH1010" s="182"/>
      <c r="KNI1010" s="182"/>
      <c r="KNJ1010" s="182"/>
      <c r="KNK1010" s="182"/>
      <c r="KNL1010" s="182"/>
      <c r="KNM1010" s="182"/>
      <c r="KNN1010" s="182"/>
      <c r="KNO1010" s="182"/>
      <c r="KNP1010" s="182"/>
      <c r="KNQ1010" s="182"/>
      <c r="KNR1010" s="182"/>
      <c r="KNS1010" s="182"/>
      <c r="KNT1010" s="182"/>
      <c r="KNU1010" s="182"/>
      <c r="KNV1010" s="182"/>
      <c r="KNW1010" s="182"/>
      <c r="KNX1010" s="182"/>
      <c r="KNY1010" s="182"/>
      <c r="KNZ1010" s="182"/>
      <c r="KOA1010" s="182"/>
      <c r="KOB1010" s="182"/>
      <c r="KOC1010" s="182"/>
      <c r="KOD1010" s="182"/>
      <c r="KOE1010" s="182"/>
      <c r="KOF1010" s="182"/>
      <c r="KOG1010" s="182"/>
      <c r="KOH1010" s="182"/>
      <c r="KOI1010" s="182"/>
      <c r="KOJ1010" s="182"/>
      <c r="KOK1010" s="182"/>
      <c r="KOL1010" s="182"/>
      <c r="KOM1010" s="182"/>
      <c r="KON1010" s="182"/>
      <c r="KOO1010" s="182"/>
      <c r="KOP1010" s="182"/>
      <c r="KOQ1010" s="182"/>
      <c r="KOR1010" s="182"/>
      <c r="KOS1010" s="182"/>
      <c r="KOT1010" s="182"/>
      <c r="KOU1010" s="182"/>
      <c r="KOV1010" s="182"/>
      <c r="KOW1010" s="182"/>
      <c r="KOX1010" s="182"/>
      <c r="KOY1010" s="182"/>
      <c r="KOZ1010" s="182"/>
      <c r="KPA1010" s="182"/>
      <c r="KPB1010" s="182"/>
      <c r="KPC1010" s="182"/>
      <c r="KPD1010" s="182"/>
      <c r="KPE1010" s="182"/>
      <c r="KPF1010" s="182"/>
      <c r="KPG1010" s="182"/>
      <c r="KPH1010" s="182"/>
      <c r="KPI1010" s="182"/>
      <c r="KPJ1010" s="182"/>
      <c r="KPK1010" s="182"/>
      <c r="KPL1010" s="182"/>
      <c r="KPM1010" s="182"/>
      <c r="KPN1010" s="182"/>
      <c r="KPO1010" s="182"/>
      <c r="KPP1010" s="182"/>
      <c r="KPQ1010" s="182"/>
      <c r="KPR1010" s="182"/>
      <c r="KPS1010" s="182"/>
      <c r="KPT1010" s="182"/>
      <c r="KPU1010" s="182"/>
      <c r="KPV1010" s="182"/>
      <c r="KPW1010" s="182"/>
      <c r="KPX1010" s="182"/>
      <c r="KPY1010" s="182"/>
      <c r="KPZ1010" s="182"/>
      <c r="KQA1010" s="182"/>
      <c r="KQB1010" s="182"/>
      <c r="KQC1010" s="182"/>
      <c r="KQD1010" s="182"/>
      <c r="KQE1010" s="182"/>
      <c r="KQF1010" s="182"/>
      <c r="KQG1010" s="182"/>
      <c r="KQH1010" s="182"/>
      <c r="KQI1010" s="182"/>
      <c r="KQJ1010" s="182"/>
      <c r="KQK1010" s="182"/>
      <c r="KQL1010" s="182"/>
      <c r="KQM1010" s="182"/>
      <c r="KQN1010" s="182"/>
      <c r="KQO1010" s="182"/>
      <c r="KQP1010" s="182"/>
      <c r="KQQ1010" s="182"/>
      <c r="KQR1010" s="182"/>
      <c r="KQS1010" s="182"/>
      <c r="KQT1010" s="182"/>
      <c r="KQU1010" s="182"/>
      <c r="KQV1010" s="182"/>
      <c r="KQW1010" s="182"/>
      <c r="KQX1010" s="182"/>
      <c r="KQY1010" s="182"/>
      <c r="KQZ1010" s="182"/>
      <c r="KRA1010" s="182"/>
      <c r="KRB1010" s="182"/>
      <c r="KRC1010" s="182"/>
      <c r="KRD1010" s="182"/>
      <c r="KRE1010" s="182"/>
      <c r="KRF1010" s="182"/>
      <c r="KRG1010" s="182"/>
      <c r="KRH1010" s="182"/>
      <c r="KRI1010" s="182"/>
      <c r="KRJ1010" s="182"/>
      <c r="KRK1010" s="182"/>
      <c r="KRL1010" s="182"/>
      <c r="KRM1010" s="182"/>
      <c r="KRN1010" s="182"/>
      <c r="KRO1010" s="182"/>
      <c r="KRP1010" s="182"/>
      <c r="KRQ1010" s="182"/>
      <c r="KRR1010" s="182"/>
      <c r="KRS1010" s="182"/>
      <c r="KRT1010" s="182"/>
      <c r="KRU1010" s="182"/>
      <c r="KRV1010" s="182"/>
      <c r="KRW1010" s="182"/>
      <c r="KRX1010" s="182"/>
      <c r="KRY1010" s="182"/>
      <c r="KRZ1010" s="182"/>
      <c r="KSA1010" s="182"/>
      <c r="KSB1010" s="182"/>
      <c r="KSC1010" s="182"/>
      <c r="KSD1010" s="182"/>
      <c r="KSE1010" s="182"/>
      <c r="KSF1010" s="182"/>
      <c r="KSG1010" s="182"/>
      <c r="KSH1010" s="182"/>
      <c r="KSI1010" s="182"/>
      <c r="KSJ1010" s="182"/>
      <c r="KSK1010" s="182"/>
      <c r="KSL1010" s="182"/>
      <c r="KSM1010" s="182"/>
      <c r="KSN1010" s="182"/>
      <c r="KSO1010" s="182"/>
      <c r="KSP1010" s="182"/>
      <c r="KSQ1010" s="182"/>
      <c r="KSR1010" s="182"/>
      <c r="KSS1010" s="182"/>
      <c r="KST1010" s="182"/>
      <c r="KSU1010" s="182"/>
      <c r="KSV1010" s="182"/>
      <c r="KSW1010" s="182"/>
      <c r="KSX1010" s="182"/>
      <c r="KSY1010" s="182"/>
      <c r="KSZ1010" s="182"/>
      <c r="KTA1010" s="182"/>
      <c r="KTB1010" s="182"/>
      <c r="KTC1010" s="182"/>
      <c r="KTD1010" s="182"/>
      <c r="KTE1010" s="182"/>
      <c r="KTF1010" s="182"/>
      <c r="KTG1010" s="182"/>
      <c r="KTH1010" s="182"/>
      <c r="KTI1010" s="182"/>
      <c r="KTJ1010" s="182"/>
      <c r="KTK1010" s="182"/>
      <c r="KTL1010" s="182"/>
      <c r="KTM1010" s="182"/>
      <c r="KTN1010" s="182"/>
      <c r="KTO1010" s="182"/>
      <c r="KTP1010" s="182"/>
      <c r="KTQ1010" s="182"/>
      <c r="KTR1010" s="182"/>
      <c r="KTS1010" s="182"/>
      <c r="KTT1010" s="182"/>
      <c r="KTU1010" s="182"/>
      <c r="KTV1010" s="182"/>
      <c r="KTW1010" s="182"/>
      <c r="KTX1010" s="182"/>
      <c r="KTY1010" s="182"/>
      <c r="KTZ1010" s="182"/>
      <c r="KUA1010" s="182"/>
      <c r="KUB1010" s="182"/>
      <c r="KUC1010" s="182"/>
      <c r="KUD1010" s="182"/>
      <c r="KUE1010" s="182"/>
      <c r="KUF1010" s="182"/>
      <c r="KUG1010" s="182"/>
      <c r="KUH1010" s="182"/>
      <c r="KUI1010" s="182"/>
      <c r="KUJ1010" s="182"/>
      <c r="KUK1010" s="182"/>
      <c r="KUL1010" s="182"/>
      <c r="KUM1010" s="182"/>
      <c r="KUN1010" s="182"/>
      <c r="KUO1010" s="182"/>
      <c r="KUP1010" s="182"/>
      <c r="KUQ1010" s="182"/>
      <c r="KUR1010" s="182"/>
      <c r="KUS1010" s="182"/>
      <c r="KUT1010" s="182"/>
      <c r="KUU1010" s="182"/>
      <c r="KUV1010" s="182"/>
      <c r="KUW1010" s="182"/>
      <c r="KUX1010" s="182"/>
      <c r="KUY1010" s="182"/>
      <c r="KUZ1010" s="182"/>
      <c r="KVA1010" s="182"/>
      <c r="KVB1010" s="182"/>
      <c r="KVC1010" s="182"/>
      <c r="KVD1010" s="182"/>
      <c r="KVE1010" s="182"/>
      <c r="KVF1010" s="182"/>
      <c r="KVG1010" s="182"/>
      <c r="KVH1010" s="182"/>
      <c r="KVI1010" s="182"/>
      <c r="KVJ1010" s="182"/>
      <c r="KVK1010" s="182"/>
      <c r="KVL1010" s="182"/>
      <c r="KVM1010" s="182"/>
      <c r="KVN1010" s="182"/>
      <c r="KVO1010" s="182"/>
      <c r="KVP1010" s="182"/>
      <c r="KVQ1010" s="182"/>
      <c r="KVR1010" s="182"/>
      <c r="KVS1010" s="182"/>
      <c r="KVT1010" s="182"/>
      <c r="KVU1010" s="182"/>
      <c r="KVV1010" s="182"/>
      <c r="KVW1010" s="182"/>
      <c r="KVX1010" s="182"/>
      <c r="KVY1010" s="182"/>
      <c r="KVZ1010" s="182"/>
      <c r="KWA1010" s="182"/>
      <c r="KWB1010" s="182"/>
      <c r="KWC1010" s="182"/>
      <c r="KWD1010" s="182"/>
      <c r="KWE1010" s="182"/>
      <c r="KWF1010" s="182"/>
      <c r="KWG1010" s="182"/>
      <c r="KWH1010" s="182"/>
      <c r="KWI1010" s="182"/>
      <c r="KWJ1010" s="182"/>
      <c r="KWK1010" s="182"/>
      <c r="KWL1010" s="182"/>
      <c r="KWM1010" s="182"/>
      <c r="KWN1010" s="182"/>
      <c r="KWO1010" s="182"/>
      <c r="KWP1010" s="182"/>
      <c r="KWQ1010" s="182"/>
      <c r="KWR1010" s="182"/>
      <c r="KWS1010" s="182"/>
      <c r="KWT1010" s="182"/>
      <c r="KWU1010" s="182"/>
      <c r="KWV1010" s="182"/>
      <c r="KWW1010" s="182"/>
      <c r="KWX1010" s="182"/>
      <c r="KWY1010" s="182"/>
      <c r="KWZ1010" s="182"/>
      <c r="KXA1010" s="182"/>
      <c r="KXB1010" s="182"/>
      <c r="KXC1010" s="182"/>
      <c r="KXD1010" s="182"/>
      <c r="KXE1010" s="182"/>
      <c r="KXF1010" s="182"/>
      <c r="KXG1010" s="182"/>
      <c r="KXH1010" s="182"/>
      <c r="KXI1010" s="182"/>
      <c r="KXJ1010" s="182"/>
      <c r="KXK1010" s="182"/>
      <c r="KXL1010" s="182"/>
      <c r="KXM1010" s="182"/>
      <c r="KXN1010" s="182"/>
      <c r="KXO1010" s="182"/>
      <c r="KXP1010" s="182"/>
      <c r="KXQ1010" s="182"/>
      <c r="KXR1010" s="182"/>
      <c r="KXS1010" s="182"/>
      <c r="KXT1010" s="182"/>
      <c r="KXU1010" s="182"/>
      <c r="KXV1010" s="182"/>
      <c r="KXW1010" s="182"/>
      <c r="KXX1010" s="182"/>
      <c r="KXY1010" s="182"/>
      <c r="KXZ1010" s="182"/>
      <c r="KYA1010" s="182"/>
      <c r="KYB1010" s="182"/>
      <c r="KYC1010" s="182"/>
      <c r="KYD1010" s="182"/>
      <c r="KYE1010" s="182"/>
      <c r="KYF1010" s="182"/>
      <c r="KYG1010" s="182"/>
      <c r="KYH1010" s="182"/>
      <c r="KYI1010" s="182"/>
      <c r="KYJ1010" s="182"/>
      <c r="KYK1010" s="182"/>
      <c r="KYL1010" s="182"/>
      <c r="KYM1010" s="182"/>
      <c r="KYN1010" s="182"/>
      <c r="KYO1010" s="182"/>
      <c r="KYP1010" s="182"/>
      <c r="KYQ1010" s="182"/>
      <c r="KYR1010" s="182"/>
      <c r="KYS1010" s="182"/>
      <c r="KYT1010" s="182"/>
      <c r="KYU1010" s="182"/>
      <c r="KYV1010" s="182"/>
      <c r="KYW1010" s="182"/>
      <c r="KYX1010" s="182"/>
      <c r="KYY1010" s="182"/>
      <c r="KYZ1010" s="182"/>
      <c r="KZA1010" s="182"/>
      <c r="KZB1010" s="182"/>
      <c r="KZC1010" s="182"/>
      <c r="KZD1010" s="182"/>
      <c r="KZE1010" s="182"/>
      <c r="KZF1010" s="182"/>
      <c r="KZG1010" s="182"/>
      <c r="KZH1010" s="182"/>
      <c r="KZI1010" s="182"/>
      <c r="KZJ1010" s="182"/>
      <c r="KZK1010" s="182"/>
      <c r="KZL1010" s="182"/>
      <c r="KZM1010" s="182"/>
      <c r="KZN1010" s="182"/>
      <c r="KZO1010" s="182"/>
      <c r="KZP1010" s="182"/>
      <c r="KZQ1010" s="182"/>
      <c r="KZR1010" s="182"/>
      <c r="KZS1010" s="182"/>
      <c r="KZT1010" s="182"/>
      <c r="KZU1010" s="182"/>
      <c r="KZV1010" s="182"/>
      <c r="KZW1010" s="182"/>
      <c r="KZX1010" s="182"/>
      <c r="KZY1010" s="182"/>
      <c r="KZZ1010" s="182"/>
      <c r="LAA1010" s="182"/>
      <c r="LAB1010" s="182"/>
      <c r="LAC1010" s="182"/>
      <c r="LAD1010" s="182"/>
      <c r="LAE1010" s="182"/>
      <c r="LAF1010" s="182"/>
      <c r="LAG1010" s="182"/>
      <c r="LAH1010" s="182"/>
      <c r="LAI1010" s="182"/>
      <c r="LAJ1010" s="182"/>
      <c r="LAK1010" s="182"/>
      <c r="LAL1010" s="182"/>
      <c r="LAM1010" s="182"/>
      <c r="LAN1010" s="182"/>
      <c r="LAO1010" s="182"/>
      <c r="LAP1010" s="182"/>
      <c r="LAQ1010" s="182"/>
      <c r="LAR1010" s="182"/>
      <c r="LAS1010" s="182"/>
      <c r="LAT1010" s="182"/>
      <c r="LAU1010" s="182"/>
      <c r="LAV1010" s="182"/>
      <c r="LAW1010" s="182"/>
      <c r="LAX1010" s="182"/>
      <c r="LAY1010" s="182"/>
      <c r="LAZ1010" s="182"/>
      <c r="LBA1010" s="182"/>
      <c r="LBB1010" s="182"/>
      <c r="LBC1010" s="182"/>
      <c r="LBD1010" s="182"/>
      <c r="LBE1010" s="182"/>
      <c r="LBF1010" s="182"/>
      <c r="LBG1010" s="182"/>
      <c r="LBH1010" s="182"/>
      <c r="LBI1010" s="182"/>
      <c r="LBJ1010" s="182"/>
      <c r="LBK1010" s="182"/>
      <c r="LBL1010" s="182"/>
      <c r="LBM1010" s="182"/>
      <c r="LBN1010" s="182"/>
      <c r="LBO1010" s="182"/>
      <c r="LBP1010" s="182"/>
      <c r="LBQ1010" s="182"/>
      <c r="LBR1010" s="182"/>
      <c r="LBS1010" s="182"/>
      <c r="LBT1010" s="182"/>
      <c r="LBU1010" s="182"/>
      <c r="LBV1010" s="182"/>
      <c r="LBW1010" s="182"/>
      <c r="LBX1010" s="182"/>
      <c r="LBY1010" s="182"/>
      <c r="LBZ1010" s="182"/>
      <c r="LCA1010" s="182"/>
      <c r="LCB1010" s="182"/>
      <c r="LCC1010" s="182"/>
      <c r="LCD1010" s="182"/>
      <c r="LCE1010" s="182"/>
      <c r="LCF1010" s="182"/>
      <c r="LCG1010" s="182"/>
      <c r="LCH1010" s="182"/>
      <c r="LCI1010" s="182"/>
      <c r="LCJ1010" s="182"/>
      <c r="LCK1010" s="182"/>
      <c r="LCL1010" s="182"/>
      <c r="LCM1010" s="182"/>
      <c r="LCN1010" s="182"/>
      <c r="LCO1010" s="182"/>
      <c r="LCP1010" s="182"/>
      <c r="LCQ1010" s="182"/>
      <c r="LCR1010" s="182"/>
      <c r="LCS1010" s="182"/>
      <c r="LCT1010" s="182"/>
      <c r="LCU1010" s="182"/>
      <c r="LCV1010" s="182"/>
      <c r="LCW1010" s="182"/>
      <c r="LCX1010" s="182"/>
      <c r="LCY1010" s="182"/>
      <c r="LCZ1010" s="182"/>
      <c r="LDA1010" s="182"/>
      <c r="LDB1010" s="182"/>
      <c r="LDC1010" s="182"/>
      <c r="LDD1010" s="182"/>
      <c r="LDE1010" s="182"/>
      <c r="LDF1010" s="182"/>
      <c r="LDG1010" s="182"/>
      <c r="LDH1010" s="182"/>
      <c r="LDI1010" s="182"/>
      <c r="LDJ1010" s="182"/>
      <c r="LDK1010" s="182"/>
      <c r="LDL1010" s="182"/>
      <c r="LDM1010" s="182"/>
      <c r="LDN1010" s="182"/>
      <c r="LDO1010" s="182"/>
      <c r="LDP1010" s="182"/>
      <c r="LDQ1010" s="182"/>
      <c r="LDR1010" s="182"/>
      <c r="LDS1010" s="182"/>
      <c r="LDT1010" s="182"/>
      <c r="LDU1010" s="182"/>
      <c r="LDV1010" s="182"/>
      <c r="LDW1010" s="182"/>
      <c r="LDX1010" s="182"/>
      <c r="LDY1010" s="182"/>
      <c r="LDZ1010" s="182"/>
      <c r="LEA1010" s="182"/>
      <c r="LEB1010" s="182"/>
      <c r="LEC1010" s="182"/>
      <c r="LED1010" s="182"/>
      <c r="LEE1010" s="182"/>
      <c r="LEF1010" s="182"/>
      <c r="LEG1010" s="182"/>
      <c r="LEH1010" s="182"/>
      <c r="LEI1010" s="182"/>
      <c r="LEJ1010" s="182"/>
      <c r="LEK1010" s="182"/>
      <c r="LEL1010" s="182"/>
      <c r="LEM1010" s="182"/>
      <c r="LEN1010" s="182"/>
      <c r="LEO1010" s="182"/>
      <c r="LEP1010" s="182"/>
      <c r="LEQ1010" s="182"/>
      <c r="LER1010" s="182"/>
      <c r="LES1010" s="182"/>
      <c r="LET1010" s="182"/>
      <c r="LEU1010" s="182"/>
      <c r="LEV1010" s="182"/>
      <c r="LEW1010" s="182"/>
      <c r="LEX1010" s="182"/>
      <c r="LEY1010" s="182"/>
      <c r="LEZ1010" s="182"/>
      <c r="LFA1010" s="182"/>
      <c r="LFB1010" s="182"/>
      <c r="LFC1010" s="182"/>
      <c r="LFD1010" s="182"/>
      <c r="LFE1010" s="182"/>
      <c r="LFF1010" s="182"/>
      <c r="LFG1010" s="182"/>
      <c r="LFH1010" s="182"/>
      <c r="LFI1010" s="182"/>
      <c r="LFJ1010" s="182"/>
      <c r="LFK1010" s="182"/>
      <c r="LFL1010" s="182"/>
      <c r="LFM1010" s="182"/>
      <c r="LFN1010" s="182"/>
      <c r="LFO1010" s="182"/>
      <c r="LFP1010" s="182"/>
      <c r="LFQ1010" s="182"/>
      <c r="LFR1010" s="182"/>
      <c r="LFS1010" s="182"/>
      <c r="LFT1010" s="182"/>
      <c r="LFU1010" s="182"/>
      <c r="LFV1010" s="182"/>
      <c r="LFW1010" s="182"/>
      <c r="LFX1010" s="182"/>
      <c r="LFY1010" s="182"/>
      <c r="LFZ1010" s="182"/>
      <c r="LGA1010" s="182"/>
      <c r="LGB1010" s="182"/>
      <c r="LGC1010" s="182"/>
      <c r="LGD1010" s="182"/>
      <c r="LGE1010" s="182"/>
      <c r="LGF1010" s="182"/>
      <c r="LGG1010" s="182"/>
      <c r="LGH1010" s="182"/>
      <c r="LGI1010" s="182"/>
      <c r="LGJ1010" s="182"/>
      <c r="LGK1010" s="182"/>
      <c r="LGL1010" s="182"/>
      <c r="LGM1010" s="182"/>
      <c r="LGN1010" s="182"/>
      <c r="LGO1010" s="182"/>
      <c r="LGP1010" s="182"/>
      <c r="LGQ1010" s="182"/>
      <c r="LGR1010" s="182"/>
      <c r="LGS1010" s="182"/>
      <c r="LGT1010" s="182"/>
      <c r="LGU1010" s="182"/>
      <c r="LGV1010" s="182"/>
      <c r="LGW1010" s="182"/>
      <c r="LGX1010" s="182"/>
      <c r="LGY1010" s="182"/>
      <c r="LGZ1010" s="182"/>
      <c r="LHA1010" s="182"/>
      <c r="LHB1010" s="182"/>
      <c r="LHC1010" s="182"/>
      <c r="LHD1010" s="182"/>
      <c r="LHE1010" s="182"/>
      <c r="LHF1010" s="182"/>
      <c r="LHG1010" s="182"/>
      <c r="LHH1010" s="182"/>
      <c r="LHI1010" s="182"/>
      <c r="LHJ1010" s="182"/>
      <c r="LHK1010" s="182"/>
      <c r="LHL1010" s="182"/>
      <c r="LHM1010" s="182"/>
      <c r="LHN1010" s="182"/>
      <c r="LHO1010" s="182"/>
      <c r="LHP1010" s="182"/>
      <c r="LHQ1010" s="182"/>
      <c r="LHR1010" s="182"/>
      <c r="LHS1010" s="182"/>
      <c r="LHT1010" s="182"/>
      <c r="LHU1010" s="182"/>
      <c r="LHV1010" s="182"/>
      <c r="LHW1010" s="182"/>
      <c r="LHX1010" s="182"/>
      <c r="LHY1010" s="182"/>
      <c r="LHZ1010" s="182"/>
      <c r="LIA1010" s="182"/>
      <c r="LIB1010" s="182"/>
      <c r="LIC1010" s="182"/>
      <c r="LID1010" s="182"/>
      <c r="LIE1010" s="182"/>
      <c r="LIF1010" s="182"/>
      <c r="LIG1010" s="182"/>
      <c r="LIH1010" s="182"/>
      <c r="LII1010" s="182"/>
      <c r="LIJ1010" s="182"/>
      <c r="LIK1010" s="182"/>
      <c r="LIL1010" s="182"/>
      <c r="LIM1010" s="182"/>
      <c r="LIN1010" s="182"/>
      <c r="LIO1010" s="182"/>
      <c r="LIP1010" s="182"/>
      <c r="LIQ1010" s="182"/>
      <c r="LIR1010" s="182"/>
      <c r="LIS1010" s="182"/>
      <c r="LIT1010" s="182"/>
      <c r="LIU1010" s="182"/>
      <c r="LIV1010" s="182"/>
      <c r="LIW1010" s="182"/>
      <c r="LIX1010" s="182"/>
      <c r="LIY1010" s="182"/>
      <c r="LIZ1010" s="182"/>
      <c r="LJA1010" s="182"/>
      <c r="LJB1010" s="182"/>
      <c r="LJC1010" s="182"/>
      <c r="LJD1010" s="182"/>
      <c r="LJE1010" s="182"/>
      <c r="LJF1010" s="182"/>
      <c r="LJG1010" s="182"/>
      <c r="LJH1010" s="182"/>
      <c r="LJI1010" s="182"/>
      <c r="LJJ1010" s="182"/>
      <c r="LJK1010" s="182"/>
      <c r="LJL1010" s="182"/>
      <c r="LJM1010" s="182"/>
      <c r="LJN1010" s="182"/>
      <c r="LJO1010" s="182"/>
      <c r="LJP1010" s="182"/>
      <c r="LJQ1010" s="182"/>
      <c r="LJR1010" s="182"/>
      <c r="LJS1010" s="182"/>
      <c r="LJT1010" s="182"/>
      <c r="LJU1010" s="182"/>
      <c r="LJV1010" s="182"/>
      <c r="LJW1010" s="182"/>
      <c r="LJX1010" s="182"/>
      <c r="LJY1010" s="182"/>
      <c r="LJZ1010" s="182"/>
      <c r="LKA1010" s="182"/>
      <c r="LKB1010" s="182"/>
      <c r="LKC1010" s="182"/>
      <c r="LKD1010" s="182"/>
      <c r="LKE1010" s="182"/>
      <c r="LKF1010" s="182"/>
      <c r="LKG1010" s="182"/>
      <c r="LKH1010" s="182"/>
      <c r="LKI1010" s="182"/>
      <c r="LKJ1010" s="182"/>
      <c r="LKK1010" s="182"/>
      <c r="LKL1010" s="182"/>
      <c r="LKM1010" s="182"/>
      <c r="LKN1010" s="182"/>
      <c r="LKO1010" s="182"/>
      <c r="LKP1010" s="182"/>
      <c r="LKQ1010" s="182"/>
      <c r="LKR1010" s="182"/>
      <c r="LKS1010" s="182"/>
      <c r="LKT1010" s="182"/>
      <c r="LKU1010" s="182"/>
      <c r="LKV1010" s="182"/>
      <c r="LKW1010" s="182"/>
      <c r="LKX1010" s="182"/>
      <c r="LKY1010" s="182"/>
      <c r="LKZ1010" s="182"/>
      <c r="LLA1010" s="182"/>
      <c r="LLB1010" s="182"/>
      <c r="LLC1010" s="182"/>
      <c r="LLD1010" s="182"/>
      <c r="LLE1010" s="182"/>
      <c r="LLF1010" s="182"/>
      <c r="LLG1010" s="182"/>
      <c r="LLH1010" s="182"/>
      <c r="LLI1010" s="182"/>
      <c r="LLJ1010" s="182"/>
      <c r="LLK1010" s="182"/>
      <c r="LLL1010" s="182"/>
      <c r="LLM1010" s="182"/>
      <c r="LLN1010" s="182"/>
      <c r="LLO1010" s="182"/>
      <c r="LLP1010" s="182"/>
      <c r="LLQ1010" s="182"/>
      <c r="LLR1010" s="182"/>
      <c r="LLS1010" s="182"/>
      <c r="LLT1010" s="182"/>
      <c r="LLU1010" s="182"/>
      <c r="LLV1010" s="182"/>
      <c r="LLW1010" s="182"/>
      <c r="LLX1010" s="182"/>
      <c r="LLY1010" s="182"/>
      <c r="LLZ1010" s="182"/>
      <c r="LMA1010" s="182"/>
      <c r="LMB1010" s="182"/>
      <c r="LMC1010" s="182"/>
      <c r="LMD1010" s="182"/>
      <c r="LME1010" s="182"/>
      <c r="LMF1010" s="182"/>
      <c r="LMG1010" s="182"/>
      <c r="LMH1010" s="182"/>
      <c r="LMI1010" s="182"/>
      <c r="LMJ1010" s="182"/>
      <c r="LMK1010" s="182"/>
      <c r="LML1010" s="182"/>
      <c r="LMM1010" s="182"/>
      <c r="LMN1010" s="182"/>
      <c r="LMO1010" s="182"/>
      <c r="LMP1010" s="182"/>
      <c r="LMQ1010" s="182"/>
      <c r="LMR1010" s="182"/>
      <c r="LMS1010" s="182"/>
      <c r="LMT1010" s="182"/>
      <c r="LMU1010" s="182"/>
      <c r="LMV1010" s="182"/>
      <c r="LMW1010" s="182"/>
      <c r="LMX1010" s="182"/>
      <c r="LMY1010" s="182"/>
      <c r="LMZ1010" s="182"/>
      <c r="LNA1010" s="182"/>
      <c r="LNB1010" s="182"/>
      <c r="LNC1010" s="182"/>
      <c r="LND1010" s="182"/>
      <c r="LNE1010" s="182"/>
      <c r="LNF1010" s="182"/>
      <c r="LNG1010" s="182"/>
      <c r="LNH1010" s="182"/>
      <c r="LNI1010" s="182"/>
      <c r="LNJ1010" s="182"/>
      <c r="LNK1010" s="182"/>
      <c r="LNL1010" s="182"/>
      <c r="LNM1010" s="182"/>
      <c r="LNN1010" s="182"/>
      <c r="LNO1010" s="182"/>
      <c r="LNP1010" s="182"/>
      <c r="LNQ1010" s="182"/>
      <c r="LNR1010" s="182"/>
      <c r="LNS1010" s="182"/>
      <c r="LNT1010" s="182"/>
      <c r="LNU1010" s="182"/>
      <c r="LNV1010" s="182"/>
      <c r="LNW1010" s="182"/>
      <c r="LNX1010" s="182"/>
      <c r="LNY1010" s="182"/>
      <c r="LNZ1010" s="182"/>
      <c r="LOA1010" s="182"/>
      <c r="LOB1010" s="182"/>
      <c r="LOC1010" s="182"/>
      <c r="LOD1010" s="182"/>
      <c r="LOE1010" s="182"/>
      <c r="LOF1010" s="182"/>
      <c r="LOG1010" s="182"/>
      <c r="LOH1010" s="182"/>
      <c r="LOI1010" s="182"/>
      <c r="LOJ1010" s="182"/>
      <c r="LOK1010" s="182"/>
      <c r="LOL1010" s="182"/>
      <c r="LOM1010" s="182"/>
      <c r="LON1010" s="182"/>
      <c r="LOO1010" s="182"/>
      <c r="LOP1010" s="182"/>
      <c r="LOQ1010" s="182"/>
      <c r="LOR1010" s="182"/>
      <c r="LOS1010" s="182"/>
      <c r="LOT1010" s="182"/>
      <c r="LOU1010" s="182"/>
      <c r="LOV1010" s="182"/>
      <c r="LOW1010" s="182"/>
      <c r="LOX1010" s="182"/>
      <c r="LOY1010" s="182"/>
      <c r="LOZ1010" s="182"/>
      <c r="LPA1010" s="182"/>
      <c r="LPB1010" s="182"/>
      <c r="LPC1010" s="182"/>
      <c r="LPD1010" s="182"/>
      <c r="LPE1010" s="182"/>
      <c r="LPF1010" s="182"/>
      <c r="LPG1010" s="182"/>
      <c r="LPH1010" s="182"/>
      <c r="LPI1010" s="182"/>
      <c r="LPJ1010" s="182"/>
      <c r="LPK1010" s="182"/>
      <c r="LPL1010" s="182"/>
      <c r="LPM1010" s="182"/>
      <c r="LPN1010" s="182"/>
      <c r="LPO1010" s="182"/>
      <c r="LPP1010" s="182"/>
      <c r="LPQ1010" s="182"/>
      <c r="LPR1010" s="182"/>
      <c r="LPS1010" s="182"/>
      <c r="LPT1010" s="182"/>
      <c r="LPU1010" s="182"/>
      <c r="LPV1010" s="182"/>
      <c r="LPW1010" s="182"/>
      <c r="LPX1010" s="182"/>
      <c r="LPY1010" s="182"/>
      <c r="LPZ1010" s="182"/>
      <c r="LQA1010" s="182"/>
      <c r="LQB1010" s="182"/>
      <c r="LQC1010" s="182"/>
      <c r="LQD1010" s="182"/>
      <c r="LQE1010" s="182"/>
      <c r="LQF1010" s="182"/>
      <c r="LQG1010" s="182"/>
      <c r="LQH1010" s="182"/>
      <c r="LQI1010" s="182"/>
      <c r="LQJ1010" s="182"/>
      <c r="LQK1010" s="182"/>
      <c r="LQL1010" s="182"/>
      <c r="LQM1010" s="182"/>
      <c r="LQN1010" s="182"/>
      <c r="LQO1010" s="182"/>
      <c r="LQP1010" s="182"/>
      <c r="LQQ1010" s="182"/>
      <c r="LQR1010" s="182"/>
      <c r="LQS1010" s="182"/>
      <c r="LQT1010" s="182"/>
      <c r="LQU1010" s="182"/>
      <c r="LQV1010" s="182"/>
      <c r="LQW1010" s="182"/>
      <c r="LQX1010" s="182"/>
      <c r="LQY1010" s="182"/>
      <c r="LQZ1010" s="182"/>
      <c r="LRA1010" s="182"/>
      <c r="LRB1010" s="182"/>
      <c r="LRC1010" s="182"/>
      <c r="LRD1010" s="182"/>
      <c r="LRE1010" s="182"/>
      <c r="LRF1010" s="182"/>
      <c r="LRG1010" s="182"/>
      <c r="LRH1010" s="182"/>
      <c r="LRI1010" s="182"/>
      <c r="LRJ1010" s="182"/>
      <c r="LRK1010" s="182"/>
      <c r="LRL1010" s="182"/>
      <c r="LRM1010" s="182"/>
      <c r="LRN1010" s="182"/>
      <c r="LRO1010" s="182"/>
      <c r="LRP1010" s="182"/>
      <c r="LRQ1010" s="182"/>
      <c r="LRR1010" s="182"/>
      <c r="LRS1010" s="182"/>
      <c r="LRT1010" s="182"/>
      <c r="LRU1010" s="182"/>
      <c r="LRV1010" s="182"/>
      <c r="LRW1010" s="182"/>
      <c r="LRX1010" s="182"/>
      <c r="LRY1010" s="182"/>
      <c r="LRZ1010" s="182"/>
      <c r="LSA1010" s="182"/>
      <c r="LSB1010" s="182"/>
      <c r="LSC1010" s="182"/>
      <c r="LSD1010" s="182"/>
      <c r="LSE1010" s="182"/>
      <c r="LSF1010" s="182"/>
      <c r="LSG1010" s="182"/>
      <c r="LSH1010" s="182"/>
      <c r="LSI1010" s="182"/>
      <c r="LSJ1010" s="182"/>
      <c r="LSK1010" s="182"/>
      <c r="LSL1010" s="182"/>
      <c r="LSM1010" s="182"/>
      <c r="LSN1010" s="182"/>
      <c r="LSO1010" s="182"/>
      <c r="LSP1010" s="182"/>
      <c r="LSQ1010" s="182"/>
      <c r="LSR1010" s="182"/>
      <c r="LSS1010" s="182"/>
      <c r="LST1010" s="182"/>
      <c r="LSU1010" s="182"/>
      <c r="LSV1010" s="182"/>
      <c r="LSW1010" s="182"/>
      <c r="LSX1010" s="182"/>
      <c r="LSY1010" s="182"/>
      <c r="LSZ1010" s="182"/>
      <c r="LTA1010" s="182"/>
      <c r="LTB1010" s="182"/>
      <c r="LTC1010" s="182"/>
      <c r="LTD1010" s="182"/>
      <c r="LTE1010" s="182"/>
      <c r="LTF1010" s="182"/>
      <c r="LTG1010" s="182"/>
      <c r="LTH1010" s="182"/>
      <c r="LTI1010" s="182"/>
      <c r="LTJ1010" s="182"/>
      <c r="LTK1010" s="182"/>
      <c r="LTL1010" s="182"/>
      <c r="LTM1010" s="182"/>
      <c r="LTN1010" s="182"/>
      <c r="LTO1010" s="182"/>
      <c r="LTP1010" s="182"/>
      <c r="LTQ1010" s="182"/>
      <c r="LTR1010" s="182"/>
      <c r="LTS1010" s="182"/>
      <c r="LTT1010" s="182"/>
      <c r="LTU1010" s="182"/>
      <c r="LTV1010" s="182"/>
      <c r="LTW1010" s="182"/>
      <c r="LTX1010" s="182"/>
      <c r="LTY1010" s="182"/>
      <c r="LTZ1010" s="182"/>
      <c r="LUA1010" s="182"/>
      <c r="LUB1010" s="182"/>
      <c r="LUC1010" s="182"/>
      <c r="LUD1010" s="182"/>
      <c r="LUE1010" s="182"/>
      <c r="LUF1010" s="182"/>
      <c r="LUG1010" s="182"/>
      <c r="LUH1010" s="182"/>
      <c r="LUI1010" s="182"/>
      <c r="LUJ1010" s="182"/>
      <c r="LUK1010" s="182"/>
      <c r="LUL1010" s="182"/>
      <c r="LUM1010" s="182"/>
      <c r="LUN1010" s="182"/>
      <c r="LUO1010" s="182"/>
      <c r="LUP1010" s="182"/>
      <c r="LUQ1010" s="182"/>
      <c r="LUR1010" s="182"/>
      <c r="LUS1010" s="182"/>
      <c r="LUT1010" s="182"/>
      <c r="LUU1010" s="182"/>
      <c r="LUV1010" s="182"/>
      <c r="LUW1010" s="182"/>
      <c r="LUX1010" s="182"/>
      <c r="LUY1010" s="182"/>
      <c r="LUZ1010" s="182"/>
      <c r="LVA1010" s="182"/>
      <c r="LVB1010" s="182"/>
      <c r="LVC1010" s="182"/>
      <c r="LVD1010" s="182"/>
      <c r="LVE1010" s="182"/>
      <c r="LVF1010" s="182"/>
      <c r="LVG1010" s="182"/>
      <c r="LVH1010" s="182"/>
      <c r="LVI1010" s="182"/>
      <c r="LVJ1010" s="182"/>
      <c r="LVK1010" s="182"/>
      <c r="LVL1010" s="182"/>
      <c r="LVM1010" s="182"/>
      <c r="LVN1010" s="182"/>
      <c r="LVO1010" s="182"/>
      <c r="LVP1010" s="182"/>
      <c r="LVQ1010" s="182"/>
      <c r="LVR1010" s="182"/>
      <c r="LVS1010" s="182"/>
      <c r="LVT1010" s="182"/>
      <c r="LVU1010" s="182"/>
      <c r="LVV1010" s="182"/>
      <c r="LVW1010" s="182"/>
      <c r="LVX1010" s="182"/>
      <c r="LVY1010" s="182"/>
      <c r="LVZ1010" s="182"/>
      <c r="LWA1010" s="182"/>
      <c r="LWB1010" s="182"/>
      <c r="LWC1010" s="182"/>
      <c r="LWD1010" s="182"/>
      <c r="LWE1010" s="182"/>
      <c r="LWF1010" s="182"/>
      <c r="LWG1010" s="182"/>
      <c r="LWH1010" s="182"/>
      <c r="LWI1010" s="182"/>
      <c r="LWJ1010" s="182"/>
      <c r="LWK1010" s="182"/>
      <c r="LWL1010" s="182"/>
      <c r="LWM1010" s="182"/>
      <c r="LWN1010" s="182"/>
      <c r="LWO1010" s="182"/>
      <c r="LWP1010" s="182"/>
      <c r="LWQ1010" s="182"/>
      <c r="LWR1010" s="182"/>
      <c r="LWS1010" s="182"/>
      <c r="LWT1010" s="182"/>
      <c r="LWU1010" s="182"/>
      <c r="LWV1010" s="182"/>
      <c r="LWW1010" s="182"/>
      <c r="LWX1010" s="182"/>
      <c r="LWY1010" s="182"/>
      <c r="LWZ1010" s="182"/>
      <c r="LXA1010" s="182"/>
      <c r="LXB1010" s="182"/>
      <c r="LXC1010" s="182"/>
      <c r="LXD1010" s="182"/>
      <c r="LXE1010" s="182"/>
      <c r="LXF1010" s="182"/>
      <c r="LXG1010" s="182"/>
      <c r="LXH1010" s="182"/>
      <c r="LXI1010" s="182"/>
      <c r="LXJ1010" s="182"/>
      <c r="LXK1010" s="182"/>
      <c r="LXL1010" s="182"/>
      <c r="LXM1010" s="182"/>
      <c r="LXN1010" s="182"/>
      <c r="LXO1010" s="182"/>
      <c r="LXP1010" s="182"/>
      <c r="LXQ1010" s="182"/>
      <c r="LXR1010" s="182"/>
      <c r="LXS1010" s="182"/>
      <c r="LXT1010" s="182"/>
      <c r="LXU1010" s="182"/>
      <c r="LXV1010" s="182"/>
      <c r="LXW1010" s="182"/>
      <c r="LXX1010" s="182"/>
      <c r="LXY1010" s="182"/>
      <c r="LXZ1010" s="182"/>
      <c r="LYA1010" s="182"/>
      <c r="LYB1010" s="182"/>
      <c r="LYC1010" s="182"/>
      <c r="LYD1010" s="182"/>
      <c r="LYE1010" s="182"/>
      <c r="LYF1010" s="182"/>
      <c r="LYG1010" s="182"/>
      <c r="LYH1010" s="182"/>
      <c r="LYI1010" s="182"/>
      <c r="LYJ1010" s="182"/>
      <c r="LYK1010" s="182"/>
      <c r="LYL1010" s="182"/>
      <c r="LYM1010" s="182"/>
      <c r="LYN1010" s="182"/>
      <c r="LYO1010" s="182"/>
      <c r="LYP1010" s="182"/>
      <c r="LYQ1010" s="182"/>
      <c r="LYR1010" s="182"/>
      <c r="LYS1010" s="182"/>
      <c r="LYT1010" s="182"/>
      <c r="LYU1010" s="182"/>
      <c r="LYV1010" s="182"/>
      <c r="LYW1010" s="182"/>
      <c r="LYX1010" s="182"/>
      <c r="LYY1010" s="182"/>
      <c r="LYZ1010" s="182"/>
      <c r="LZA1010" s="182"/>
      <c r="LZB1010" s="182"/>
      <c r="LZC1010" s="182"/>
      <c r="LZD1010" s="182"/>
      <c r="LZE1010" s="182"/>
      <c r="LZF1010" s="182"/>
      <c r="LZG1010" s="182"/>
      <c r="LZH1010" s="182"/>
      <c r="LZI1010" s="182"/>
      <c r="LZJ1010" s="182"/>
      <c r="LZK1010" s="182"/>
      <c r="LZL1010" s="182"/>
      <c r="LZM1010" s="182"/>
      <c r="LZN1010" s="182"/>
      <c r="LZO1010" s="182"/>
      <c r="LZP1010" s="182"/>
      <c r="LZQ1010" s="182"/>
      <c r="LZR1010" s="182"/>
      <c r="LZS1010" s="182"/>
      <c r="LZT1010" s="182"/>
      <c r="LZU1010" s="182"/>
      <c r="LZV1010" s="182"/>
      <c r="LZW1010" s="182"/>
      <c r="LZX1010" s="182"/>
      <c r="LZY1010" s="182"/>
      <c r="LZZ1010" s="182"/>
      <c r="MAA1010" s="182"/>
      <c r="MAB1010" s="182"/>
      <c r="MAC1010" s="182"/>
      <c r="MAD1010" s="182"/>
      <c r="MAE1010" s="182"/>
      <c r="MAF1010" s="182"/>
      <c r="MAG1010" s="182"/>
      <c r="MAH1010" s="182"/>
      <c r="MAI1010" s="182"/>
      <c r="MAJ1010" s="182"/>
      <c r="MAK1010" s="182"/>
      <c r="MAL1010" s="182"/>
      <c r="MAM1010" s="182"/>
      <c r="MAN1010" s="182"/>
      <c r="MAO1010" s="182"/>
      <c r="MAP1010" s="182"/>
      <c r="MAQ1010" s="182"/>
      <c r="MAR1010" s="182"/>
      <c r="MAS1010" s="182"/>
      <c r="MAT1010" s="182"/>
      <c r="MAU1010" s="182"/>
      <c r="MAV1010" s="182"/>
      <c r="MAW1010" s="182"/>
      <c r="MAX1010" s="182"/>
      <c r="MAY1010" s="182"/>
      <c r="MAZ1010" s="182"/>
      <c r="MBA1010" s="182"/>
      <c r="MBB1010" s="182"/>
      <c r="MBC1010" s="182"/>
      <c r="MBD1010" s="182"/>
      <c r="MBE1010" s="182"/>
      <c r="MBF1010" s="182"/>
      <c r="MBG1010" s="182"/>
      <c r="MBH1010" s="182"/>
      <c r="MBI1010" s="182"/>
      <c r="MBJ1010" s="182"/>
      <c r="MBK1010" s="182"/>
      <c r="MBL1010" s="182"/>
      <c r="MBM1010" s="182"/>
      <c r="MBN1010" s="182"/>
      <c r="MBO1010" s="182"/>
      <c r="MBP1010" s="182"/>
      <c r="MBQ1010" s="182"/>
      <c r="MBR1010" s="182"/>
      <c r="MBS1010" s="182"/>
      <c r="MBT1010" s="182"/>
      <c r="MBU1010" s="182"/>
      <c r="MBV1010" s="182"/>
      <c r="MBW1010" s="182"/>
      <c r="MBX1010" s="182"/>
      <c r="MBY1010" s="182"/>
      <c r="MBZ1010" s="182"/>
      <c r="MCA1010" s="182"/>
      <c r="MCB1010" s="182"/>
      <c r="MCC1010" s="182"/>
      <c r="MCD1010" s="182"/>
      <c r="MCE1010" s="182"/>
      <c r="MCF1010" s="182"/>
      <c r="MCG1010" s="182"/>
      <c r="MCH1010" s="182"/>
      <c r="MCI1010" s="182"/>
      <c r="MCJ1010" s="182"/>
      <c r="MCK1010" s="182"/>
      <c r="MCL1010" s="182"/>
      <c r="MCM1010" s="182"/>
      <c r="MCN1010" s="182"/>
      <c r="MCO1010" s="182"/>
      <c r="MCP1010" s="182"/>
      <c r="MCQ1010" s="182"/>
      <c r="MCR1010" s="182"/>
      <c r="MCS1010" s="182"/>
      <c r="MCT1010" s="182"/>
      <c r="MCU1010" s="182"/>
      <c r="MCV1010" s="182"/>
      <c r="MCW1010" s="182"/>
      <c r="MCX1010" s="182"/>
      <c r="MCY1010" s="182"/>
      <c r="MCZ1010" s="182"/>
      <c r="MDA1010" s="182"/>
      <c r="MDB1010" s="182"/>
      <c r="MDC1010" s="182"/>
      <c r="MDD1010" s="182"/>
      <c r="MDE1010" s="182"/>
      <c r="MDF1010" s="182"/>
      <c r="MDG1010" s="182"/>
      <c r="MDH1010" s="182"/>
      <c r="MDI1010" s="182"/>
      <c r="MDJ1010" s="182"/>
      <c r="MDK1010" s="182"/>
      <c r="MDL1010" s="182"/>
      <c r="MDM1010" s="182"/>
      <c r="MDN1010" s="182"/>
      <c r="MDO1010" s="182"/>
      <c r="MDP1010" s="182"/>
      <c r="MDQ1010" s="182"/>
      <c r="MDR1010" s="182"/>
      <c r="MDS1010" s="182"/>
      <c r="MDT1010" s="182"/>
      <c r="MDU1010" s="182"/>
      <c r="MDV1010" s="182"/>
      <c r="MDW1010" s="182"/>
      <c r="MDX1010" s="182"/>
      <c r="MDY1010" s="182"/>
      <c r="MDZ1010" s="182"/>
      <c r="MEA1010" s="182"/>
      <c r="MEB1010" s="182"/>
      <c r="MEC1010" s="182"/>
      <c r="MED1010" s="182"/>
      <c r="MEE1010" s="182"/>
      <c r="MEF1010" s="182"/>
      <c r="MEG1010" s="182"/>
      <c r="MEH1010" s="182"/>
      <c r="MEI1010" s="182"/>
      <c r="MEJ1010" s="182"/>
      <c r="MEK1010" s="182"/>
      <c r="MEL1010" s="182"/>
      <c r="MEM1010" s="182"/>
      <c r="MEN1010" s="182"/>
      <c r="MEO1010" s="182"/>
      <c r="MEP1010" s="182"/>
      <c r="MEQ1010" s="182"/>
      <c r="MER1010" s="182"/>
      <c r="MES1010" s="182"/>
      <c r="MET1010" s="182"/>
      <c r="MEU1010" s="182"/>
      <c r="MEV1010" s="182"/>
      <c r="MEW1010" s="182"/>
      <c r="MEX1010" s="182"/>
      <c r="MEY1010" s="182"/>
      <c r="MEZ1010" s="182"/>
      <c r="MFA1010" s="182"/>
      <c r="MFB1010" s="182"/>
      <c r="MFC1010" s="182"/>
      <c r="MFD1010" s="182"/>
      <c r="MFE1010" s="182"/>
      <c r="MFF1010" s="182"/>
      <c r="MFG1010" s="182"/>
      <c r="MFH1010" s="182"/>
      <c r="MFI1010" s="182"/>
      <c r="MFJ1010" s="182"/>
      <c r="MFK1010" s="182"/>
      <c r="MFL1010" s="182"/>
      <c r="MFM1010" s="182"/>
      <c r="MFN1010" s="182"/>
      <c r="MFO1010" s="182"/>
      <c r="MFP1010" s="182"/>
      <c r="MFQ1010" s="182"/>
      <c r="MFR1010" s="182"/>
      <c r="MFS1010" s="182"/>
      <c r="MFT1010" s="182"/>
      <c r="MFU1010" s="182"/>
      <c r="MFV1010" s="182"/>
      <c r="MFW1010" s="182"/>
      <c r="MFX1010" s="182"/>
      <c r="MFY1010" s="182"/>
      <c r="MFZ1010" s="182"/>
      <c r="MGA1010" s="182"/>
      <c r="MGB1010" s="182"/>
      <c r="MGC1010" s="182"/>
      <c r="MGD1010" s="182"/>
      <c r="MGE1010" s="182"/>
      <c r="MGF1010" s="182"/>
      <c r="MGG1010" s="182"/>
      <c r="MGH1010" s="182"/>
      <c r="MGI1010" s="182"/>
      <c r="MGJ1010" s="182"/>
      <c r="MGK1010" s="182"/>
      <c r="MGL1010" s="182"/>
      <c r="MGM1010" s="182"/>
      <c r="MGN1010" s="182"/>
      <c r="MGO1010" s="182"/>
      <c r="MGP1010" s="182"/>
      <c r="MGQ1010" s="182"/>
      <c r="MGR1010" s="182"/>
      <c r="MGS1010" s="182"/>
      <c r="MGT1010" s="182"/>
      <c r="MGU1010" s="182"/>
      <c r="MGV1010" s="182"/>
      <c r="MGW1010" s="182"/>
      <c r="MGX1010" s="182"/>
      <c r="MGY1010" s="182"/>
      <c r="MGZ1010" s="182"/>
      <c r="MHA1010" s="182"/>
      <c r="MHB1010" s="182"/>
      <c r="MHC1010" s="182"/>
      <c r="MHD1010" s="182"/>
      <c r="MHE1010" s="182"/>
      <c r="MHF1010" s="182"/>
      <c r="MHG1010" s="182"/>
      <c r="MHH1010" s="182"/>
      <c r="MHI1010" s="182"/>
      <c r="MHJ1010" s="182"/>
      <c r="MHK1010" s="182"/>
      <c r="MHL1010" s="182"/>
      <c r="MHM1010" s="182"/>
      <c r="MHN1010" s="182"/>
      <c r="MHO1010" s="182"/>
      <c r="MHP1010" s="182"/>
      <c r="MHQ1010" s="182"/>
      <c r="MHR1010" s="182"/>
      <c r="MHS1010" s="182"/>
      <c r="MHT1010" s="182"/>
      <c r="MHU1010" s="182"/>
      <c r="MHV1010" s="182"/>
      <c r="MHW1010" s="182"/>
      <c r="MHX1010" s="182"/>
      <c r="MHY1010" s="182"/>
      <c r="MHZ1010" s="182"/>
      <c r="MIA1010" s="182"/>
      <c r="MIB1010" s="182"/>
      <c r="MIC1010" s="182"/>
      <c r="MID1010" s="182"/>
      <c r="MIE1010" s="182"/>
      <c r="MIF1010" s="182"/>
      <c r="MIG1010" s="182"/>
      <c r="MIH1010" s="182"/>
      <c r="MII1010" s="182"/>
      <c r="MIJ1010" s="182"/>
      <c r="MIK1010" s="182"/>
      <c r="MIL1010" s="182"/>
      <c r="MIM1010" s="182"/>
      <c r="MIN1010" s="182"/>
      <c r="MIO1010" s="182"/>
      <c r="MIP1010" s="182"/>
      <c r="MIQ1010" s="182"/>
      <c r="MIR1010" s="182"/>
      <c r="MIS1010" s="182"/>
      <c r="MIT1010" s="182"/>
      <c r="MIU1010" s="182"/>
      <c r="MIV1010" s="182"/>
      <c r="MIW1010" s="182"/>
      <c r="MIX1010" s="182"/>
      <c r="MIY1010" s="182"/>
      <c r="MIZ1010" s="182"/>
      <c r="MJA1010" s="182"/>
      <c r="MJB1010" s="182"/>
      <c r="MJC1010" s="182"/>
      <c r="MJD1010" s="182"/>
      <c r="MJE1010" s="182"/>
      <c r="MJF1010" s="182"/>
      <c r="MJG1010" s="182"/>
      <c r="MJH1010" s="182"/>
      <c r="MJI1010" s="182"/>
      <c r="MJJ1010" s="182"/>
      <c r="MJK1010" s="182"/>
      <c r="MJL1010" s="182"/>
      <c r="MJM1010" s="182"/>
      <c r="MJN1010" s="182"/>
      <c r="MJO1010" s="182"/>
      <c r="MJP1010" s="182"/>
      <c r="MJQ1010" s="182"/>
      <c r="MJR1010" s="182"/>
      <c r="MJS1010" s="182"/>
      <c r="MJT1010" s="182"/>
      <c r="MJU1010" s="182"/>
      <c r="MJV1010" s="182"/>
      <c r="MJW1010" s="182"/>
      <c r="MJX1010" s="182"/>
      <c r="MJY1010" s="182"/>
      <c r="MJZ1010" s="182"/>
      <c r="MKA1010" s="182"/>
      <c r="MKB1010" s="182"/>
      <c r="MKC1010" s="182"/>
      <c r="MKD1010" s="182"/>
      <c r="MKE1010" s="182"/>
      <c r="MKF1010" s="182"/>
      <c r="MKG1010" s="182"/>
      <c r="MKH1010" s="182"/>
      <c r="MKI1010" s="182"/>
      <c r="MKJ1010" s="182"/>
      <c r="MKK1010" s="182"/>
      <c r="MKL1010" s="182"/>
      <c r="MKM1010" s="182"/>
      <c r="MKN1010" s="182"/>
      <c r="MKO1010" s="182"/>
      <c r="MKP1010" s="182"/>
      <c r="MKQ1010" s="182"/>
      <c r="MKR1010" s="182"/>
      <c r="MKS1010" s="182"/>
      <c r="MKT1010" s="182"/>
      <c r="MKU1010" s="182"/>
      <c r="MKV1010" s="182"/>
      <c r="MKW1010" s="182"/>
      <c r="MKX1010" s="182"/>
      <c r="MKY1010" s="182"/>
      <c r="MKZ1010" s="182"/>
      <c r="MLA1010" s="182"/>
      <c r="MLB1010" s="182"/>
      <c r="MLC1010" s="182"/>
      <c r="MLD1010" s="182"/>
      <c r="MLE1010" s="182"/>
      <c r="MLF1010" s="182"/>
      <c r="MLG1010" s="182"/>
      <c r="MLH1010" s="182"/>
      <c r="MLI1010" s="182"/>
      <c r="MLJ1010" s="182"/>
      <c r="MLK1010" s="182"/>
      <c r="MLL1010" s="182"/>
      <c r="MLM1010" s="182"/>
      <c r="MLN1010" s="182"/>
      <c r="MLO1010" s="182"/>
      <c r="MLP1010" s="182"/>
      <c r="MLQ1010" s="182"/>
      <c r="MLR1010" s="182"/>
      <c r="MLS1010" s="182"/>
      <c r="MLT1010" s="182"/>
      <c r="MLU1010" s="182"/>
      <c r="MLV1010" s="182"/>
      <c r="MLW1010" s="182"/>
      <c r="MLX1010" s="182"/>
      <c r="MLY1010" s="182"/>
      <c r="MLZ1010" s="182"/>
      <c r="MMA1010" s="182"/>
      <c r="MMB1010" s="182"/>
      <c r="MMC1010" s="182"/>
      <c r="MMD1010" s="182"/>
      <c r="MME1010" s="182"/>
      <c r="MMF1010" s="182"/>
      <c r="MMG1010" s="182"/>
      <c r="MMH1010" s="182"/>
      <c r="MMI1010" s="182"/>
      <c r="MMJ1010" s="182"/>
      <c r="MMK1010" s="182"/>
      <c r="MML1010" s="182"/>
      <c r="MMM1010" s="182"/>
      <c r="MMN1010" s="182"/>
      <c r="MMO1010" s="182"/>
      <c r="MMP1010" s="182"/>
      <c r="MMQ1010" s="182"/>
      <c r="MMR1010" s="182"/>
      <c r="MMS1010" s="182"/>
      <c r="MMT1010" s="182"/>
      <c r="MMU1010" s="182"/>
      <c r="MMV1010" s="182"/>
      <c r="MMW1010" s="182"/>
      <c r="MMX1010" s="182"/>
      <c r="MMY1010" s="182"/>
      <c r="MMZ1010" s="182"/>
      <c r="MNA1010" s="182"/>
      <c r="MNB1010" s="182"/>
      <c r="MNC1010" s="182"/>
      <c r="MND1010" s="182"/>
      <c r="MNE1010" s="182"/>
      <c r="MNF1010" s="182"/>
      <c r="MNG1010" s="182"/>
      <c r="MNH1010" s="182"/>
      <c r="MNI1010" s="182"/>
      <c r="MNJ1010" s="182"/>
      <c r="MNK1010" s="182"/>
      <c r="MNL1010" s="182"/>
      <c r="MNM1010" s="182"/>
      <c r="MNN1010" s="182"/>
      <c r="MNO1010" s="182"/>
      <c r="MNP1010" s="182"/>
      <c r="MNQ1010" s="182"/>
      <c r="MNR1010" s="182"/>
      <c r="MNS1010" s="182"/>
      <c r="MNT1010" s="182"/>
      <c r="MNU1010" s="182"/>
      <c r="MNV1010" s="182"/>
      <c r="MNW1010" s="182"/>
      <c r="MNX1010" s="182"/>
      <c r="MNY1010" s="182"/>
      <c r="MNZ1010" s="182"/>
      <c r="MOA1010" s="182"/>
      <c r="MOB1010" s="182"/>
      <c r="MOC1010" s="182"/>
      <c r="MOD1010" s="182"/>
      <c r="MOE1010" s="182"/>
      <c r="MOF1010" s="182"/>
      <c r="MOG1010" s="182"/>
      <c r="MOH1010" s="182"/>
      <c r="MOI1010" s="182"/>
      <c r="MOJ1010" s="182"/>
      <c r="MOK1010" s="182"/>
      <c r="MOL1010" s="182"/>
      <c r="MOM1010" s="182"/>
      <c r="MON1010" s="182"/>
      <c r="MOO1010" s="182"/>
      <c r="MOP1010" s="182"/>
      <c r="MOQ1010" s="182"/>
      <c r="MOR1010" s="182"/>
      <c r="MOS1010" s="182"/>
      <c r="MOT1010" s="182"/>
      <c r="MOU1010" s="182"/>
      <c r="MOV1010" s="182"/>
      <c r="MOW1010" s="182"/>
      <c r="MOX1010" s="182"/>
      <c r="MOY1010" s="182"/>
      <c r="MOZ1010" s="182"/>
      <c r="MPA1010" s="182"/>
      <c r="MPB1010" s="182"/>
      <c r="MPC1010" s="182"/>
      <c r="MPD1010" s="182"/>
      <c r="MPE1010" s="182"/>
      <c r="MPF1010" s="182"/>
      <c r="MPG1010" s="182"/>
      <c r="MPH1010" s="182"/>
      <c r="MPI1010" s="182"/>
      <c r="MPJ1010" s="182"/>
      <c r="MPK1010" s="182"/>
      <c r="MPL1010" s="182"/>
      <c r="MPM1010" s="182"/>
      <c r="MPN1010" s="182"/>
      <c r="MPO1010" s="182"/>
      <c r="MPP1010" s="182"/>
      <c r="MPQ1010" s="182"/>
      <c r="MPR1010" s="182"/>
      <c r="MPS1010" s="182"/>
      <c r="MPT1010" s="182"/>
      <c r="MPU1010" s="182"/>
      <c r="MPV1010" s="182"/>
      <c r="MPW1010" s="182"/>
      <c r="MPX1010" s="182"/>
      <c r="MPY1010" s="182"/>
      <c r="MPZ1010" s="182"/>
      <c r="MQA1010" s="182"/>
      <c r="MQB1010" s="182"/>
      <c r="MQC1010" s="182"/>
      <c r="MQD1010" s="182"/>
      <c r="MQE1010" s="182"/>
      <c r="MQF1010" s="182"/>
      <c r="MQG1010" s="182"/>
      <c r="MQH1010" s="182"/>
      <c r="MQI1010" s="182"/>
      <c r="MQJ1010" s="182"/>
      <c r="MQK1010" s="182"/>
      <c r="MQL1010" s="182"/>
      <c r="MQM1010" s="182"/>
      <c r="MQN1010" s="182"/>
      <c r="MQO1010" s="182"/>
      <c r="MQP1010" s="182"/>
      <c r="MQQ1010" s="182"/>
      <c r="MQR1010" s="182"/>
      <c r="MQS1010" s="182"/>
      <c r="MQT1010" s="182"/>
      <c r="MQU1010" s="182"/>
      <c r="MQV1010" s="182"/>
      <c r="MQW1010" s="182"/>
      <c r="MQX1010" s="182"/>
      <c r="MQY1010" s="182"/>
      <c r="MQZ1010" s="182"/>
      <c r="MRA1010" s="182"/>
      <c r="MRB1010" s="182"/>
      <c r="MRC1010" s="182"/>
      <c r="MRD1010" s="182"/>
      <c r="MRE1010" s="182"/>
      <c r="MRF1010" s="182"/>
      <c r="MRG1010" s="182"/>
      <c r="MRH1010" s="182"/>
      <c r="MRI1010" s="182"/>
      <c r="MRJ1010" s="182"/>
      <c r="MRK1010" s="182"/>
      <c r="MRL1010" s="182"/>
      <c r="MRM1010" s="182"/>
      <c r="MRN1010" s="182"/>
      <c r="MRO1010" s="182"/>
      <c r="MRP1010" s="182"/>
      <c r="MRQ1010" s="182"/>
      <c r="MRR1010" s="182"/>
      <c r="MRS1010" s="182"/>
      <c r="MRT1010" s="182"/>
      <c r="MRU1010" s="182"/>
      <c r="MRV1010" s="182"/>
      <c r="MRW1010" s="182"/>
      <c r="MRX1010" s="182"/>
      <c r="MRY1010" s="182"/>
      <c r="MRZ1010" s="182"/>
      <c r="MSA1010" s="182"/>
      <c r="MSB1010" s="182"/>
      <c r="MSC1010" s="182"/>
      <c r="MSD1010" s="182"/>
      <c r="MSE1010" s="182"/>
      <c r="MSF1010" s="182"/>
      <c r="MSG1010" s="182"/>
      <c r="MSH1010" s="182"/>
      <c r="MSI1010" s="182"/>
      <c r="MSJ1010" s="182"/>
      <c r="MSK1010" s="182"/>
      <c r="MSL1010" s="182"/>
      <c r="MSM1010" s="182"/>
      <c r="MSN1010" s="182"/>
      <c r="MSO1010" s="182"/>
      <c r="MSP1010" s="182"/>
      <c r="MSQ1010" s="182"/>
      <c r="MSR1010" s="182"/>
      <c r="MSS1010" s="182"/>
      <c r="MST1010" s="182"/>
      <c r="MSU1010" s="182"/>
      <c r="MSV1010" s="182"/>
      <c r="MSW1010" s="182"/>
      <c r="MSX1010" s="182"/>
      <c r="MSY1010" s="182"/>
      <c r="MSZ1010" s="182"/>
      <c r="MTA1010" s="182"/>
      <c r="MTB1010" s="182"/>
      <c r="MTC1010" s="182"/>
      <c r="MTD1010" s="182"/>
      <c r="MTE1010" s="182"/>
      <c r="MTF1010" s="182"/>
      <c r="MTG1010" s="182"/>
      <c r="MTH1010" s="182"/>
      <c r="MTI1010" s="182"/>
      <c r="MTJ1010" s="182"/>
      <c r="MTK1010" s="182"/>
      <c r="MTL1010" s="182"/>
      <c r="MTM1010" s="182"/>
      <c r="MTN1010" s="182"/>
      <c r="MTO1010" s="182"/>
      <c r="MTP1010" s="182"/>
      <c r="MTQ1010" s="182"/>
      <c r="MTR1010" s="182"/>
      <c r="MTS1010" s="182"/>
      <c r="MTT1010" s="182"/>
      <c r="MTU1010" s="182"/>
      <c r="MTV1010" s="182"/>
      <c r="MTW1010" s="182"/>
      <c r="MTX1010" s="182"/>
      <c r="MTY1010" s="182"/>
      <c r="MTZ1010" s="182"/>
      <c r="MUA1010" s="182"/>
      <c r="MUB1010" s="182"/>
      <c r="MUC1010" s="182"/>
      <c r="MUD1010" s="182"/>
      <c r="MUE1010" s="182"/>
      <c r="MUF1010" s="182"/>
      <c r="MUG1010" s="182"/>
      <c r="MUH1010" s="182"/>
      <c r="MUI1010" s="182"/>
      <c r="MUJ1010" s="182"/>
      <c r="MUK1010" s="182"/>
      <c r="MUL1010" s="182"/>
      <c r="MUM1010" s="182"/>
      <c r="MUN1010" s="182"/>
      <c r="MUO1010" s="182"/>
      <c r="MUP1010" s="182"/>
      <c r="MUQ1010" s="182"/>
      <c r="MUR1010" s="182"/>
      <c r="MUS1010" s="182"/>
      <c r="MUT1010" s="182"/>
      <c r="MUU1010" s="182"/>
      <c r="MUV1010" s="182"/>
      <c r="MUW1010" s="182"/>
      <c r="MUX1010" s="182"/>
      <c r="MUY1010" s="182"/>
      <c r="MUZ1010" s="182"/>
      <c r="MVA1010" s="182"/>
      <c r="MVB1010" s="182"/>
      <c r="MVC1010" s="182"/>
      <c r="MVD1010" s="182"/>
      <c r="MVE1010" s="182"/>
      <c r="MVF1010" s="182"/>
      <c r="MVG1010" s="182"/>
      <c r="MVH1010" s="182"/>
      <c r="MVI1010" s="182"/>
      <c r="MVJ1010" s="182"/>
      <c r="MVK1010" s="182"/>
      <c r="MVL1010" s="182"/>
      <c r="MVM1010" s="182"/>
      <c r="MVN1010" s="182"/>
      <c r="MVO1010" s="182"/>
      <c r="MVP1010" s="182"/>
      <c r="MVQ1010" s="182"/>
      <c r="MVR1010" s="182"/>
      <c r="MVS1010" s="182"/>
      <c r="MVT1010" s="182"/>
      <c r="MVU1010" s="182"/>
      <c r="MVV1010" s="182"/>
      <c r="MVW1010" s="182"/>
      <c r="MVX1010" s="182"/>
      <c r="MVY1010" s="182"/>
      <c r="MVZ1010" s="182"/>
      <c r="MWA1010" s="182"/>
      <c r="MWB1010" s="182"/>
      <c r="MWC1010" s="182"/>
      <c r="MWD1010" s="182"/>
      <c r="MWE1010" s="182"/>
      <c r="MWF1010" s="182"/>
      <c r="MWG1010" s="182"/>
      <c r="MWH1010" s="182"/>
      <c r="MWI1010" s="182"/>
      <c r="MWJ1010" s="182"/>
      <c r="MWK1010" s="182"/>
      <c r="MWL1010" s="182"/>
      <c r="MWM1010" s="182"/>
      <c r="MWN1010" s="182"/>
      <c r="MWO1010" s="182"/>
      <c r="MWP1010" s="182"/>
      <c r="MWQ1010" s="182"/>
      <c r="MWR1010" s="182"/>
      <c r="MWS1010" s="182"/>
      <c r="MWT1010" s="182"/>
      <c r="MWU1010" s="182"/>
      <c r="MWV1010" s="182"/>
      <c r="MWW1010" s="182"/>
      <c r="MWX1010" s="182"/>
      <c r="MWY1010" s="182"/>
      <c r="MWZ1010" s="182"/>
      <c r="MXA1010" s="182"/>
      <c r="MXB1010" s="182"/>
      <c r="MXC1010" s="182"/>
      <c r="MXD1010" s="182"/>
      <c r="MXE1010" s="182"/>
      <c r="MXF1010" s="182"/>
      <c r="MXG1010" s="182"/>
      <c r="MXH1010" s="182"/>
      <c r="MXI1010" s="182"/>
      <c r="MXJ1010" s="182"/>
      <c r="MXK1010" s="182"/>
      <c r="MXL1010" s="182"/>
      <c r="MXM1010" s="182"/>
      <c r="MXN1010" s="182"/>
      <c r="MXO1010" s="182"/>
      <c r="MXP1010" s="182"/>
      <c r="MXQ1010" s="182"/>
      <c r="MXR1010" s="182"/>
      <c r="MXS1010" s="182"/>
      <c r="MXT1010" s="182"/>
      <c r="MXU1010" s="182"/>
      <c r="MXV1010" s="182"/>
      <c r="MXW1010" s="182"/>
      <c r="MXX1010" s="182"/>
      <c r="MXY1010" s="182"/>
      <c r="MXZ1010" s="182"/>
      <c r="MYA1010" s="182"/>
      <c r="MYB1010" s="182"/>
      <c r="MYC1010" s="182"/>
      <c r="MYD1010" s="182"/>
      <c r="MYE1010" s="182"/>
      <c r="MYF1010" s="182"/>
      <c r="MYG1010" s="182"/>
      <c r="MYH1010" s="182"/>
      <c r="MYI1010" s="182"/>
      <c r="MYJ1010" s="182"/>
      <c r="MYK1010" s="182"/>
      <c r="MYL1010" s="182"/>
      <c r="MYM1010" s="182"/>
      <c r="MYN1010" s="182"/>
      <c r="MYO1010" s="182"/>
      <c r="MYP1010" s="182"/>
      <c r="MYQ1010" s="182"/>
      <c r="MYR1010" s="182"/>
      <c r="MYS1010" s="182"/>
      <c r="MYT1010" s="182"/>
      <c r="MYU1010" s="182"/>
      <c r="MYV1010" s="182"/>
      <c r="MYW1010" s="182"/>
      <c r="MYX1010" s="182"/>
      <c r="MYY1010" s="182"/>
      <c r="MYZ1010" s="182"/>
      <c r="MZA1010" s="182"/>
      <c r="MZB1010" s="182"/>
      <c r="MZC1010" s="182"/>
      <c r="MZD1010" s="182"/>
      <c r="MZE1010" s="182"/>
      <c r="MZF1010" s="182"/>
      <c r="MZG1010" s="182"/>
      <c r="MZH1010" s="182"/>
      <c r="MZI1010" s="182"/>
      <c r="MZJ1010" s="182"/>
      <c r="MZK1010" s="182"/>
      <c r="MZL1010" s="182"/>
      <c r="MZM1010" s="182"/>
      <c r="MZN1010" s="182"/>
      <c r="MZO1010" s="182"/>
      <c r="MZP1010" s="182"/>
      <c r="MZQ1010" s="182"/>
      <c r="MZR1010" s="182"/>
      <c r="MZS1010" s="182"/>
      <c r="MZT1010" s="182"/>
      <c r="MZU1010" s="182"/>
      <c r="MZV1010" s="182"/>
      <c r="MZW1010" s="182"/>
      <c r="MZX1010" s="182"/>
      <c r="MZY1010" s="182"/>
      <c r="MZZ1010" s="182"/>
      <c r="NAA1010" s="182"/>
      <c r="NAB1010" s="182"/>
      <c r="NAC1010" s="182"/>
      <c r="NAD1010" s="182"/>
      <c r="NAE1010" s="182"/>
      <c r="NAF1010" s="182"/>
      <c r="NAG1010" s="182"/>
      <c r="NAH1010" s="182"/>
      <c r="NAI1010" s="182"/>
      <c r="NAJ1010" s="182"/>
      <c r="NAK1010" s="182"/>
      <c r="NAL1010" s="182"/>
      <c r="NAM1010" s="182"/>
      <c r="NAN1010" s="182"/>
      <c r="NAO1010" s="182"/>
      <c r="NAP1010" s="182"/>
      <c r="NAQ1010" s="182"/>
      <c r="NAR1010" s="182"/>
      <c r="NAS1010" s="182"/>
      <c r="NAT1010" s="182"/>
      <c r="NAU1010" s="182"/>
      <c r="NAV1010" s="182"/>
      <c r="NAW1010" s="182"/>
      <c r="NAX1010" s="182"/>
      <c r="NAY1010" s="182"/>
      <c r="NAZ1010" s="182"/>
      <c r="NBA1010" s="182"/>
      <c r="NBB1010" s="182"/>
      <c r="NBC1010" s="182"/>
      <c r="NBD1010" s="182"/>
      <c r="NBE1010" s="182"/>
      <c r="NBF1010" s="182"/>
      <c r="NBG1010" s="182"/>
      <c r="NBH1010" s="182"/>
      <c r="NBI1010" s="182"/>
      <c r="NBJ1010" s="182"/>
      <c r="NBK1010" s="182"/>
      <c r="NBL1010" s="182"/>
      <c r="NBM1010" s="182"/>
      <c r="NBN1010" s="182"/>
      <c r="NBO1010" s="182"/>
      <c r="NBP1010" s="182"/>
      <c r="NBQ1010" s="182"/>
      <c r="NBR1010" s="182"/>
      <c r="NBS1010" s="182"/>
      <c r="NBT1010" s="182"/>
      <c r="NBU1010" s="182"/>
      <c r="NBV1010" s="182"/>
      <c r="NBW1010" s="182"/>
      <c r="NBX1010" s="182"/>
      <c r="NBY1010" s="182"/>
      <c r="NBZ1010" s="182"/>
      <c r="NCA1010" s="182"/>
      <c r="NCB1010" s="182"/>
      <c r="NCC1010" s="182"/>
      <c r="NCD1010" s="182"/>
      <c r="NCE1010" s="182"/>
      <c r="NCF1010" s="182"/>
      <c r="NCG1010" s="182"/>
      <c r="NCH1010" s="182"/>
      <c r="NCI1010" s="182"/>
      <c r="NCJ1010" s="182"/>
      <c r="NCK1010" s="182"/>
      <c r="NCL1010" s="182"/>
      <c r="NCM1010" s="182"/>
      <c r="NCN1010" s="182"/>
      <c r="NCO1010" s="182"/>
      <c r="NCP1010" s="182"/>
      <c r="NCQ1010" s="182"/>
      <c r="NCR1010" s="182"/>
      <c r="NCS1010" s="182"/>
      <c r="NCT1010" s="182"/>
      <c r="NCU1010" s="182"/>
      <c r="NCV1010" s="182"/>
      <c r="NCW1010" s="182"/>
      <c r="NCX1010" s="182"/>
      <c r="NCY1010" s="182"/>
      <c r="NCZ1010" s="182"/>
      <c r="NDA1010" s="182"/>
      <c r="NDB1010" s="182"/>
      <c r="NDC1010" s="182"/>
      <c r="NDD1010" s="182"/>
      <c r="NDE1010" s="182"/>
      <c r="NDF1010" s="182"/>
      <c r="NDG1010" s="182"/>
      <c r="NDH1010" s="182"/>
      <c r="NDI1010" s="182"/>
      <c r="NDJ1010" s="182"/>
      <c r="NDK1010" s="182"/>
      <c r="NDL1010" s="182"/>
      <c r="NDM1010" s="182"/>
      <c r="NDN1010" s="182"/>
      <c r="NDO1010" s="182"/>
      <c r="NDP1010" s="182"/>
      <c r="NDQ1010" s="182"/>
      <c r="NDR1010" s="182"/>
      <c r="NDS1010" s="182"/>
      <c r="NDT1010" s="182"/>
      <c r="NDU1010" s="182"/>
      <c r="NDV1010" s="182"/>
      <c r="NDW1010" s="182"/>
      <c r="NDX1010" s="182"/>
      <c r="NDY1010" s="182"/>
      <c r="NDZ1010" s="182"/>
      <c r="NEA1010" s="182"/>
      <c r="NEB1010" s="182"/>
      <c r="NEC1010" s="182"/>
      <c r="NED1010" s="182"/>
      <c r="NEE1010" s="182"/>
      <c r="NEF1010" s="182"/>
      <c r="NEG1010" s="182"/>
      <c r="NEH1010" s="182"/>
      <c r="NEI1010" s="182"/>
      <c r="NEJ1010" s="182"/>
      <c r="NEK1010" s="182"/>
      <c r="NEL1010" s="182"/>
      <c r="NEM1010" s="182"/>
      <c r="NEN1010" s="182"/>
      <c r="NEO1010" s="182"/>
      <c r="NEP1010" s="182"/>
      <c r="NEQ1010" s="182"/>
      <c r="NER1010" s="182"/>
      <c r="NES1010" s="182"/>
      <c r="NET1010" s="182"/>
      <c r="NEU1010" s="182"/>
      <c r="NEV1010" s="182"/>
      <c r="NEW1010" s="182"/>
      <c r="NEX1010" s="182"/>
      <c r="NEY1010" s="182"/>
      <c r="NEZ1010" s="182"/>
      <c r="NFA1010" s="182"/>
      <c r="NFB1010" s="182"/>
      <c r="NFC1010" s="182"/>
      <c r="NFD1010" s="182"/>
      <c r="NFE1010" s="182"/>
      <c r="NFF1010" s="182"/>
      <c r="NFG1010" s="182"/>
      <c r="NFH1010" s="182"/>
      <c r="NFI1010" s="182"/>
      <c r="NFJ1010" s="182"/>
      <c r="NFK1010" s="182"/>
      <c r="NFL1010" s="182"/>
      <c r="NFM1010" s="182"/>
      <c r="NFN1010" s="182"/>
      <c r="NFO1010" s="182"/>
      <c r="NFP1010" s="182"/>
      <c r="NFQ1010" s="182"/>
      <c r="NFR1010" s="182"/>
      <c r="NFS1010" s="182"/>
      <c r="NFT1010" s="182"/>
      <c r="NFU1010" s="182"/>
      <c r="NFV1010" s="182"/>
      <c r="NFW1010" s="182"/>
      <c r="NFX1010" s="182"/>
      <c r="NFY1010" s="182"/>
      <c r="NFZ1010" s="182"/>
      <c r="NGA1010" s="182"/>
      <c r="NGB1010" s="182"/>
      <c r="NGC1010" s="182"/>
      <c r="NGD1010" s="182"/>
      <c r="NGE1010" s="182"/>
      <c r="NGF1010" s="182"/>
      <c r="NGG1010" s="182"/>
      <c r="NGH1010" s="182"/>
      <c r="NGI1010" s="182"/>
      <c r="NGJ1010" s="182"/>
      <c r="NGK1010" s="182"/>
      <c r="NGL1010" s="182"/>
      <c r="NGM1010" s="182"/>
      <c r="NGN1010" s="182"/>
      <c r="NGO1010" s="182"/>
      <c r="NGP1010" s="182"/>
      <c r="NGQ1010" s="182"/>
      <c r="NGR1010" s="182"/>
      <c r="NGS1010" s="182"/>
      <c r="NGT1010" s="182"/>
      <c r="NGU1010" s="182"/>
      <c r="NGV1010" s="182"/>
      <c r="NGW1010" s="182"/>
      <c r="NGX1010" s="182"/>
      <c r="NGY1010" s="182"/>
      <c r="NGZ1010" s="182"/>
      <c r="NHA1010" s="182"/>
      <c r="NHB1010" s="182"/>
      <c r="NHC1010" s="182"/>
      <c r="NHD1010" s="182"/>
      <c r="NHE1010" s="182"/>
      <c r="NHF1010" s="182"/>
      <c r="NHG1010" s="182"/>
      <c r="NHH1010" s="182"/>
      <c r="NHI1010" s="182"/>
      <c r="NHJ1010" s="182"/>
      <c r="NHK1010" s="182"/>
      <c r="NHL1010" s="182"/>
      <c r="NHM1010" s="182"/>
      <c r="NHN1010" s="182"/>
      <c r="NHO1010" s="182"/>
      <c r="NHP1010" s="182"/>
      <c r="NHQ1010" s="182"/>
      <c r="NHR1010" s="182"/>
      <c r="NHS1010" s="182"/>
      <c r="NHT1010" s="182"/>
      <c r="NHU1010" s="182"/>
      <c r="NHV1010" s="182"/>
      <c r="NHW1010" s="182"/>
      <c r="NHX1010" s="182"/>
      <c r="NHY1010" s="182"/>
      <c r="NHZ1010" s="182"/>
      <c r="NIA1010" s="182"/>
      <c r="NIB1010" s="182"/>
      <c r="NIC1010" s="182"/>
      <c r="NID1010" s="182"/>
      <c r="NIE1010" s="182"/>
      <c r="NIF1010" s="182"/>
      <c r="NIG1010" s="182"/>
      <c r="NIH1010" s="182"/>
      <c r="NII1010" s="182"/>
      <c r="NIJ1010" s="182"/>
      <c r="NIK1010" s="182"/>
      <c r="NIL1010" s="182"/>
      <c r="NIM1010" s="182"/>
      <c r="NIN1010" s="182"/>
      <c r="NIO1010" s="182"/>
      <c r="NIP1010" s="182"/>
      <c r="NIQ1010" s="182"/>
      <c r="NIR1010" s="182"/>
      <c r="NIS1010" s="182"/>
      <c r="NIT1010" s="182"/>
      <c r="NIU1010" s="182"/>
      <c r="NIV1010" s="182"/>
      <c r="NIW1010" s="182"/>
      <c r="NIX1010" s="182"/>
      <c r="NIY1010" s="182"/>
      <c r="NIZ1010" s="182"/>
      <c r="NJA1010" s="182"/>
      <c r="NJB1010" s="182"/>
      <c r="NJC1010" s="182"/>
      <c r="NJD1010" s="182"/>
      <c r="NJE1010" s="182"/>
      <c r="NJF1010" s="182"/>
      <c r="NJG1010" s="182"/>
      <c r="NJH1010" s="182"/>
      <c r="NJI1010" s="182"/>
      <c r="NJJ1010" s="182"/>
      <c r="NJK1010" s="182"/>
      <c r="NJL1010" s="182"/>
      <c r="NJM1010" s="182"/>
      <c r="NJN1010" s="182"/>
      <c r="NJO1010" s="182"/>
      <c r="NJP1010" s="182"/>
      <c r="NJQ1010" s="182"/>
      <c r="NJR1010" s="182"/>
      <c r="NJS1010" s="182"/>
      <c r="NJT1010" s="182"/>
      <c r="NJU1010" s="182"/>
      <c r="NJV1010" s="182"/>
      <c r="NJW1010" s="182"/>
      <c r="NJX1010" s="182"/>
      <c r="NJY1010" s="182"/>
      <c r="NJZ1010" s="182"/>
      <c r="NKA1010" s="182"/>
      <c r="NKB1010" s="182"/>
      <c r="NKC1010" s="182"/>
      <c r="NKD1010" s="182"/>
      <c r="NKE1010" s="182"/>
      <c r="NKF1010" s="182"/>
      <c r="NKG1010" s="182"/>
      <c r="NKH1010" s="182"/>
      <c r="NKI1010" s="182"/>
      <c r="NKJ1010" s="182"/>
      <c r="NKK1010" s="182"/>
      <c r="NKL1010" s="182"/>
      <c r="NKM1010" s="182"/>
      <c r="NKN1010" s="182"/>
      <c r="NKO1010" s="182"/>
      <c r="NKP1010" s="182"/>
      <c r="NKQ1010" s="182"/>
      <c r="NKR1010" s="182"/>
      <c r="NKS1010" s="182"/>
      <c r="NKT1010" s="182"/>
      <c r="NKU1010" s="182"/>
      <c r="NKV1010" s="182"/>
      <c r="NKW1010" s="182"/>
      <c r="NKX1010" s="182"/>
      <c r="NKY1010" s="182"/>
      <c r="NKZ1010" s="182"/>
      <c r="NLA1010" s="182"/>
      <c r="NLB1010" s="182"/>
      <c r="NLC1010" s="182"/>
      <c r="NLD1010" s="182"/>
      <c r="NLE1010" s="182"/>
      <c r="NLF1010" s="182"/>
      <c r="NLG1010" s="182"/>
      <c r="NLH1010" s="182"/>
      <c r="NLI1010" s="182"/>
      <c r="NLJ1010" s="182"/>
      <c r="NLK1010" s="182"/>
      <c r="NLL1010" s="182"/>
      <c r="NLM1010" s="182"/>
      <c r="NLN1010" s="182"/>
      <c r="NLO1010" s="182"/>
      <c r="NLP1010" s="182"/>
      <c r="NLQ1010" s="182"/>
      <c r="NLR1010" s="182"/>
      <c r="NLS1010" s="182"/>
      <c r="NLT1010" s="182"/>
      <c r="NLU1010" s="182"/>
      <c r="NLV1010" s="182"/>
      <c r="NLW1010" s="182"/>
      <c r="NLX1010" s="182"/>
      <c r="NLY1010" s="182"/>
      <c r="NLZ1010" s="182"/>
      <c r="NMA1010" s="182"/>
      <c r="NMB1010" s="182"/>
      <c r="NMC1010" s="182"/>
      <c r="NMD1010" s="182"/>
      <c r="NME1010" s="182"/>
      <c r="NMF1010" s="182"/>
      <c r="NMG1010" s="182"/>
      <c r="NMH1010" s="182"/>
      <c r="NMI1010" s="182"/>
      <c r="NMJ1010" s="182"/>
      <c r="NMK1010" s="182"/>
      <c r="NML1010" s="182"/>
      <c r="NMM1010" s="182"/>
      <c r="NMN1010" s="182"/>
      <c r="NMO1010" s="182"/>
      <c r="NMP1010" s="182"/>
      <c r="NMQ1010" s="182"/>
      <c r="NMR1010" s="182"/>
      <c r="NMS1010" s="182"/>
      <c r="NMT1010" s="182"/>
      <c r="NMU1010" s="182"/>
      <c r="NMV1010" s="182"/>
      <c r="NMW1010" s="182"/>
      <c r="NMX1010" s="182"/>
      <c r="NMY1010" s="182"/>
      <c r="NMZ1010" s="182"/>
      <c r="NNA1010" s="182"/>
      <c r="NNB1010" s="182"/>
      <c r="NNC1010" s="182"/>
      <c r="NND1010" s="182"/>
      <c r="NNE1010" s="182"/>
      <c r="NNF1010" s="182"/>
      <c r="NNG1010" s="182"/>
      <c r="NNH1010" s="182"/>
      <c r="NNI1010" s="182"/>
      <c r="NNJ1010" s="182"/>
      <c r="NNK1010" s="182"/>
      <c r="NNL1010" s="182"/>
      <c r="NNM1010" s="182"/>
      <c r="NNN1010" s="182"/>
      <c r="NNO1010" s="182"/>
      <c r="NNP1010" s="182"/>
      <c r="NNQ1010" s="182"/>
      <c r="NNR1010" s="182"/>
      <c r="NNS1010" s="182"/>
      <c r="NNT1010" s="182"/>
      <c r="NNU1010" s="182"/>
      <c r="NNV1010" s="182"/>
      <c r="NNW1010" s="182"/>
      <c r="NNX1010" s="182"/>
      <c r="NNY1010" s="182"/>
      <c r="NNZ1010" s="182"/>
      <c r="NOA1010" s="182"/>
      <c r="NOB1010" s="182"/>
      <c r="NOC1010" s="182"/>
      <c r="NOD1010" s="182"/>
      <c r="NOE1010" s="182"/>
      <c r="NOF1010" s="182"/>
      <c r="NOG1010" s="182"/>
      <c r="NOH1010" s="182"/>
      <c r="NOI1010" s="182"/>
      <c r="NOJ1010" s="182"/>
      <c r="NOK1010" s="182"/>
      <c r="NOL1010" s="182"/>
      <c r="NOM1010" s="182"/>
      <c r="NON1010" s="182"/>
      <c r="NOO1010" s="182"/>
      <c r="NOP1010" s="182"/>
      <c r="NOQ1010" s="182"/>
      <c r="NOR1010" s="182"/>
      <c r="NOS1010" s="182"/>
      <c r="NOT1010" s="182"/>
      <c r="NOU1010" s="182"/>
      <c r="NOV1010" s="182"/>
      <c r="NOW1010" s="182"/>
      <c r="NOX1010" s="182"/>
      <c r="NOY1010" s="182"/>
      <c r="NOZ1010" s="182"/>
      <c r="NPA1010" s="182"/>
      <c r="NPB1010" s="182"/>
      <c r="NPC1010" s="182"/>
      <c r="NPD1010" s="182"/>
      <c r="NPE1010" s="182"/>
      <c r="NPF1010" s="182"/>
      <c r="NPG1010" s="182"/>
      <c r="NPH1010" s="182"/>
      <c r="NPI1010" s="182"/>
      <c r="NPJ1010" s="182"/>
      <c r="NPK1010" s="182"/>
      <c r="NPL1010" s="182"/>
      <c r="NPM1010" s="182"/>
      <c r="NPN1010" s="182"/>
      <c r="NPO1010" s="182"/>
      <c r="NPP1010" s="182"/>
      <c r="NPQ1010" s="182"/>
      <c r="NPR1010" s="182"/>
      <c r="NPS1010" s="182"/>
      <c r="NPT1010" s="182"/>
      <c r="NPU1010" s="182"/>
      <c r="NPV1010" s="182"/>
      <c r="NPW1010" s="182"/>
      <c r="NPX1010" s="182"/>
      <c r="NPY1010" s="182"/>
      <c r="NPZ1010" s="182"/>
      <c r="NQA1010" s="182"/>
      <c r="NQB1010" s="182"/>
      <c r="NQC1010" s="182"/>
      <c r="NQD1010" s="182"/>
      <c r="NQE1010" s="182"/>
      <c r="NQF1010" s="182"/>
      <c r="NQG1010" s="182"/>
      <c r="NQH1010" s="182"/>
      <c r="NQI1010" s="182"/>
      <c r="NQJ1010" s="182"/>
      <c r="NQK1010" s="182"/>
      <c r="NQL1010" s="182"/>
      <c r="NQM1010" s="182"/>
      <c r="NQN1010" s="182"/>
      <c r="NQO1010" s="182"/>
      <c r="NQP1010" s="182"/>
      <c r="NQQ1010" s="182"/>
      <c r="NQR1010" s="182"/>
      <c r="NQS1010" s="182"/>
      <c r="NQT1010" s="182"/>
      <c r="NQU1010" s="182"/>
      <c r="NQV1010" s="182"/>
      <c r="NQW1010" s="182"/>
      <c r="NQX1010" s="182"/>
      <c r="NQY1010" s="182"/>
      <c r="NQZ1010" s="182"/>
      <c r="NRA1010" s="182"/>
      <c r="NRB1010" s="182"/>
      <c r="NRC1010" s="182"/>
      <c r="NRD1010" s="182"/>
      <c r="NRE1010" s="182"/>
      <c r="NRF1010" s="182"/>
      <c r="NRG1010" s="182"/>
      <c r="NRH1010" s="182"/>
      <c r="NRI1010" s="182"/>
      <c r="NRJ1010" s="182"/>
      <c r="NRK1010" s="182"/>
      <c r="NRL1010" s="182"/>
      <c r="NRM1010" s="182"/>
      <c r="NRN1010" s="182"/>
      <c r="NRO1010" s="182"/>
      <c r="NRP1010" s="182"/>
      <c r="NRQ1010" s="182"/>
      <c r="NRR1010" s="182"/>
      <c r="NRS1010" s="182"/>
      <c r="NRT1010" s="182"/>
      <c r="NRU1010" s="182"/>
      <c r="NRV1010" s="182"/>
      <c r="NRW1010" s="182"/>
      <c r="NRX1010" s="182"/>
      <c r="NRY1010" s="182"/>
      <c r="NRZ1010" s="182"/>
      <c r="NSA1010" s="182"/>
      <c r="NSB1010" s="182"/>
      <c r="NSC1010" s="182"/>
      <c r="NSD1010" s="182"/>
      <c r="NSE1010" s="182"/>
      <c r="NSF1010" s="182"/>
      <c r="NSG1010" s="182"/>
      <c r="NSH1010" s="182"/>
      <c r="NSI1010" s="182"/>
      <c r="NSJ1010" s="182"/>
      <c r="NSK1010" s="182"/>
      <c r="NSL1010" s="182"/>
      <c r="NSM1010" s="182"/>
      <c r="NSN1010" s="182"/>
      <c r="NSO1010" s="182"/>
      <c r="NSP1010" s="182"/>
      <c r="NSQ1010" s="182"/>
      <c r="NSR1010" s="182"/>
      <c r="NSS1010" s="182"/>
      <c r="NST1010" s="182"/>
      <c r="NSU1010" s="182"/>
      <c r="NSV1010" s="182"/>
      <c r="NSW1010" s="182"/>
      <c r="NSX1010" s="182"/>
      <c r="NSY1010" s="182"/>
      <c r="NSZ1010" s="182"/>
      <c r="NTA1010" s="182"/>
      <c r="NTB1010" s="182"/>
      <c r="NTC1010" s="182"/>
      <c r="NTD1010" s="182"/>
      <c r="NTE1010" s="182"/>
      <c r="NTF1010" s="182"/>
      <c r="NTG1010" s="182"/>
      <c r="NTH1010" s="182"/>
      <c r="NTI1010" s="182"/>
      <c r="NTJ1010" s="182"/>
      <c r="NTK1010" s="182"/>
      <c r="NTL1010" s="182"/>
      <c r="NTM1010" s="182"/>
      <c r="NTN1010" s="182"/>
      <c r="NTO1010" s="182"/>
      <c r="NTP1010" s="182"/>
      <c r="NTQ1010" s="182"/>
      <c r="NTR1010" s="182"/>
      <c r="NTS1010" s="182"/>
      <c r="NTT1010" s="182"/>
      <c r="NTU1010" s="182"/>
      <c r="NTV1010" s="182"/>
      <c r="NTW1010" s="182"/>
      <c r="NTX1010" s="182"/>
      <c r="NTY1010" s="182"/>
      <c r="NTZ1010" s="182"/>
      <c r="NUA1010" s="182"/>
      <c r="NUB1010" s="182"/>
      <c r="NUC1010" s="182"/>
      <c r="NUD1010" s="182"/>
      <c r="NUE1010" s="182"/>
      <c r="NUF1010" s="182"/>
      <c r="NUG1010" s="182"/>
      <c r="NUH1010" s="182"/>
      <c r="NUI1010" s="182"/>
      <c r="NUJ1010" s="182"/>
      <c r="NUK1010" s="182"/>
      <c r="NUL1010" s="182"/>
      <c r="NUM1010" s="182"/>
      <c r="NUN1010" s="182"/>
      <c r="NUO1010" s="182"/>
      <c r="NUP1010" s="182"/>
      <c r="NUQ1010" s="182"/>
      <c r="NUR1010" s="182"/>
      <c r="NUS1010" s="182"/>
      <c r="NUT1010" s="182"/>
      <c r="NUU1010" s="182"/>
      <c r="NUV1010" s="182"/>
      <c r="NUW1010" s="182"/>
      <c r="NUX1010" s="182"/>
      <c r="NUY1010" s="182"/>
      <c r="NUZ1010" s="182"/>
      <c r="NVA1010" s="182"/>
      <c r="NVB1010" s="182"/>
      <c r="NVC1010" s="182"/>
      <c r="NVD1010" s="182"/>
      <c r="NVE1010" s="182"/>
      <c r="NVF1010" s="182"/>
      <c r="NVG1010" s="182"/>
      <c r="NVH1010" s="182"/>
      <c r="NVI1010" s="182"/>
      <c r="NVJ1010" s="182"/>
      <c r="NVK1010" s="182"/>
      <c r="NVL1010" s="182"/>
      <c r="NVM1010" s="182"/>
      <c r="NVN1010" s="182"/>
      <c r="NVO1010" s="182"/>
      <c r="NVP1010" s="182"/>
      <c r="NVQ1010" s="182"/>
      <c r="NVR1010" s="182"/>
      <c r="NVS1010" s="182"/>
      <c r="NVT1010" s="182"/>
      <c r="NVU1010" s="182"/>
      <c r="NVV1010" s="182"/>
      <c r="NVW1010" s="182"/>
      <c r="NVX1010" s="182"/>
      <c r="NVY1010" s="182"/>
      <c r="NVZ1010" s="182"/>
      <c r="NWA1010" s="182"/>
      <c r="NWB1010" s="182"/>
      <c r="NWC1010" s="182"/>
      <c r="NWD1010" s="182"/>
      <c r="NWE1010" s="182"/>
      <c r="NWF1010" s="182"/>
      <c r="NWG1010" s="182"/>
      <c r="NWH1010" s="182"/>
      <c r="NWI1010" s="182"/>
      <c r="NWJ1010" s="182"/>
      <c r="NWK1010" s="182"/>
      <c r="NWL1010" s="182"/>
      <c r="NWM1010" s="182"/>
      <c r="NWN1010" s="182"/>
      <c r="NWO1010" s="182"/>
      <c r="NWP1010" s="182"/>
      <c r="NWQ1010" s="182"/>
      <c r="NWR1010" s="182"/>
      <c r="NWS1010" s="182"/>
      <c r="NWT1010" s="182"/>
      <c r="NWU1010" s="182"/>
      <c r="NWV1010" s="182"/>
      <c r="NWW1010" s="182"/>
      <c r="NWX1010" s="182"/>
      <c r="NWY1010" s="182"/>
      <c r="NWZ1010" s="182"/>
      <c r="NXA1010" s="182"/>
      <c r="NXB1010" s="182"/>
      <c r="NXC1010" s="182"/>
      <c r="NXD1010" s="182"/>
      <c r="NXE1010" s="182"/>
      <c r="NXF1010" s="182"/>
      <c r="NXG1010" s="182"/>
      <c r="NXH1010" s="182"/>
      <c r="NXI1010" s="182"/>
      <c r="NXJ1010" s="182"/>
      <c r="NXK1010" s="182"/>
      <c r="NXL1010" s="182"/>
      <c r="NXM1010" s="182"/>
      <c r="NXN1010" s="182"/>
      <c r="NXO1010" s="182"/>
      <c r="NXP1010" s="182"/>
      <c r="NXQ1010" s="182"/>
      <c r="NXR1010" s="182"/>
      <c r="NXS1010" s="182"/>
      <c r="NXT1010" s="182"/>
      <c r="NXU1010" s="182"/>
      <c r="NXV1010" s="182"/>
      <c r="NXW1010" s="182"/>
      <c r="NXX1010" s="182"/>
      <c r="NXY1010" s="182"/>
      <c r="NXZ1010" s="182"/>
      <c r="NYA1010" s="182"/>
      <c r="NYB1010" s="182"/>
      <c r="NYC1010" s="182"/>
      <c r="NYD1010" s="182"/>
      <c r="NYE1010" s="182"/>
      <c r="NYF1010" s="182"/>
      <c r="NYG1010" s="182"/>
      <c r="NYH1010" s="182"/>
      <c r="NYI1010" s="182"/>
      <c r="NYJ1010" s="182"/>
      <c r="NYK1010" s="182"/>
      <c r="NYL1010" s="182"/>
      <c r="NYM1010" s="182"/>
      <c r="NYN1010" s="182"/>
      <c r="NYO1010" s="182"/>
      <c r="NYP1010" s="182"/>
      <c r="NYQ1010" s="182"/>
      <c r="NYR1010" s="182"/>
      <c r="NYS1010" s="182"/>
      <c r="NYT1010" s="182"/>
      <c r="NYU1010" s="182"/>
      <c r="NYV1010" s="182"/>
      <c r="NYW1010" s="182"/>
      <c r="NYX1010" s="182"/>
      <c r="NYY1010" s="182"/>
      <c r="NYZ1010" s="182"/>
      <c r="NZA1010" s="182"/>
      <c r="NZB1010" s="182"/>
      <c r="NZC1010" s="182"/>
      <c r="NZD1010" s="182"/>
      <c r="NZE1010" s="182"/>
      <c r="NZF1010" s="182"/>
      <c r="NZG1010" s="182"/>
      <c r="NZH1010" s="182"/>
      <c r="NZI1010" s="182"/>
      <c r="NZJ1010" s="182"/>
      <c r="NZK1010" s="182"/>
      <c r="NZL1010" s="182"/>
      <c r="NZM1010" s="182"/>
      <c r="NZN1010" s="182"/>
      <c r="NZO1010" s="182"/>
      <c r="NZP1010" s="182"/>
      <c r="NZQ1010" s="182"/>
      <c r="NZR1010" s="182"/>
      <c r="NZS1010" s="182"/>
      <c r="NZT1010" s="182"/>
      <c r="NZU1010" s="182"/>
      <c r="NZV1010" s="182"/>
      <c r="NZW1010" s="182"/>
      <c r="NZX1010" s="182"/>
      <c r="NZY1010" s="182"/>
      <c r="NZZ1010" s="182"/>
      <c r="OAA1010" s="182"/>
      <c r="OAB1010" s="182"/>
      <c r="OAC1010" s="182"/>
      <c r="OAD1010" s="182"/>
      <c r="OAE1010" s="182"/>
      <c r="OAF1010" s="182"/>
      <c r="OAG1010" s="182"/>
      <c r="OAH1010" s="182"/>
      <c r="OAI1010" s="182"/>
      <c r="OAJ1010" s="182"/>
      <c r="OAK1010" s="182"/>
      <c r="OAL1010" s="182"/>
      <c r="OAM1010" s="182"/>
      <c r="OAN1010" s="182"/>
      <c r="OAO1010" s="182"/>
      <c r="OAP1010" s="182"/>
      <c r="OAQ1010" s="182"/>
      <c r="OAR1010" s="182"/>
      <c r="OAS1010" s="182"/>
      <c r="OAT1010" s="182"/>
      <c r="OAU1010" s="182"/>
      <c r="OAV1010" s="182"/>
      <c r="OAW1010" s="182"/>
      <c r="OAX1010" s="182"/>
      <c r="OAY1010" s="182"/>
      <c r="OAZ1010" s="182"/>
      <c r="OBA1010" s="182"/>
      <c r="OBB1010" s="182"/>
      <c r="OBC1010" s="182"/>
      <c r="OBD1010" s="182"/>
      <c r="OBE1010" s="182"/>
      <c r="OBF1010" s="182"/>
      <c r="OBG1010" s="182"/>
      <c r="OBH1010" s="182"/>
      <c r="OBI1010" s="182"/>
      <c r="OBJ1010" s="182"/>
      <c r="OBK1010" s="182"/>
      <c r="OBL1010" s="182"/>
      <c r="OBM1010" s="182"/>
      <c r="OBN1010" s="182"/>
      <c r="OBO1010" s="182"/>
      <c r="OBP1010" s="182"/>
      <c r="OBQ1010" s="182"/>
      <c r="OBR1010" s="182"/>
      <c r="OBS1010" s="182"/>
      <c r="OBT1010" s="182"/>
      <c r="OBU1010" s="182"/>
      <c r="OBV1010" s="182"/>
      <c r="OBW1010" s="182"/>
      <c r="OBX1010" s="182"/>
      <c r="OBY1010" s="182"/>
      <c r="OBZ1010" s="182"/>
      <c r="OCA1010" s="182"/>
      <c r="OCB1010" s="182"/>
      <c r="OCC1010" s="182"/>
      <c r="OCD1010" s="182"/>
      <c r="OCE1010" s="182"/>
      <c r="OCF1010" s="182"/>
      <c r="OCG1010" s="182"/>
      <c r="OCH1010" s="182"/>
      <c r="OCI1010" s="182"/>
      <c r="OCJ1010" s="182"/>
      <c r="OCK1010" s="182"/>
      <c r="OCL1010" s="182"/>
      <c r="OCM1010" s="182"/>
      <c r="OCN1010" s="182"/>
      <c r="OCO1010" s="182"/>
      <c r="OCP1010" s="182"/>
      <c r="OCQ1010" s="182"/>
      <c r="OCR1010" s="182"/>
      <c r="OCS1010" s="182"/>
      <c r="OCT1010" s="182"/>
      <c r="OCU1010" s="182"/>
      <c r="OCV1010" s="182"/>
      <c r="OCW1010" s="182"/>
      <c r="OCX1010" s="182"/>
      <c r="OCY1010" s="182"/>
      <c r="OCZ1010" s="182"/>
      <c r="ODA1010" s="182"/>
      <c r="ODB1010" s="182"/>
      <c r="ODC1010" s="182"/>
      <c r="ODD1010" s="182"/>
      <c r="ODE1010" s="182"/>
      <c r="ODF1010" s="182"/>
      <c r="ODG1010" s="182"/>
      <c r="ODH1010" s="182"/>
      <c r="ODI1010" s="182"/>
      <c r="ODJ1010" s="182"/>
      <c r="ODK1010" s="182"/>
      <c r="ODL1010" s="182"/>
      <c r="ODM1010" s="182"/>
      <c r="ODN1010" s="182"/>
      <c r="ODO1010" s="182"/>
      <c r="ODP1010" s="182"/>
      <c r="ODQ1010" s="182"/>
      <c r="ODR1010" s="182"/>
      <c r="ODS1010" s="182"/>
      <c r="ODT1010" s="182"/>
      <c r="ODU1010" s="182"/>
      <c r="ODV1010" s="182"/>
      <c r="ODW1010" s="182"/>
      <c r="ODX1010" s="182"/>
      <c r="ODY1010" s="182"/>
      <c r="ODZ1010" s="182"/>
      <c r="OEA1010" s="182"/>
      <c r="OEB1010" s="182"/>
      <c r="OEC1010" s="182"/>
      <c r="OED1010" s="182"/>
      <c r="OEE1010" s="182"/>
      <c r="OEF1010" s="182"/>
      <c r="OEG1010" s="182"/>
      <c r="OEH1010" s="182"/>
      <c r="OEI1010" s="182"/>
      <c r="OEJ1010" s="182"/>
      <c r="OEK1010" s="182"/>
      <c r="OEL1010" s="182"/>
      <c r="OEM1010" s="182"/>
      <c r="OEN1010" s="182"/>
      <c r="OEO1010" s="182"/>
      <c r="OEP1010" s="182"/>
      <c r="OEQ1010" s="182"/>
      <c r="OER1010" s="182"/>
      <c r="OES1010" s="182"/>
      <c r="OET1010" s="182"/>
      <c r="OEU1010" s="182"/>
      <c r="OEV1010" s="182"/>
      <c r="OEW1010" s="182"/>
      <c r="OEX1010" s="182"/>
      <c r="OEY1010" s="182"/>
      <c r="OEZ1010" s="182"/>
      <c r="OFA1010" s="182"/>
      <c r="OFB1010" s="182"/>
      <c r="OFC1010" s="182"/>
      <c r="OFD1010" s="182"/>
      <c r="OFE1010" s="182"/>
      <c r="OFF1010" s="182"/>
      <c r="OFG1010" s="182"/>
      <c r="OFH1010" s="182"/>
      <c r="OFI1010" s="182"/>
      <c r="OFJ1010" s="182"/>
      <c r="OFK1010" s="182"/>
      <c r="OFL1010" s="182"/>
      <c r="OFM1010" s="182"/>
      <c r="OFN1010" s="182"/>
      <c r="OFO1010" s="182"/>
      <c r="OFP1010" s="182"/>
      <c r="OFQ1010" s="182"/>
      <c r="OFR1010" s="182"/>
      <c r="OFS1010" s="182"/>
      <c r="OFT1010" s="182"/>
      <c r="OFU1010" s="182"/>
      <c r="OFV1010" s="182"/>
      <c r="OFW1010" s="182"/>
      <c r="OFX1010" s="182"/>
      <c r="OFY1010" s="182"/>
      <c r="OFZ1010" s="182"/>
      <c r="OGA1010" s="182"/>
      <c r="OGB1010" s="182"/>
      <c r="OGC1010" s="182"/>
      <c r="OGD1010" s="182"/>
      <c r="OGE1010" s="182"/>
      <c r="OGF1010" s="182"/>
      <c r="OGG1010" s="182"/>
      <c r="OGH1010" s="182"/>
      <c r="OGI1010" s="182"/>
      <c r="OGJ1010" s="182"/>
      <c r="OGK1010" s="182"/>
      <c r="OGL1010" s="182"/>
      <c r="OGM1010" s="182"/>
      <c r="OGN1010" s="182"/>
      <c r="OGO1010" s="182"/>
      <c r="OGP1010" s="182"/>
      <c r="OGQ1010" s="182"/>
      <c r="OGR1010" s="182"/>
      <c r="OGS1010" s="182"/>
      <c r="OGT1010" s="182"/>
      <c r="OGU1010" s="182"/>
      <c r="OGV1010" s="182"/>
      <c r="OGW1010" s="182"/>
      <c r="OGX1010" s="182"/>
      <c r="OGY1010" s="182"/>
      <c r="OGZ1010" s="182"/>
      <c r="OHA1010" s="182"/>
      <c r="OHB1010" s="182"/>
      <c r="OHC1010" s="182"/>
      <c r="OHD1010" s="182"/>
      <c r="OHE1010" s="182"/>
      <c r="OHF1010" s="182"/>
      <c r="OHG1010" s="182"/>
      <c r="OHH1010" s="182"/>
      <c r="OHI1010" s="182"/>
      <c r="OHJ1010" s="182"/>
      <c r="OHK1010" s="182"/>
      <c r="OHL1010" s="182"/>
      <c r="OHM1010" s="182"/>
      <c r="OHN1010" s="182"/>
      <c r="OHO1010" s="182"/>
      <c r="OHP1010" s="182"/>
      <c r="OHQ1010" s="182"/>
      <c r="OHR1010" s="182"/>
      <c r="OHS1010" s="182"/>
      <c r="OHT1010" s="182"/>
      <c r="OHU1010" s="182"/>
      <c r="OHV1010" s="182"/>
      <c r="OHW1010" s="182"/>
      <c r="OHX1010" s="182"/>
      <c r="OHY1010" s="182"/>
      <c r="OHZ1010" s="182"/>
      <c r="OIA1010" s="182"/>
      <c r="OIB1010" s="182"/>
      <c r="OIC1010" s="182"/>
      <c r="OID1010" s="182"/>
      <c r="OIE1010" s="182"/>
      <c r="OIF1010" s="182"/>
      <c r="OIG1010" s="182"/>
      <c r="OIH1010" s="182"/>
      <c r="OII1010" s="182"/>
      <c r="OIJ1010" s="182"/>
      <c r="OIK1010" s="182"/>
      <c r="OIL1010" s="182"/>
      <c r="OIM1010" s="182"/>
      <c r="OIN1010" s="182"/>
      <c r="OIO1010" s="182"/>
      <c r="OIP1010" s="182"/>
      <c r="OIQ1010" s="182"/>
      <c r="OIR1010" s="182"/>
      <c r="OIS1010" s="182"/>
      <c r="OIT1010" s="182"/>
      <c r="OIU1010" s="182"/>
      <c r="OIV1010" s="182"/>
      <c r="OIW1010" s="182"/>
      <c r="OIX1010" s="182"/>
      <c r="OIY1010" s="182"/>
      <c r="OIZ1010" s="182"/>
      <c r="OJA1010" s="182"/>
      <c r="OJB1010" s="182"/>
      <c r="OJC1010" s="182"/>
      <c r="OJD1010" s="182"/>
      <c r="OJE1010" s="182"/>
      <c r="OJF1010" s="182"/>
      <c r="OJG1010" s="182"/>
      <c r="OJH1010" s="182"/>
      <c r="OJI1010" s="182"/>
      <c r="OJJ1010" s="182"/>
      <c r="OJK1010" s="182"/>
      <c r="OJL1010" s="182"/>
      <c r="OJM1010" s="182"/>
      <c r="OJN1010" s="182"/>
      <c r="OJO1010" s="182"/>
      <c r="OJP1010" s="182"/>
      <c r="OJQ1010" s="182"/>
      <c r="OJR1010" s="182"/>
      <c r="OJS1010" s="182"/>
      <c r="OJT1010" s="182"/>
      <c r="OJU1010" s="182"/>
      <c r="OJV1010" s="182"/>
      <c r="OJW1010" s="182"/>
      <c r="OJX1010" s="182"/>
      <c r="OJY1010" s="182"/>
      <c r="OJZ1010" s="182"/>
      <c r="OKA1010" s="182"/>
      <c r="OKB1010" s="182"/>
      <c r="OKC1010" s="182"/>
      <c r="OKD1010" s="182"/>
      <c r="OKE1010" s="182"/>
      <c r="OKF1010" s="182"/>
      <c r="OKG1010" s="182"/>
      <c r="OKH1010" s="182"/>
      <c r="OKI1010" s="182"/>
      <c r="OKJ1010" s="182"/>
      <c r="OKK1010" s="182"/>
      <c r="OKL1010" s="182"/>
      <c r="OKM1010" s="182"/>
      <c r="OKN1010" s="182"/>
      <c r="OKO1010" s="182"/>
      <c r="OKP1010" s="182"/>
      <c r="OKQ1010" s="182"/>
      <c r="OKR1010" s="182"/>
      <c r="OKS1010" s="182"/>
      <c r="OKT1010" s="182"/>
      <c r="OKU1010" s="182"/>
      <c r="OKV1010" s="182"/>
      <c r="OKW1010" s="182"/>
      <c r="OKX1010" s="182"/>
      <c r="OKY1010" s="182"/>
      <c r="OKZ1010" s="182"/>
      <c r="OLA1010" s="182"/>
      <c r="OLB1010" s="182"/>
      <c r="OLC1010" s="182"/>
      <c r="OLD1010" s="182"/>
      <c r="OLE1010" s="182"/>
      <c r="OLF1010" s="182"/>
      <c r="OLG1010" s="182"/>
      <c r="OLH1010" s="182"/>
      <c r="OLI1010" s="182"/>
      <c r="OLJ1010" s="182"/>
      <c r="OLK1010" s="182"/>
      <c r="OLL1010" s="182"/>
      <c r="OLM1010" s="182"/>
      <c r="OLN1010" s="182"/>
      <c r="OLO1010" s="182"/>
      <c r="OLP1010" s="182"/>
      <c r="OLQ1010" s="182"/>
      <c r="OLR1010" s="182"/>
      <c r="OLS1010" s="182"/>
      <c r="OLT1010" s="182"/>
      <c r="OLU1010" s="182"/>
      <c r="OLV1010" s="182"/>
      <c r="OLW1010" s="182"/>
      <c r="OLX1010" s="182"/>
      <c r="OLY1010" s="182"/>
      <c r="OLZ1010" s="182"/>
      <c r="OMA1010" s="182"/>
      <c r="OMB1010" s="182"/>
      <c r="OMC1010" s="182"/>
      <c r="OMD1010" s="182"/>
      <c r="OME1010" s="182"/>
      <c r="OMF1010" s="182"/>
      <c r="OMG1010" s="182"/>
      <c r="OMH1010" s="182"/>
      <c r="OMI1010" s="182"/>
      <c r="OMJ1010" s="182"/>
      <c r="OMK1010" s="182"/>
      <c r="OML1010" s="182"/>
      <c r="OMM1010" s="182"/>
      <c r="OMN1010" s="182"/>
      <c r="OMO1010" s="182"/>
      <c r="OMP1010" s="182"/>
      <c r="OMQ1010" s="182"/>
      <c r="OMR1010" s="182"/>
      <c r="OMS1010" s="182"/>
      <c r="OMT1010" s="182"/>
      <c r="OMU1010" s="182"/>
      <c r="OMV1010" s="182"/>
      <c r="OMW1010" s="182"/>
      <c r="OMX1010" s="182"/>
      <c r="OMY1010" s="182"/>
      <c r="OMZ1010" s="182"/>
      <c r="ONA1010" s="182"/>
      <c r="ONB1010" s="182"/>
      <c r="ONC1010" s="182"/>
      <c r="OND1010" s="182"/>
      <c r="ONE1010" s="182"/>
      <c r="ONF1010" s="182"/>
      <c r="ONG1010" s="182"/>
      <c r="ONH1010" s="182"/>
      <c r="ONI1010" s="182"/>
      <c r="ONJ1010" s="182"/>
      <c r="ONK1010" s="182"/>
      <c r="ONL1010" s="182"/>
      <c r="ONM1010" s="182"/>
      <c r="ONN1010" s="182"/>
      <c r="ONO1010" s="182"/>
      <c r="ONP1010" s="182"/>
      <c r="ONQ1010" s="182"/>
      <c r="ONR1010" s="182"/>
      <c r="ONS1010" s="182"/>
      <c r="ONT1010" s="182"/>
      <c r="ONU1010" s="182"/>
      <c r="ONV1010" s="182"/>
      <c r="ONW1010" s="182"/>
      <c r="ONX1010" s="182"/>
      <c r="ONY1010" s="182"/>
      <c r="ONZ1010" s="182"/>
      <c r="OOA1010" s="182"/>
      <c r="OOB1010" s="182"/>
      <c r="OOC1010" s="182"/>
      <c r="OOD1010" s="182"/>
      <c r="OOE1010" s="182"/>
      <c r="OOF1010" s="182"/>
      <c r="OOG1010" s="182"/>
      <c r="OOH1010" s="182"/>
      <c r="OOI1010" s="182"/>
      <c r="OOJ1010" s="182"/>
      <c r="OOK1010" s="182"/>
      <c r="OOL1010" s="182"/>
      <c r="OOM1010" s="182"/>
      <c r="OON1010" s="182"/>
      <c r="OOO1010" s="182"/>
      <c r="OOP1010" s="182"/>
      <c r="OOQ1010" s="182"/>
      <c r="OOR1010" s="182"/>
      <c r="OOS1010" s="182"/>
      <c r="OOT1010" s="182"/>
      <c r="OOU1010" s="182"/>
      <c r="OOV1010" s="182"/>
      <c r="OOW1010" s="182"/>
      <c r="OOX1010" s="182"/>
      <c r="OOY1010" s="182"/>
      <c r="OOZ1010" s="182"/>
      <c r="OPA1010" s="182"/>
      <c r="OPB1010" s="182"/>
      <c r="OPC1010" s="182"/>
      <c r="OPD1010" s="182"/>
      <c r="OPE1010" s="182"/>
      <c r="OPF1010" s="182"/>
      <c r="OPG1010" s="182"/>
      <c r="OPH1010" s="182"/>
      <c r="OPI1010" s="182"/>
      <c r="OPJ1010" s="182"/>
      <c r="OPK1010" s="182"/>
      <c r="OPL1010" s="182"/>
      <c r="OPM1010" s="182"/>
      <c r="OPN1010" s="182"/>
      <c r="OPO1010" s="182"/>
      <c r="OPP1010" s="182"/>
      <c r="OPQ1010" s="182"/>
      <c r="OPR1010" s="182"/>
      <c r="OPS1010" s="182"/>
      <c r="OPT1010" s="182"/>
      <c r="OPU1010" s="182"/>
      <c r="OPV1010" s="182"/>
      <c r="OPW1010" s="182"/>
      <c r="OPX1010" s="182"/>
      <c r="OPY1010" s="182"/>
      <c r="OPZ1010" s="182"/>
      <c r="OQA1010" s="182"/>
      <c r="OQB1010" s="182"/>
      <c r="OQC1010" s="182"/>
      <c r="OQD1010" s="182"/>
      <c r="OQE1010" s="182"/>
      <c r="OQF1010" s="182"/>
      <c r="OQG1010" s="182"/>
      <c r="OQH1010" s="182"/>
      <c r="OQI1010" s="182"/>
      <c r="OQJ1010" s="182"/>
      <c r="OQK1010" s="182"/>
      <c r="OQL1010" s="182"/>
      <c r="OQM1010" s="182"/>
      <c r="OQN1010" s="182"/>
      <c r="OQO1010" s="182"/>
      <c r="OQP1010" s="182"/>
      <c r="OQQ1010" s="182"/>
      <c r="OQR1010" s="182"/>
      <c r="OQS1010" s="182"/>
      <c r="OQT1010" s="182"/>
      <c r="OQU1010" s="182"/>
      <c r="OQV1010" s="182"/>
      <c r="OQW1010" s="182"/>
      <c r="OQX1010" s="182"/>
      <c r="OQY1010" s="182"/>
      <c r="OQZ1010" s="182"/>
      <c r="ORA1010" s="182"/>
      <c r="ORB1010" s="182"/>
      <c r="ORC1010" s="182"/>
      <c r="ORD1010" s="182"/>
      <c r="ORE1010" s="182"/>
      <c r="ORF1010" s="182"/>
      <c r="ORG1010" s="182"/>
      <c r="ORH1010" s="182"/>
      <c r="ORI1010" s="182"/>
      <c r="ORJ1010" s="182"/>
      <c r="ORK1010" s="182"/>
      <c r="ORL1010" s="182"/>
      <c r="ORM1010" s="182"/>
      <c r="ORN1010" s="182"/>
      <c r="ORO1010" s="182"/>
      <c r="ORP1010" s="182"/>
      <c r="ORQ1010" s="182"/>
      <c r="ORR1010" s="182"/>
      <c r="ORS1010" s="182"/>
      <c r="ORT1010" s="182"/>
      <c r="ORU1010" s="182"/>
      <c r="ORV1010" s="182"/>
      <c r="ORW1010" s="182"/>
      <c r="ORX1010" s="182"/>
      <c r="ORY1010" s="182"/>
      <c r="ORZ1010" s="182"/>
      <c r="OSA1010" s="182"/>
      <c r="OSB1010" s="182"/>
      <c r="OSC1010" s="182"/>
      <c r="OSD1010" s="182"/>
      <c r="OSE1010" s="182"/>
      <c r="OSF1010" s="182"/>
      <c r="OSG1010" s="182"/>
      <c r="OSH1010" s="182"/>
      <c r="OSI1010" s="182"/>
      <c r="OSJ1010" s="182"/>
      <c r="OSK1010" s="182"/>
      <c r="OSL1010" s="182"/>
      <c r="OSM1010" s="182"/>
      <c r="OSN1010" s="182"/>
      <c r="OSO1010" s="182"/>
      <c r="OSP1010" s="182"/>
      <c r="OSQ1010" s="182"/>
      <c r="OSR1010" s="182"/>
      <c r="OSS1010" s="182"/>
      <c r="OST1010" s="182"/>
      <c r="OSU1010" s="182"/>
      <c r="OSV1010" s="182"/>
      <c r="OSW1010" s="182"/>
      <c r="OSX1010" s="182"/>
      <c r="OSY1010" s="182"/>
      <c r="OSZ1010" s="182"/>
      <c r="OTA1010" s="182"/>
      <c r="OTB1010" s="182"/>
      <c r="OTC1010" s="182"/>
      <c r="OTD1010" s="182"/>
      <c r="OTE1010" s="182"/>
      <c r="OTF1010" s="182"/>
      <c r="OTG1010" s="182"/>
      <c r="OTH1010" s="182"/>
      <c r="OTI1010" s="182"/>
      <c r="OTJ1010" s="182"/>
      <c r="OTK1010" s="182"/>
      <c r="OTL1010" s="182"/>
      <c r="OTM1010" s="182"/>
      <c r="OTN1010" s="182"/>
      <c r="OTO1010" s="182"/>
      <c r="OTP1010" s="182"/>
      <c r="OTQ1010" s="182"/>
      <c r="OTR1010" s="182"/>
      <c r="OTS1010" s="182"/>
      <c r="OTT1010" s="182"/>
      <c r="OTU1010" s="182"/>
      <c r="OTV1010" s="182"/>
      <c r="OTW1010" s="182"/>
      <c r="OTX1010" s="182"/>
      <c r="OTY1010" s="182"/>
      <c r="OTZ1010" s="182"/>
      <c r="OUA1010" s="182"/>
      <c r="OUB1010" s="182"/>
      <c r="OUC1010" s="182"/>
      <c r="OUD1010" s="182"/>
      <c r="OUE1010" s="182"/>
      <c r="OUF1010" s="182"/>
      <c r="OUG1010" s="182"/>
      <c r="OUH1010" s="182"/>
      <c r="OUI1010" s="182"/>
      <c r="OUJ1010" s="182"/>
      <c r="OUK1010" s="182"/>
      <c r="OUL1010" s="182"/>
      <c r="OUM1010" s="182"/>
      <c r="OUN1010" s="182"/>
      <c r="OUO1010" s="182"/>
      <c r="OUP1010" s="182"/>
      <c r="OUQ1010" s="182"/>
      <c r="OUR1010" s="182"/>
      <c r="OUS1010" s="182"/>
      <c r="OUT1010" s="182"/>
      <c r="OUU1010" s="182"/>
      <c r="OUV1010" s="182"/>
      <c r="OUW1010" s="182"/>
      <c r="OUX1010" s="182"/>
      <c r="OUY1010" s="182"/>
      <c r="OUZ1010" s="182"/>
      <c r="OVA1010" s="182"/>
      <c r="OVB1010" s="182"/>
      <c r="OVC1010" s="182"/>
      <c r="OVD1010" s="182"/>
      <c r="OVE1010" s="182"/>
      <c r="OVF1010" s="182"/>
      <c r="OVG1010" s="182"/>
      <c r="OVH1010" s="182"/>
      <c r="OVI1010" s="182"/>
      <c r="OVJ1010" s="182"/>
      <c r="OVK1010" s="182"/>
      <c r="OVL1010" s="182"/>
      <c r="OVM1010" s="182"/>
      <c r="OVN1010" s="182"/>
      <c r="OVO1010" s="182"/>
      <c r="OVP1010" s="182"/>
      <c r="OVQ1010" s="182"/>
      <c r="OVR1010" s="182"/>
      <c r="OVS1010" s="182"/>
      <c r="OVT1010" s="182"/>
      <c r="OVU1010" s="182"/>
      <c r="OVV1010" s="182"/>
      <c r="OVW1010" s="182"/>
      <c r="OVX1010" s="182"/>
      <c r="OVY1010" s="182"/>
      <c r="OVZ1010" s="182"/>
      <c r="OWA1010" s="182"/>
      <c r="OWB1010" s="182"/>
      <c r="OWC1010" s="182"/>
      <c r="OWD1010" s="182"/>
      <c r="OWE1010" s="182"/>
      <c r="OWF1010" s="182"/>
      <c r="OWG1010" s="182"/>
      <c r="OWH1010" s="182"/>
      <c r="OWI1010" s="182"/>
      <c r="OWJ1010" s="182"/>
      <c r="OWK1010" s="182"/>
      <c r="OWL1010" s="182"/>
      <c r="OWM1010" s="182"/>
      <c r="OWN1010" s="182"/>
      <c r="OWO1010" s="182"/>
      <c r="OWP1010" s="182"/>
      <c r="OWQ1010" s="182"/>
      <c r="OWR1010" s="182"/>
      <c r="OWS1010" s="182"/>
      <c r="OWT1010" s="182"/>
      <c r="OWU1010" s="182"/>
      <c r="OWV1010" s="182"/>
      <c r="OWW1010" s="182"/>
      <c r="OWX1010" s="182"/>
      <c r="OWY1010" s="182"/>
      <c r="OWZ1010" s="182"/>
      <c r="OXA1010" s="182"/>
      <c r="OXB1010" s="182"/>
      <c r="OXC1010" s="182"/>
      <c r="OXD1010" s="182"/>
      <c r="OXE1010" s="182"/>
      <c r="OXF1010" s="182"/>
      <c r="OXG1010" s="182"/>
      <c r="OXH1010" s="182"/>
      <c r="OXI1010" s="182"/>
      <c r="OXJ1010" s="182"/>
      <c r="OXK1010" s="182"/>
      <c r="OXL1010" s="182"/>
      <c r="OXM1010" s="182"/>
      <c r="OXN1010" s="182"/>
      <c r="OXO1010" s="182"/>
      <c r="OXP1010" s="182"/>
      <c r="OXQ1010" s="182"/>
      <c r="OXR1010" s="182"/>
      <c r="OXS1010" s="182"/>
      <c r="OXT1010" s="182"/>
      <c r="OXU1010" s="182"/>
      <c r="OXV1010" s="182"/>
      <c r="OXW1010" s="182"/>
      <c r="OXX1010" s="182"/>
      <c r="OXY1010" s="182"/>
      <c r="OXZ1010" s="182"/>
      <c r="OYA1010" s="182"/>
      <c r="OYB1010" s="182"/>
      <c r="OYC1010" s="182"/>
      <c r="OYD1010" s="182"/>
      <c r="OYE1010" s="182"/>
      <c r="OYF1010" s="182"/>
      <c r="OYG1010" s="182"/>
      <c r="OYH1010" s="182"/>
      <c r="OYI1010" s="182"/>
      <c r="OYJ1010" s="182"/>
      <c r="OYK1010" s="182"/>
      <c r="OYL1010" s="182"/>
      <c r="OYM1010" s="182"/>
      <c r="OYN1010" s="182"/>
      <c r="OYO1010" s="182"/>
      <c r="OYP1010" s="182"/>
      <c r="OYQ1010" s="182"/>
      <c r="OYR1010" s="182"/>
      <c r="OYS1010" s="182"/>
      <c r="OYT1010" s="182"/>
      <c r="OYU1010" s="182"/>
      <c r="OYV1010" s="182"/>
      <c r="OYW1010" s="182"/>
      <c r="OYX1010" s="182"/>
      <c r="OYY1010" s="182"/>
      <c r="OYZ1010" s="182"/>
      <c r="OZA1010" s="182"/>
      <c r="OZB1010" s="182"/>
      <c r="OZC1010" s="182"/>
      <c r="OZD1010" s="182"/>
      <c r="OZE1010" s="182"/>
      <c r="OZF1010" s="182"/>
      <c r="OZG1010" s="182"/>
      <c r="OZH1010" s="182"/>
      <c r="OZI1010" s="182"/>
      <c r="OZJ1010" s="182"/>
      <c r="OZK1010" s="182"/>
      <c r="OZL1010" s="182"/>
      <c r="OZM1010" s="182"/>
      <c r="OZN1010" s="182"/>
      <c r="OZO1010" s="182"/>
      <c r="OZP1010" s="182"/>
      <c r="OZQ1010" s="182"/>
      <c r="OZR1010" s="182"/>
      <c r="OZS1010" s="182"/>
      <c r="OZT1010" s="182"/>
      <c r="OZU1010" s="182"/>
      <c r="OZV1010" s="182"/>
      <c r="OZW1010" s="182"/>
      <c r="OZX1010" s="182"/>
      <c r="OZY1010" s="182"/>
      <c r="OZZ1010" s="182"/>
      <c r="PAA1010" s="182"/>
      <c r="PAB1010" s="182"/>
      <c r="PAC1010" s="182"/>
      <c r="PAD1010" s="182"/>
      <c r="PAE1010" s="182"/>
      <c r="PAF1010" s="182"/>
      <c r="PAG1010" s="182"/>
      <c r="PAH1010" s="182"/>
      <c r="PAI1010" s="182"/>
      <c r="PAJ1010" s="182"/>
      <c r="PAK1010" s="182"/>
      <c r="PAL1010" s="182"/>
      <c r="PAM1010" s="182"/>
      <c r="PAN1010" s="182"/>
      <c r="PAO1010" s="182"/>
      <c r="PAP1010" s="182"/>
      <c r="PAQ1010" s="182"/>
      <c r="PAR1010" s="182"/>
      <c r="PAS1010" s="182"/>
      <c r="PAT1010" s="182"/>
      <c r="PAU1010" s="182"/>
      <c r="PAV1010" s="182"/>
      <c r="PAW1010" s="182"/>
      <c r="PAX1010" s="182"/>
      <c r="PAY1010" s="182"/>
      <c r="PAZ1010" s="182"/>
      <c r="PBA1010" s="182"/>
      <c r="PBB1010" s="182"/>
      <c r="PBC1010" s="182"/>
      <c r="PBD1010" s="182"/>
      <c r="PBE1010" s="182"/>
      <c r="PBF1010" s="182"/>
      <c r="PBG1010" s="182"/>
      <c r="PBH1010" s="182"/>
      <c r="PBI1010" s="182"/>
      <c r="PBJ1010" s="182"/>
      <c r="PBK1010" s="182"/>
      <c r="PBL1010" s="182"/>
      <c r="PBM1010" s="182"/>
      <c r="PBN1010" s="182"/>
      <c r="PBO1010" s="182"/>
      <c r="PBP1010" s="182"/>
      <c r="PBQ1010" s="182"/>
      <c r="PBR1010" s="182"/>
      <c r="PBS1010" s="182"/>
      <c r="PBT1010" s="182"/>
      <c r="PBU1010" s="182"/>
      <c r="PBV1010" s="182"/>
      <c r="PBW1010" s="182"/>
      <c r="PBX1010" s="182"/>
      <c r="PBY1010" s="182"/>
      <c r="PBZ1010" s="182"/>
      <c r="PCA1010" s="182"/>
      <c r="PCB1010" s="182"/>
      <c r="PCC1010" s="182"/>
      <c r="PCD1010" s="182"/>
      <c r="PCE1010" s="182"/>
      <c r="PCF1010" s="182"/>
      <c r="PCG1010" s="182"/>
      <c r="PCH1010" s="182"/>
      <c r="PCI1010" s="182"/>
      <c r="PCJ1010" s="182"/>
      <c r="PCK1010" s="182"/>
      <c r="PCL1010" s="182"/>
      <c r="PCM1010" s="182"/>
      <c r="PCN1010" s="182"/>
      <c r="PCO1010" s="182"/>
      <c r="PCP1010" s="182"/>
      <c r="PCQ1010" s="182"/>
      <c r="PCR1010" s="182"/>
      <c r="PCS1010" s="182"/>
      <c r="PCT1010" s="182"/>
      <c r="PCU1010" s="182"/>
      <c r="PCV1010" s="182"/>
      <c r="PCW1010" s="182"/>
      <c r="PCX1010" s="182"/>
      <c r="PCY1010" s="182"/>
      <c r="PCZ1010" s="182"/>
      <c r="PDA1010" s="182"/>
      <c r="PDB1010" s="182"/>
      <c r="PDC1010" s="182"/>
      <c r="PDD1010" s="182"/>
      <c r="PDE1010" s="182"/>
      <c r="PDF1010" s="182"/>
      <c r="PDG1010" s="182"/>
      <c r="PDH1010" s="182"/>
      <c r="PDI1010" s="182"/>
      <c r="PDJ1010" s="182"/>
      <c r="PDK1010" s="182"/>
      <c r="PDL1010" s="182"/>
      <c r="PDM1010" s="182"/>
      <c r="PDN1010" s="182"/>
      <c r="PDO1010" s="182"/>
      <c r="PDP1010" s="182"/>
      <c r="PDQ1010" s="182"/>
      <c r="PDR1010" s="182"/>
      <c r="PDS1010" s="182"/>
      <c r="PDT1010" s="182"/>
      <c r="PDU1010" s="182"/>
      <c r="PDV1010" s="182"/>
      <c r="PDW1010" s="182"/>
      <c r="PDX1010" s="182"/>
      <c r="PDY1010" s="182"/>
      <c r="PDZ1010" s="182"/>
      <c r="PEA1010" s="182"/>
      <c r="PEB1010" s="182"/>
      <c r="PEC1010" s="182"/>
      <c r="PED1010" s="182"/>
      <c r="PEE1010" s="182"/>
      <c r="PEF1010" s="182"/>
      <c r="PEG1010" s="182"/>
      <c r="PEH1010" s="182"/>
      <c r="PEI1010" s="182"/>
      <c r="PEJ1010" s="182"/>
      <c r="PEK1010" s="182"/>
      <c r="PEL1010" s="182"/>
      <c r="PEM1010" s="182"/>
      <c r="PEN1010" s="182"/>
      <c r="PEO1010" s="182"/>
      <c r="PEP1010" s="182"/>
      <c r="PEQ1010" s="182"/>
      <c r="PER1010" s="182"/>
      <c r="PES1010" s="182"/>
      <c r="PET1010" s="182"/>
      <c r="PEU1010" s="182"/>
      <c r="PEV1010" s="182"/>
      <c r="PEW1010" s="182"/>
      <c r="PEX1010" s="182"/>
      <c r="PEY1010" s="182"/>
      <c r="PEZ1010" s="182"/>
      <c r="PFA1010" s="182"/>
      <c r="PFB1010" s="182"/>
      <c r="PFC1010" s="182"/>
      <c r="PFD1010" s="182"/>
      <c r="PFE1010" s="182"/>
      <c r="PFF1010" s="182"/>
      <c r="PFG1010" s="182"/>
      <c r="PFH1010" s="182"/>
      <c r="PFI1010" s="182"/>
      <c r="PFJ1010" s="182"/>
      <c r="PFK1010" s="182"/>
      <c r="PFL1010" s="182"/>
      <c r="PFM1010" s="182"/>
      <c r="PFN1010" s="182"/>
      <c r="PFO1010" s="182"/>
      <c r="PFP1010" s="182"/>
      <c r="PFQ1010" s="182"/>
      <c r="PFR1010" s="182"/>
      <c r="PFS1010" s="182"/>
      <c r="PFT1010" s="182"/>
      <c r="PFU1010" s="182"/>
      <c r="PFV1010" s="182"/>
      <c r="PFW1010" s="182"/>
      <c r="PFX1010" s="182"/>
      <c r="PFY1010" s="182"/>
      <c r="PFZ1010" s="182"/>
      <c r="PGA1010" s="182"/>
      <c r="PGB1010" s="182"/>
      <c r="PGC1010" s="182"/>
      <c r="PGD1010" s="182"/>
      <c r="PGE1010" s="182"/>
      <c r="PGF1010" s="182"/>
      <c r="PGG1010" s="182"/>
      <c r="PGH1010" s="182"/>
      <c r="PGI1010" s="182"/>
      <c r="PGJ1010" s="182"/>
      <c r="PGK1010" s="182"/>
      <c r="PGL1010" s="182"/>
      <c r="PGM1010" s="182"/>
      <c r="PGN1010" s="182"/>
      <c r="PGO1010" s="182"/>
      <c r="PGP1010" s="182"/>
      <c r="PGQ1010" s="182"/>
      <c r="PGR1010" s="182"/>
      <c r="PGS1010" s="182"/>
      <c r="PGT1010" s="182"/>
      <c r="PGU1010" s="182"/>
      <c r="PGV1010" s="182"/>
      <c r="PGW1010" s="182"/>
      <c r="PGX1010" s="182"/>
      <c r="PGY1010" s="182"/>
      <c r="PGZ1010" s="182"/>
      <c r="PHA1010" s="182"/>
      <c r="PHB1010" s="182"/>
      <c r="PHC1010" s="182"/>
      <c r="PHD1010" s="182"/>
      <c r="PHE1010" s="182"/>
      <c r="PHF1010" s="182"/>
      <c r="PHG1010" s="182"/>
      <c r="PHH1010" s="182"/>
      <c r="PHI1010" s="182"/>
      <c r="PHJ1010" s="182"/>
      <c r="PHK1010" s="182"/>
      <c r="PHL1010" s="182"/>
      <c r="PHM1010" s="182"/>
      <c r="PHN1010" s="182"/>
      <c r="PHO1010" s="182"/>
      <c r="PHP1010" s="182"/>
      <c r="PHQ1010" s="182"/>
      <c r="PHR1010" s="182"/>
      <c r="PHS1010" s="182"/>
      <c r="PHT1010" s="182"/>
      <c r="PHU1010" s="182"/>
      <c r="PHV1010" s="182"/>
      <c r="PHW1010" s="182"/>
      <c r="PHX1010" s="182"/>
      <c r="PHY1010" s="182"/>
      <c r="PHZ1010" s="182"/>
      <c r="PIA1010" s="182"/>
      <c r="PIB1010" s="182"/>
      <c r="PIC1010" s="182"/>
      <c r="PID1010" s="182"/>
      <c r="PIE1010" s="182"/>
      <c r="PIF1010" s="182"/>
      <c r="PIG1010" s="182"/>
      <c r="PIH1010" s="182"/>
      <c r="PII1010" s="182"/>
      <c r="PIJ1010" s="182"/>
      <c r="PIK1010" s="182"/>
      <c r="PIL1010" s="182"/>
      <c r="PIM1010" s="182"/>
      <c r="PIN1010" s="182"/>
      <c r="PIO1010" s="182"/>
      <c r="PIP1010" s="182"/>
      <c r="PIQ1010" s="182"/>
      <c r="PIR1010" s="182"/>
      <c r="PIS1010" s="182"/>
      <c r="PIT1010" s="182"/>
      <c r="PIU1010" s="182"/>
      <c r="PIV1010" s="182"/>
      <c r="PIW1010" s="182"/>
      <c r="PIX1010" s="182"/>
      <c r="PIY1010" s="182"/>
      <c r="PIZ1010" s="182"/>
      <c r="PJA1010" s="182"/>
      <c r="PJB1010" s="182"/>
      <c r="PJC1010" s="182"/>
      <c r="PJD1010" s="182"/>
      <c r="PJE1010" s="182"/>
      <c r="PJF1010" s="182"/>
      <c r="PJG1010" s="182"/>
      <c r="PJH1010" s="182"/>
      <c r="PJI1010" s="182"/>
      <c r="PJJ1010" s="182"/>
      <c r="PJK1010" s="182"/>
      <c r="PJL1010" s="182"/>
      <c r="PJM1010" s="182"/>
      <c r="PJN1010" s="182"/>
      <c r="PJO1010" s="182"/>
      <c r="PJP1010" s="182"/>
      <c r="PJQ1010" s="182"/>
      <c r="PJR1010" s="182"/>
      <c r="PJS1010" s="182"/>
      <c r="PJT1010" s="182"/>
      <c r="PJU1010" s="182"/>
      <c r="PJV1010" s="182"/>
      <c r="PJW1010" s="182"/>
      <c r="PJX1010" s="182"/>
      <c r="PJY1010" s="182"/>
      <c r="PJZ1010" s="182"/>
      <c r="PKA1010" s="182"/>
      <c r="PKB1010" s="182"/>
      <c r="PKC1010" s="182"/>
      <c r="PKD1010" s="182"/>
      <c r="PKE1010" s="182"/>
      <c r="PKF1010" s="182"/>
      <c r="PKG1010" s="182"/>
      <c r="PKH1010" s="182"/>
      <c r="PKI1010" s="182"/>
      <c r="PKJ1010" s="182"/>
      <c r="PKK1010" s="182"/>
      <c r="PKL1010" s="182"/>
      <c r="PKM1010" s="182"/>
      <c r="PKN1010" s="182"/>
      <c r="PKO1010" s="182"/>
      <c r="PKP1010" s="182"/>
      <c r="PKQ1010" s="182"/>
      <c r="PKR1010" s="182"/>
      <c r="PKS1010" s="182"/>
      <c r="PKT1010" s="182"/>
      <c r="PKU1010" s="182"/>
      <c r="PKV1010" s="182"/>
      <c r="PKW1010" s="182"/>
      <c r="PKX1010" s="182"/>
      <c r="PKY1010" s="182"/>
      <c r="PKZ1010" s="182"/>
      <c r="PLA1010" s="182"/>
      <c r="PLB1010" s="182"/>
      <c r="PLC1010" s="182"/>
      <c r="PLD1010" s="182"/>
      <c r="PLE1010" s="182"/>
      <c r="PLF1010" s="182"/>
      <c r="PLG1010" s="182"/>
      <c r="PLH1010" s="182"/>
      <c r="PLI1010" s="182"/>
      <c r="PLJ1010" s="182"/>
      <c r="PLK1010" s="182"/>
      <c r="PLL1010" s="182"/>
      <c r="PLM1010" s="182"/>
      <c r="PLN1010" s="182"/>
      <c r="PLO1010" s="182"/>
      <c r="PLP1010" s="182"/>
      <c r="PLQ1010" s="182"/>
      <c r="PLR1010" s="182"/>
      <c r="PLS1010" s="182"/>
      <c r="PLT1010" s="182"/>
      <c r="PLU1010" s="182"/>
      <c r="PLV1010" s="182"/>
      <c r="PLW1010" s="182"/>
      <c r="PLX1010" s="182"/>
      <c r="PLY1010" s="182"/>
      <c r="PLZ1010" s="182"/>
      <c r="PMA1010" s="182"/>
      <c r="PMB1010" s="182"/>
      <c r="PMC1010" s="182"/>
      <c r="PMD1010" s="182"/>
      <c r="PME1010" s="182"/>
      <c r="PMF1010" s="182"/>
      <c r="PMG1010" s="182"/>
      <c r="PMH1010" s="182"/>
      <c r="PMI1010" s="182"/>
      <c r="PMJ1010" s="182"/>
      <c r="PMK1010" s="182"/>
      <c r="PML1010" s="182"/>
      <c r="PMM1010" s="182"/>
      <c r="PMN1010" s="182"/>
      <c r="PMO1010" s="182"/>
      <c r="PMP1010" s="182"/>
      <c r="PMQ1010" s="182"/>
      <c r="PMR1010" s="182"/>
      <c r="PMS1010" s="182"/>
      <c r="PMT1010" s="182"/>
      <c r="PMU1010" s="182"/>
      <c r="PMV1010" s="182"/>
      <c r="PMW1010" s="182"/>
      <c r="PMX1010" s="182"/>
      <c r="PMY1010" s="182"/>
      <c r="PMZ1010" s="182"/>
      <c r="PNA1010" s="182"/>
      <c r="PNB1010" s="182"/>
      <c r="PNC1010" s="182"/>
      <c r="PND1010" s="182"/>
      <c r="PNE1010" s="182"/>
      <c r="PNF1010" s="182"/>
      <c r="PNG1010" s="182"/>
      <c r="PNH1010" s="182"/>
      <c r="PNI1010" s="182"/>
      <c r="PNJ1010" s="182"/>
      <c r="PNK1010" s="182"/>
      <c r="PNL1010" s="182"/>
      <c r="PNM1010" s="182"/>
      <c r="PNN1010" s="182"/>
      <c r="PNO1010" s="182"/>
      <c r="PNP1010" s="182"/>
      <c r="PNQ1010" s="182"/>
      <c r="PNR1010" s="182"/>
      <c r="PNS1010" s="182"/>
      <c r="PNT1010" s="182"/>
      <c r="PNU1010" s="182"/>
      <c r="PNV1010" s="182"/>
      <c r="PNW1010" s="182"/>
      <c r="PNX1010" s="182"/>
      <c r="PNY1010" s="182"/>
      <c r="PNZ1010" s="182"/>
      <c r="POA1010" s="182"/>
      <c r="POB1010" s="182"/>
      <c r="POC1010" s="182"/>
      <c r="POD1010" s="182"/>
      <c r="POE1010" s="182"/>
      <c r="POF1010" s="182"/>
      <c r="POG1010" s="182"/>
      <c r="POH1010" s="182"/>
      <c r="POI1010" s="182"/>
      <c r="POJ1010" s="182"/>
      <c r="POK1010" s="182"/>
      <c r="POL1010" s="182"/>
      <c r="POM1010" s="182"/>
      <c r="PON1010" s="182"/>
      <c r="POO1010" s="182"/>
      <c r="POP1010" s="182"/>
      <c r="POQ1010" s="182"/>
      <c r="POR1010" s="182"/>
      <c r="POS1010" s="182"/>
      <c r="POT1010" s="182"/>
      <c r="POU1010" s="182"/>
      <c r="POV1010" s="182"/>
      <c r="POW1010" s="182"/>
      <c r="POX1010" s="182"/>
      <c r="POY1010" s="182"/>
      <c r="POZ1010" s="182"/>
      <c r="PPA1010" s="182"/>
      <c r="PPB1010" s="182"/>
      <c r="PPC1010" s="182"/>
      <c r="PPD1010" s="182"/>
      <c r="PPE1010" s="182"/>
      <c r="PPF1010" s="182"/>
      <c r="PPG1010" s="182"/>
      <c r="PPH1010" s="182"/>
      <c r="PPI1010" s="182"/>
      <c r="PPJ1010" s="182"/>
      <c r="PPK1010" s="182"/>
      <c r="PPL1010" s="182"/>
      <c r="PPM1010" s="182"/>
      <c r="PPN1010" s="182"/>
      <c r="PPO1010" s="182"/>
      <c r="PPP1010" s="182"/>
      <c r="PPQ1010" s="182"/>
      <c r="PPR1010" s="182"/>
      <c r="PPS1010" s="182"/>
      <c r="PPT1010" s="182"/>
      <c r="PPU1010" s="182"/>
      <c r="PPV1010" s="182"/>
      <c r="PPW1010" s="182"/>
      <c r="PPX1010" s="182"/>
      <c r="PPY1010" s="182"/>
      <c r="PPZ1010" s="182"/>
      <c r="PQA1010" s="182"/>
      <c r="PQB1010" s="182"/>
      <c r="PQC1010" s="182"/>
      <c r="PQD1010" s="182"/>
      <c r="PQE1010" s="182"/>
      <c r="PQF1010" s="182"/>
      <c r="PQG1010" s="182"/>
      <c r="PQH1010" s="182"/>
      <c r="PQI1010" s="182"/>
      <c r="PQJ1010" s="182"/>
      <c r="PQK1010" s="182"/>
      <c r="PQL1010" s="182"/>
      <c r="PQM1010" s="182"/>
      <c r="PQN1010" s="182"/>
      <c r="PQO1010" s="182"/>
      <c r="PQP1010" s="182"/>
      <c r="PQQ1010" s="182"/>
      <c r="PQR1010" s="182"/>
      <c r="PQS1010" s="182"/>
      <c r="PQT1010" s="182"/>
      <c r="PQU1010" s="182"/>
      <c r="PQV1010" s="182"/>
      <c r="PQW1010" s="182"/>
      <c r="PQX1010" s="182"/>
      <c r="PQY1010" s="182"/>
      <c r="PQZ1010" s="182"/>
      <c r="PRA1010" s="182"/>
      <c r="PRB1010" s="182"/>
      <c r="PRC1010" s="182"/>
      <c r="PRD1010" s="182"/>
      <c r="PRE1010" s="182"/>
      <c r="PRF1010" s="182"/>
      <c r="PRG1010" s="182"/>
      <c r="PRH1010" s="182"/>
      <c r="PRI1010" s="182"/>
      <c r="PRJ1010" s="182"/>
      <c r="PRK1010" s="182"/>
      <c r="PRL1010" s="182"/>
      <c r="PRM1010" s="182"/>
      <c r="PRN1010" s="182"/>
      <c r="PRO1010" s="182"/>
      <c r="PRP1010" s="182"/>
      <c r="PRQ1010" s="182"/>
      <c r="PRR1010" s="182"/>
      <c r="PRS1010" s="182"/>
      <c r="PRT1010" s="182"/>
      <c r="PRU1010" s="182"/>
      <c r="PRV1010" s="182"/>
      <c r="PRW1010" s="182"/>
      <c r="PRX1010" s="182"/>
      <c r="PRY1010" s="182"/>
      <c r="PRZ1010" s="182"/>
      <c r="PSA1010" s="182"/>
      <c r="PSB1010" s="182"/>
      <c r="PSC1010" s="182"/>
      <c r="PSD1010" s="182"/>
      <c r="PSE1010" s="182"/>
      <c r="PSF1010" s="182"/>
      <c r="PSG1010" s="182"/>
      <c r="PSH1010" s="182"/>
      <c r="PSI1010" s="182"/>
      <c r="PSJ1010" s="182"/>
      <c r="PSK1010" s="182"/>
      <c r="PSL1010" s="182"/>
      <c r="PSM1010" s="182"/>
      <c r="PSN1010" s="182"/>
      <c r="PSO1010" s="182"/>
      <c r="PSP1010" s="182"/>
      <c r="PSQ1010" s="182"/>
      <c r="PSR1010" s="182"/>
      <c r="PSS1010" s="182"/>
      <c r="PST1010" s="182"/>
      <c r="PSU1010" s="182"/>
      <c r="PSV1010" s="182"/>
      <c r="PSW1010" s="182"/>
      <c r="PSX1010" s="182"/>
      <c r="PSY1010" s="182"/>
      <c r="PSZ1010" s="182"/>
      <c r="PTA1010" s="182"/>
      <c r="PTB1010" s="182"/>
      <c r="PTC1010" s="182"/>
      <c r="PTD1010" s="182"/>
      <c r="PTE1010" s="182"/>
      <c r="PTF1010" s="182"/>
      <c r="PTG1010" s="182"/>
      <c r="PTH1010" s="182"/>
      <c r="PTI1010" s="182"/>
      <c r="PTJ1010" s="182"/>
      <c r="PTK1010" s="182"/>
      <c r="PTL1010" s="182"/>
      <c r="PTM1010" s="182"/>
      <c r="PTN1010" s="182"/>
      <c r="PTO1010" s="182"/>
      <c r="PTP1010" s="182"/>
      <c r="PTQ1010" s="182"/>
      <c r="PTR1010" s="182"/>
      <c r="PTS1010" s="182"/>
      <c r="PTT1010" s="182"/>
      <c r="PTU1010" s="182"/>
      <c r="PTV1010" s="182"/>
      <c r="PTW1010" s="182"/>
      <c r="PTX1010" s="182"/>
      <c r="PTY1010" s="182"/>
      <c r="PTZ1010" s="182"/>
      <c r="PUA1010" s="182"/>
      <c r="PUB1010" s="182"/>
      <c r="PUC1010" s="182"/>
      <c r="PUD1010" s="182"/>
      <c r="PUE1010" s="182"/>
      <c r="PUF1010" s="182"/>
      <c r="PUG1010" s="182"/>
      <c r="PUH1010" s="182"/>
      <c r="PUI1010" s="182"/>
      <c r="PUJ1010" s="182"/>
      <c r="PUK1010" s="182"/>
      <c r="PUL1010" s="182"/>
      <c r="PUM1010" s="182"/>
      <c r="PUN1010" s="182"/>
      <c r="PUO1010" s="182"/>
      <c r="PUP1010" s="182"/>
      <c r="PUQ1010" s="182"/>
      <c r="PUR1010" s="182"/>
      <c r="PUS1010" s="182"/>
      <c r="PUT1010" s="182"/>
      <c r="PUU1010" s="182"/>
      <c r="PUV1010" s="182"/>
      <c r="PUW1010" s="182"/>
      <c r="PUX1010" s="182"/>
      <c r="PUY1010" s="182"/>
      <c r="PUZ1010" s="182"/>
      <c r="PVA1010" s="182"/>
      <c r="PVB1010" s="182"/>
      <c r="PVC1010" s="182"/>
      <c r="PVD1010" s="182"/>
      <c r="PVE1010" s="182"/>
      <c r="PVF1010" s="182"/>
      <c r="PVG1010" s="182"/>
      <c r="PVH1010" s="182"/>
      <c r="PVI1010" s="182"/>
      <c r="PVJ1010" s="182"/>
      <c r="PVK1010" s="182"/>
      <c r="PVL1010" s="182"/>
      <c r="PVM1010" s="182"/>
      <c r="PVN1010" s="182"/>
      <c r="PVO1010" s="182"/>
      <c r="PVP1010" s="182"/>
      <c r="PVQ1010" s="182"/>
      <c r="PVR1010" s="182"/>
      <c r="PVS1010" s="182"/>
      <c r="PVT1010" s="182"/>
      <c r="PVU1010" s="182"/>
      <c r="PVV1010" s="182"/>
      <c r="PVW1010" s="182"/>
      <c r="PVX1010" s="182"/>
      <c r="PVY1010" s="182"/>
      <c r="PVZ1010" s="182"/>
      <c r="PWA1010" s="182"/>
      <c r="PWB1010" s="182"/>
      <c r="PWC1010" s="182"/>
      <c r="PWD1010" s="182"/>
      <c r="PWE1010" s="182"/>
      <c r="PWF1010" s="182"/>
      <c r="PWG1010" s="182"/>
      <c r="PWH1010" s="182"/>
      <c r="PWI1010" s="182"/>
      <c r="PWJ1010" s="182"/>
      <c r="PWK1010" s="182"/>
      <c r="PWL1010" s="182"/>
      <c r="PWM1010" s="182"/>
      <c r="PWN1010" s="182"/>
      <c r="PWO1010" s="182"/>
      <c r="PWP1010" s="182"/>
      <c r="PWQ1010" s="182"/>
      <c r="PWR1010" s="182"/>
      <c r="PWS1010" s="182"/>
      <c r="PWT1010" s="182"/>
      <c r="PWU1010" s="182"/>
      <c r="PWV1010" s="182"/>
      <c r="PWW1010" s="182"/>
      <c r="PWX1010" s="182"/>
      <c r="PWY1010" s="182"/>
      <c r="PWZ1010" s="182"/>
      <c r="PXA1010" s="182"/>
      <c r="PXB1010" s="182"/>
      <c r="PXC1010" s="182"/>
      <c r="PXD1010" s="182"/>
      <c r="PXE1010" s="182"/>
      <c r="PXF1010" s="182"/>
      <c r="PXG1010" s="182"/>
      <c r="PXH1010" s="182"/>
      <c r="PXI1010" s="182"/>
      <c r="PXJ1010" s="182"/>
      <c r="PXK1010" s="182"/>
      <c r="PXL1010" s="182"/>
      <c r="PXM1010" s="182"/>
      <c r="PXN1010" s="182"/>
      <c r="PXO1010" s="182"/>
      <c r="PXP1010" s="182"/>
      <c r="PXQ1010" s="182"/>
      <c r="PXR1010" s="182"/>
      <c r="PXS1010" s="182"/>
      <c r="PXT1010" s="182"/>
      <c r="PXU1010" s="182"/>
      <c r="PXV1010" s="182"/>
      <c r="PXW1010" s="182"/>
      <c r="PXX1010" s="182"/>
      <c r="PXY1010" s="182"/>
      <c r="PXZ1010" s="182"/>
      <c r="PYA1010" s="182"/>
      <c r="PYB1010" s="182"/>
      <c r="PYC1010" s="182"/>
      <c r="PYD1010" s="182"/>
      <c r="PYE1010" s="182"/>
      <c r="PYF1010" s="182"/>
      <c r="PYG1010" s="182"/>
      <c r="PYH1010" s="182"/>
      <c r="PYI1010" s="182"/>
      <c r="PYJ1010" s="182"/>
      <c r="PYK1010" s="182"/>
      <c r="PYL1010" s="182"/>
      <c r="PYM1010" s="182"/>
      <c r="PYN1010" s="182"/>
      <c r="PYO1010" s="182"/>
      <c r="PYP1010" s="182"/>
      <c r="PYQ1010" s="182"/>
      <c r="PYR1010" s="182"/>
      <c r="PYS1010" s="182"/>
      <c r="PYT1010" s="182"/>
      <c r="PYU1010" s="182"/>
      <c r="PYV1010" s="182"/>
      <c r="PYW1010" s="182"/>
      <c r="PYX1010" s="182"/>
      <c r="PYY1010" s="182"/>
      <c r="PYZ1010" s="182"/>
      <c r="PZA1010" s="182"/>
      <c r="PZB1010" s="182"/>
      <c r="PZC1010" s="182"/>
      <c r="PZD1010" s="182"/>
      <c r="PZE1010" s="182"/>
      <c r="PZF1010" s="182"/>
      <c r="PZG1010" s="182"/>
      <c r="PZH1010" s="182"/>
      <c r="PZI1010" s="182"/>
      <c r="PZJ1010" s="182"/>
      <c r="PZK1010" s="182"/>
      <c r="PZL1010" s="182"/>
      <c r="PZM1010" s="182"/>
      <c r="PZN1010" s="182"/>
      <c r="PZO1010" s="182"/>
      <c r="PZP1010" s="182"/>
      <c r="PZQ1010" s="182"/>
      <c r="PZR1010" s="182"/>
      <c r="PZS1010" s="182"/>
      <c r="PZT1010" s="182"/>
      <c r="PZU1010" s="182"/>
      <c r="PZV1010" s="182"/>
      <c r="PZW1010" s="182"/>
      <c r="PZX1010" s="182"/>
      <c r="PZY1010" s="182"/>
      <c r="PZZ1010" s="182"/>
      <c r="QAA1010" s="182"/>
      <c r="QAB1010" s="182"/>
      <c r="QAC1010" s="182"/>
      <c r="QAD1010" s="182"/>
      <c r="QAE1010" s="182"/>
      <c r="QAF1010" s="182"/>
      <c r="QAG1010" s="182"/>
      <c r="QAH1010" s="182"/>
      <c r="QAI1010" s="182"/>
      <c r="QAJ1010" s="182"/>
      <c r="QAK1010" s="182"/>
      <c r="QAL1010" s="182"/>
      <c r="QAM1010" s="182"/>
      <c r="QAN1010" s="182"/>
      <c r="QAO1010" s="182"/>
      <c r="QAP1010" s="182"/>
      <c r="QAQ1010" s="182"/>
      <c r="QAR1010" s="182"/>
      <c r="QAS1010" s="182"/>
      <c r="QAT1010" s="182"/>
      <c r="QAU1010" s="182"/>
      <c r="QAV1010" s="182"/>
      <c r="QAW1010" s="182"/>
      <c r="QAX1010" s="182"/>
      <c r="QAY1010" s="182"/>
      <c r="QAZ1010" s="182"/>
      <c r="QBA1010" s="182"/>
      <c r="QBB1010" s="182"/>
      <c r="QBC1010" s="182"/>
      <c r="QBD1010" s="182"/>
      <c r="QBE1010" s="182"/>
      <c r="QBF1010" s="182"/>
      <c r="QBG1010" s="182"/>
      <c r="QBH1010" s="182"/>
      <c r="QBI1010" s="182"/>
      <c r="QBJ1010" s="182"/>
      <c r="QBK1010" s="182"/>
      <c r="QBL1010" s="182"/>
      <c r="QBM1010" s="182"/>
      <c r="QBN1010" s="182"/>
      <c r="QBO1010" s="182"/>
      <c r="QBP1010" s="182"/>
      <c r="QBQ1010" s="182"/>
      <c r="QBR1010" s="182"/>
      <c r="QBS1010" s="182"/>
      <c r="QBT1010" s="182"/>
      <c r="QBU1010" s="182"/>
      <c r="QBV1010" s="182"/>
      <c r="QBW1010" s="182"/>
      <c r="QBX1010" s="182"/>
      <c r="QBY1010" s="182"/>
      <c r="QBZ1010" s="182"/>
      <c r="QCA1010" s="182"/>
      <c r="QCB1010" s="182"/>
      <c r="QCC1010" s="182"/>
      <c r="QCD1010" s="182"/>
      <c r="QCE1010" s="182"/>
      <c r="QCF1010" s="182"/>
      <c r="QCG1010" s="182"/>
      <c r="QCH1010" s="182"/>
      <c r="QCI1010" s="182"/>
      <c r="QCJ1010" s="182"/>
      <c r="QCK1010" s="182"/>
      <c r="QCL1010" s="182"/>
      <c r="QCM1010" s="182"/>
      <c r="QCN1010" s="182"/>
      <c r="QCO1010" s="182"/>
      <c r="QCP1010" s="182"/>
      <c r="QCQ1010" s="182"/>
      <c r="QCR1010" s="182"/>
      <c r="QCS1010" s="182"/>
      <c r="QCT1010" s="182"/>
      <c r="QCU1010" s="182"/>
      <c r="QCV1010" s="182"/>
      <c r="QCW1010" s="182"/>
      <c r="QCX1010" s="182"/>
      <c r="QCY1010" s="182"/>
      <c r="QCZ1010" s="182"/>
      <c r="QDA1010" s="182"/>
      <c r="QDB1010" s="182"/>
      <c r="QDC1010" s="182"/>
      <c r="QDD1010" s="182"/>
      <c r="QDE1010" s="182"/>
      <c r="QDF1010" s="182"/>
      <c r="QDG1010" s="182"/>
      <c r="QDH1010" s="182"/>
      <c r="QDI1010" s="182"/>
      <c r="QDJ1010" s="182"/>
      <c r="QDK1010" s="182"/>
      <c r="QDL1010" s="182"/>
      <c r="QDM1010" s="182"/>
      <c r="QDN1010" s="182"/>
      <c r="QDO1010" s="182"/>
      <c r="QDP1010" s="182"/>
      <c r="QDQ1010" s="182"/>
      <c r="QDR1010" s="182"/>
      <c r="QDS1010" s="182"/>
      <c r="QDT1010" s="182"/>
      <c r="QDU1010" s="182"/>
      <c r="QDV1010" s="182"/>
      <c r="QDW1010" s="182"/>
      <c r="QDX1010" s="182"/>
      <c r="QDY1010" s="182"/>
      <c r="QDZ1010" s="182"/>
      <c r="QEA1010" s="182"/>
      <c r="QEB1010" s="182"/>
      <c r="QEC1010" s="182"/>
      <c r="QED1010" s="182"/>
      <c r="QEE1010" s="182"/>
      <c r="QEF1010" s="182"/>
      <c r="QEG1010" s="182"/>
      <c r="QEH1010" s="182"/>
      <c r="QEI1010" s="182"/>
      <c r="QEJ1010" s="182"/>
      <c r="QEK1010" s="182"/>
      <c r="QEL1010" s="182"/>
      <c r="QEM1010" s="182"/>
      <c r="QEN1010" s="182"/>
      <c r="QEO1010" s="182"/>
      <c r="QEP1010" s="182"/>
      <c r="QEQ1010" s="182"/>
      <c r="QER1010" s="182"/>
      <c r="QES1010" s="182"/>
      <c r="QET1010" s="182"/>
      <c r="QEU1010" s="182"/>
      <c r="QEV1010" s="182"/>
      <c r="QEW1010" s="182"/>
      <c r="QEX1010" s="182"/>
      <c r="QEY1010" s="182"/>
      <c r="QEZ1010" s="182"/>
      <c r="QFA1010" s="182"/>
      <c r="QFB1010" s="182"/>
      <c r="QFC1010" s="182"/>
      <c r="QFD1010" s="182"/>
      <c r="QFE1010" s="182"/>
      <c r="QFF1010" s="182"/>
      <c r="QFG1010" s="182"/>
      <c r="QFH1010" s="182"/>
      <c r="QFI1010" s="182"/>
      <c r="QFJ1010" s="182"/>
      <c r="QFK1010" s="182"/>
      <c r="QFL1010" s="182"/>
      <c r="QFM1010" s="182"/>
      <c r="QFN1010" s="182"/>
      <c r="QFO1010" s="182"/>
      <c r="QFP1010" s="182"/>
      <c r="QFQ1010" s="182"/>
      <c r="QFR1010" s="182"/>
      <c r="QFS1010" s="182"/>
      <c r="QFT1010" s="182"/>
      <c r="QFU1010" s="182"/>
      <c r="QFV1010" s="182"/>
      <c r="QFW1010" s="182"/>
      <c r="QFX1010" s="182"/>
      <c r="QFY1010" s="182"/>
      <c r="QFZ1010" s="182"/>
      <c r="QGA1010" s="182"/>
      <c r="QGB1010" s="182"/>
      <c r="QGC1010" s="182"/>
      <c r="QGD1010" s="182"/>
      <c r="QGE1010" s="182"/>
      <c r="QGF1010" s="182"/>
      <c r="QGG1010" s="182"/>
      <c r="QGH1010" s="182"/>
      <c r="QGI1010" s="182"/>
      <c r="QGJ1010" s="182"/>
      <c r="QGK1010" s="182"/>
      <c r="QGL1010" s="182"/>
      <c r="QGM1010" s="182"/>
      <c r="QGN1010" s="182"/>
      <c r="QGO1010" s="182"/>
      <c r="QGP1010" s="182"/>
      <c r="QGQ1010" s="182"/>
      <c r="QGR1010" s="182"/>
      <c r="QGS1010" s="182"/>
      <c r="QGT1010" s="182"/>
      <c r="QGU1010" s="182"/>
      <c r="QGV1010" s="182"/>
      <c r="QGW1010" s="182"/>
      <c r="QGX1010" s="182"/>
      <c r="QGY1010" s="182"/>
      <c r="QGZ1010" s="182"/>
      <c r="QHA1010" s="182"/>
      <c r="QHB1010" s="182"/>
      <c r="QHC1010" s="182"/>
      <c r="QHD1010" s="182"/>
      <c r="QHE1010" s="182"/>
      <c r="QHF1010" s="182"/>
      <c r="QHG1010" s="182"/>
      <c r="QHH1010" s="182"/>
      <c r="QHI1010" s="182"/>
      <c r="QHJ1010" s="182"/>
      <c r="QHK1010" s="182"/>
      <c r="QHL1010" s="182"/>
      <c r="QHM1010" s="182"/>
      <c r="QHN1010" s="182"/>
      <c r="QHO1010" s="182"/>
      <c r="QHP1010" s="182"/>
      <c r="QHQ1010" s="182"/>
      <c r="QHR1010" s="182"/>
      <c r="QHS1010" s="182"/>
      <c r="QHT1010" s="182"/>
      <c r="QHU1010" s="182"/>
      <c r="QHV1010" s="182"/>
      <c r="QHW1010" s="182"/>
      <c r="QHX1010" s="182"/>
      <c r="QHY1010" s="182"/>
      <c r="QHZ1010" s="182"/>
      <c r="QIA1010" s="182"/>
      <c r="QIB1010" s="182"/>
      <c r="QIC1010" s="182"/>
      <c r="QID1010" s="182"/>
      <c r="QIE1010" s="182"/>
      <c r="QIF1010" s="182"/>
      <c r="QIG1010" s="182"/>
      <c r="QIH1010" s="182"/>
      <c r="QII1010" s="182"/>
      <c r="QIJ1010" s="182"/>
      <c r="QIK1010" s="182"/>
      <c r="QIL1010" s="182"/>
      <c r="QIM1010" s="182"/>
      <c r="QIN1010" s="182"/>
      <c r="QIO1010" s="182"/>
      <c r="QIP1010" s="182"/>
      <c r="QIQ1010" s="182"/>
      <c r="QIR1010" s="182"/>
      <c r="QIS1010" s="182"/>
      <c r="QIT1010" s="182"/>
      <c r="QIU1010" s="182"/>
      <c r="QIV1010" s="182"/>
      <c r="QIW1010" s="182"/>
      <c r="QIX1010" s="182"/>
      <c r="QIY1010" s="182"/>
      <c r="QIZ1010" s="182"/>
      <c r="QJA1010" s="182"/>
      <c r="QJB1010" s="182"/>
      <c r="QJC1010" s="182"/>
      <c r="QJD1010" s="182"/>
      <c r="QJE1010" s="182"/>
      <c r="QJF1010" s="182"/>
      <c r="QJG1010" s="182"/>
      <c r="QJH1010" s="182"/>
      <c r="QJI1010" s="182"/>
      <c r="QJJ1010" s="182"/>
      <c r="QJK1010" s="182"/>
      <c r="QJL1010" s="182"/>
      <c r="QJM1010" s="182"/>
      <c r="QJN1010" s="182"/>
      <c r="QJO1010" s="182"/>
      <c r="QJP1010" s="182"/>
      <c r="QJQ1010" s="182"/>
      <c r="QJR1010" s="182"/>
      <c r="QJS1010" s="182"/>
      <c r="QJT1010" s="182"/>
      <c r="QJU1010" s="182"/>
      <c r="QJV1010" s="182"/>
      <c r="QJW1010" s="182"/>
      <c r="QJX1010" s="182"/>
      <c r="QJY1010" s="182"/>
      <c r="QJZ1010" s="182"/>
      <c r="QKA1010" s="182"/>
      <c r="QKB1010" s="182"/>
      <c r="QKC1010" s="182"/>
      <c r="QKD1010" s="182"/>
      <c r="QKE1010" s="182"/>
      <c r="QKF1010" s="182"/>
      <c r="QKG1010" s="182"/>
      <c r="QKH1010" s="182"/>
      <c r="QKI1010" s="182"/>
      <c r="QKJ1010" s="182"/>
      <c r="QKK1010" s="182"/>
      <c r="QKL1010" s="182"/>
      <c r="QKM1010" s="182"/>
      <c r="QKN1010" s="182"/>
      <c r="QKO1010" s="182"/>
      <c r="QKP1010" s="182"/>
      <c r="QKQ1010" s="182"/>
      <c r="QKR1010" s="182"/>
      <c r="QKS1010" s="182"/>
      <c r="QKT1010" s="182"/>
      <c r="QKU1010" s="182"/>
      <c r="QKV1010" s="182"/>
      <c r="QKW1010" s="182"/>
      <c r="QKX1010" s="182"/>
      <c r="QKY1010" s="182"/>
      <c r="QKZ1010" s="182"/>
      <c r="QLA1010" s="182"/>
      <c r="QLB1010" s="182"/>
      <c r="QLC1010" s="182"/>
      <c r="QLD1010" s="182"/>
      <c r="QLE1010" s="182"/>
      <c r="QLF1010" s="182"/>
      <c r="QLG1010" s="182"/>
      <c r="QLH1010" s="182"/>
      <c r="QLI1010" s="182"/>
      <c r="QLJ1010" s="182"/>
      <c r="QLK1010" s="182"/>
      <c r="QLL1010" s="182"/>
      <c r="QLM1010" s="182"/>
      <c r="QLN1010" s="182"/>
      <c r="QLO1010" s="182"/>
      <c r="QLP1010" s="182"/>
      <c r="QLQ1010" s="182"/>
      <c r="QLR1010" s="182"/>
      <c r="QLS1010" s="182"/>
      <c r="QLT1010" s="182"/>
      <c r="QLU1010" s="182"/>
      <c r="QLV1010" s="182"/>
      <c r="QLW1010" s="182"/>
      <c r="QLX1010" s="182"/>
      <c r="QLY1010" s="182"/>
      <c r="QLZ1010" s="182"/>
      <c r="QMA1010" s="182"/>
      <c r="QMB1010" s="182"/>
      <c r="QMC1010" s="182"/>
      <c r="QMD1010" s="182"/>
      <c r="QME1010" s="182"/>
      <c r="QMF1010" s="182"/>
      <c r="QMG1010" s="182"/>
      <c r="QMH1010" s="182"/>
      <c r="QMI1010" s="182"/>
      <c r="QMJ1010" s="182"/>
      <c r="QMK1010" s="182"/>
      <c r="QML1010" s="182"/>
      <c r="QMM1010" s="182"/>
      <c r="QMN1010" s="182"/>
      <c r="QMO1010" s="182"/>
      <c r="QMP1010" s="182"/>
      <c r="QMQ1010" s="182"/>
      <c r="QMR1010" s="182"/>
      <c r="QMS1010" s="182"/>
      <c r="QMT1010" s="182"/>
      <c r="QMU1010" s="182"/>
      <c r="QMV1010" s="182"/>
      <c r="QMW1010" s="182"/>
      <c r="QMX1010" s="182"/>
      <c r="QMY1010" s="182"/>
      <c r="QMZ1010" s="182"/>
      <c r="QNA1010" s="182"/>
      <c r="QNB1010" s="182"/>
      <c r="QNC1010" s="182"/>
      <c r="QND1010" s="182"/>
      <c r="QNE1010" s="182"/>
      <c r="QNF1010" s="182"/>
      <c r="QNG1010" s="182"/>
      <c r="QNH1010" s="182"/>
      <c r="QNI1010" s="182"/>
      <c r="QNJ1010" s="182"/>
      <c r="QNK1010" s="182"/>
      <c r="QNL1010" s="182"/>
      <c r="QNM1010" s="182"/>
      <c r="QNN1010" s="182"/>
      <c r="QNO1010" s="182"/>
      <c r="QNP1010" s="182"/>
      <c r="QNQ1010" s="182"/>
      <c r="QNR1010" s="182"/>
      <c r="QNS1010" s="182"/>
      <c r="QNT1010" s="182"/>
      <c r="QNU1010" s="182"/>
      <c r="QNV1010" s="182"/>
      <c r="QNW1010" s="182"/>
      <c r="QNX1010" s="182"/>
      <c r="QNY1010" s="182"/>
      <c r="QNZ1010" s="182"/>
      <c r="QOA1010" s="182"/>
      <c r="QOB1010" s="182"/>
      <c r="QOC1010" s="182"/>
      <c r="QOD1010" s="182"/>
      <c r="QOE1010" s="182"/>
      <c r="QOF1010" s="182"/>
      <c r="QOG1010" s="182"/>
      <c r="QOH1010" s="182"/>
      <c r="QOI1010" s="182"/>
      <c r="QOJ1010" s="182"/>
      <c r="QOK1010" s="182"/>
      <c r="QOL1010" s="182"/>
      <c r="QOM1010" s="182"/>
      <c r="QON1010" s="182"/>
      <c r="QOO1010" s="182"/>
      <c r="QOP1010" s="182"/>
      <c r="QOQ1010" s="182"/>
      <c r="QOR1010" s="182"/>
      <c r="QOS1010" s="182"/>
      <c r="QOT1010" s="182"/>
      <c r="QOU1010" s="182"/>
      <c r="QOV1010" s="182"/>
      <c r="QOW1010" s="182"/>
      <c r="QOX1010" s="182"/>
      <c r="QOY1010" s="182"/>
      <c r="QOZ1010" s="182"/>
      <c r="QPA1010" s="182"/>
      <c r="QPB1010" s="182"/>
      <c r="QPC1010" s="182"/>
      <c r="QPD1010" s="182"/>
      <c r="QPE1010" s="182"/>
      <c r="QPF1010" s="182"/>
      <c r="QPG1010" s="182"/>
      <c r="QPH1010" s="182"/>
      <c r="QPI1010" s="182"/>
      <c r="QPJ1010" s="182"/>
      <c r="QPK1010" s="182"/>
      <c r="QPL1010" s="182"/>
      <c r="QPM1010" s="182"/>
      <c r="QPN1010" s="182"/>
      <c r="QPO1010" s="182"/>
      <c r="QPP1010" s="182"/>
      <c r="QPQ1010" s="182"/>
      <c r="QPR1010" s="182"/>
      <c r="QPS1010" s="182"/>
      <c r="QPT1010" s="182"/>
      <c r="QPU1010" s="182"/>
      <c r="QPV1010" s="182"/>
      <c r="QPW1010" s="182"/>
      <c r="QPX1010" s="182"/>
      <c r="QPY1010" s="182"/>
      <c r="QPZ1010" s="182"/>
      <c r="QQA1010" s="182"/>
      <c r="QQB1010" s="182"/>
      <c r="QQC1010" s="182"/>
      <c r="QQD1010" s="182"/>
      <c r="QQE1010" s="182"/>
      <c r="QQF1010" s="182"/>
      <c r="QQG1010" s="182"/>
      <c r="QQH1010" s="182"/>
      <c r="QQI1010" s="182"/>
      <c r="QQJ1010" s="182"/>
      <c r="QQK1010" s="182"/>
      <c r="QQL1010" s="182"/>
      <c r="QQM1010" s="182"/>
      <c r="QQN1010" s="182"/>
      <c r="QQO1010" s="182"/>
      <c r="QQP1010" s="182"/>
      <c r="QQQ1010" s="182"/>
      <c r="QQR1010" s="182"/>
      <c r="QQS1010" s="182"/>
      <c r="QQT1010" s="182"/>
      <c r="QQU1010" s="182"/>
      <c r="QQV1010" s="182"/>
      <c r="QQW1010" s="182"/>
      <c r="QQX1010" s="182"/>
      <c r="QQY1010" s="182"/>
      <c r="QQZ1010" s="182"/>
      <c r="QRA1010" s="182"/>
      <c r="QRB1010" s="182"/>
      <c r="QRC1010" s="182"/>
      <c r="QRD1010" s="182"/>
      <c r="QRE1010" s="182"/>
      <c r="QRF1010" s="182"/>
      <c r="QRG1010" s="182"/>
      <c r="QRH1010" s="182"/>
      <c r="QRI1010" s="182"/>
      <c r="QRJ1010" s="182"/>
      <c r="QRK1010" s="182"/>
      <c r="QRL1010" s="182"/>
      <c r="QRM1010" s="182"/>
      <c r="QRN1010" s="182"/>
      <c r="QRO1010" s="182"/>
      <c r="QRP1010" s="182"/>
      <c r="QRQ1010" s="182"/>
      <c r="QRR1010" s="182"/>
      <c r="QRS1010" s="182"/>
      <c r="QRT1010" s="182"/>
      <c r="QRU1010" s="182"/>
      <c r="QRV1010" s="182"/>
      <c r="QRW1010" s="182"/>
      <c r="QRX1010" s="182"/>
      <c r="QRY1010" s="182"/>
      <c r="QRZ1010" s="182"/>
      <c r="QSA1010" s="182"/>
      <c r="QSB1010" s="182"/>
      <c r="QSC1010" s="182"/>
      <c r="QSD1010" s="182"/>
      <c r="QSE1010" s="182"/>
      <c r="QSF1010" s="182"/>
      <c r="QSG1010" s="182"/>
      <c r="QSH1010" s="182"/>
      <c r="QSI1010" s="182"/>
      <c r="QSJ1010" s="182"/>
      <c r="QSK1010" s="182"/>
      <c r="QSL1010" s="182"/>
      <c r="QSM1010" s="182"/>
      <c r="QSN1010" s="182"/>
      <c r="QSO1010" s="182"/>
      <c r="QSP1010" s="182"/>
      <c r="QSQ1010" s="182"/>
      <c r="QSR1010" s="182"/>
      <c r="QSS1010" s="182"/>
      <c r="QST1010" s="182"/>
      <c r="QSU1010" s="182"/>
      <c r="QSV1010" s="182"/>
      <c r="QSW1010" s="182"/>
      <c r="QSX1010" s="182"/>
      <c r="QSY1010" s="182"/>
      <c r="QSZ1010" s="182"/>
      <c r="QTA1010" s="182"/>
      <c r="QTB1010" s="182"/>
      <c r="QTC1010" s="182"/>
      <c r="QTD1010" s="182"/>
      <c r="QTE1010" s="182"/>
      <c r="QTF1010" s="182"/>
      <c r="QTG1010" s="182"/>
      <c r="QTH1010" s="182"/>
      <c r="QTI1010" s="182"/>
      <c r="QTJ1010" s="182"/>
      <c r="QTK1010" s="182"/>
      <c r="QTL1010" s="182"/>
      <c r="QTM1010" s="182"/>
      <c r="QTN1010" s="182"/>
      <c r="QTO1010" s="182"/>
      <c r="QTP1010" s="182"/>
      <c r="QTQ1010" s="182"/>
      <c r="QTR1010" s="182"/>
      <c r="QTS1010" s="182"/>
      <c r="QTT1010" s="182"/>
      <c r="QTU1010" s="182"/>
      <c r="QTV1010" s="182"/>
      <c r="QTW1010" s="182"/>
      <c r="QTX1010" s="182"/>
      <c r="QTY1010" s="182"/>
      <c r="QTZ1010" s="182"/>
      <c r="QUA1010" s="182"/>
      <c r="QUB1010" s="182"/>
      <c r="QUC1010" s="182"/>
      <c r="QUD1010" s="182"/>
      <c r="QUE1010" s="182"/>
      <c r="QUF1010" s="182"/>
      <c r="QUG1010" s="182"/>
      <c r="QUH1010" s="182"/>
      <c r="QUI1010" s="182"/>
      <c r="QUJ1010" s="182"/>
      <c r="QUK1010" s="182"/>
      <c r="QUL1010" s="182"/>
      <c r="QUM1010" s="182"/>
      <c r="QUN1010" s="182"/>
      <c r="QUO1010" s="182"/>
      <c r="QUP1010" s="182"/>
      <c r="QUQ1010" s="182"/>
      <c r="QUR1010" s="182"/>
      <c r="QUS1010" s="182"/>
      <c r="QUT1010" s="182"/>
      <c r="QUU1010" s="182"/>
      <c r="QUV1010" s="182"/>
      <c r="QUW1010" s="182"/>
      <c r="QUX1010" s="182"/>
      <c r="QUY1010" s="182"/>
      <c r="QUZ1010" s="182"/>
      <c r="QVA1010" s="182"/>
      <c r="QVB1010" s="182"/>
      <c r="QVC1010" s="182"/>
      <c r="QVD1010" s="182"/>
      <c r="QVE1010" s="182"/>
      <c r="QVF1010" s="182"/>
      <c r="QVG1010" s="182"/>
      <c r="QVH1010" s="182"/>
      <c r="QVI1010" s="182"/>
      <c r="QVJ1010" s="182"/>
      <c r="QVK1010" s="182"/>
      <c r="QVL1010" s="182"/>
      <c r="QVM1010" s="182"/>
      <c r="QVN1010" s="182"/>
      <c r="QVO1010" s="182"/>
      <c r="QVP1010" s="182"/>
      <c r="QVQ1010" s="182"/>
      <c r="QVR1010" s="182"/>
      <c r="QVS1010" s="182"/>
      <c r="QVT1010" s="182"/>
      <c r="QVU1010" s="182"/>
      <c r="QVV1010" s="182"/>
      <c r="QVW1010" s="182"/>
      <c r="QVX1010" s="182"/>
      <c r="QVY1010" s="182"/>
      <c r="QVZ1010" s="182"/>
      <c r="QWA1010" s="182"/>
      <c r="QWB1010" s="182"/>
      <c r="QWC1010" s="182"/>
      <c r="QWD1010" s="182"/>
      <c r="QWE1010" s="182"/>
      <c r="QWF1010" s="182"/>
      <c r="QWG1010" s="182"/>
      <c r="QWH1010" s="182"/>
      <c r="QWI1010" s="182"/>
      <c r="QWJ1010" s="182"/>
      <c r="QWK1010" s="182"/>
      <c r="QWL1010" s="182"/>
      <c r="QWM1010" s="182"/>
      <c r="QWN1010" s="182"/>
      <c r="QWO1010" s="182"/>
      <c r="QWP1010" s="182"/>
      <c r="QWQ1010" s="182"/>
      <c r="QWR1010" s="182"/>
      <c r="QWS1010" s="182"/>
      <c r="QWT1010" s="182"/>
      <c r="QWU1010" s="182"/>
      <c r="QWV1010" s="182"/>
      <c r="QWW1010" s="182"/>
      <c r="QWX1010" s="182"/>
      <c r="QWY1010" s="182"/>
      <c r="QWZ1010" s="182"/>
      <c r="QXA1010" s="182"/>
      <c r="QXB1010" s="182"/>
      <c r="QXC1010" s="182"/>
      <c r="QXD1010" s="182"/>
      <c r="QXE1010" s="182"/>
      <c r="QXF1010" s="182"/>
      <c r="QXG1010" s="182"/>
      <c r="QXH1010" s="182"/>
      <c r="QXI1010" s="182"/>
      <c r="QXJ1010" s="182"/>
      <c r="QXK1010" s="182"/>
      <c r="QXL1010" s="182"/>
      <c r="QXM1010" s="182"/>
      <c r="QXN1010" s="182"/>
      <c r="QXO1010" s="182"/>
      <c r="QXP1010" s="182"/>
      <c r="QXQ1010" s="182"/>
      <c r="QXR1010" s="182"/>
      <c r="QXS1010" s="182"/>
      <c r="QXT1010" s="182"/>
      <c r="QXU1010" s="182"/>
      <c r="QXV1010" s="182"/>
      <c r="QXW1010" s="182"/>
      <c r="QXX1010" s="182"/>
      <c r="QXY1010" s="182"/>
      <c r="QXZ1010" s="182"/>
      <c r="QYA1010" s="182"/>
      <c r="QYB1010" s="182"/>
      <c r="QYC1010" s="182"/>
      <c r="QYD1010" s="182"/>
      <c r="QYE1010" s="182"/>
      <c r="QYF1010" s="182"/>
      <c r="QYG1010" s="182"/>
      <c r="QYH1010" s="182"/>
      <c r="QYI1010" s="182"/>
      <c r="QYJ1010" s="182"/>
      <c r="QYK1010" s="182"/>
      <c r="QYL1010" s="182"/>
      <c r="QYM1010" s="182"/>
      <c r="QYN1010" s="182"/>
      <c r="QYO1010" s="182"/>
      <c r="QYP1010" s="182"/>
      <c r="QYQ1010" s="182"/>
      <c r="QYR1010" s="182"/>
      <c r="QYS1010" s="182"/>
      <c r="QYT1010" s="182"/>
      <c r="QYU1010" s="182"/>
      <c r="QYV1010" s="182"/>
      <c r="QYW1010" s="182"/>
      <c r="QYX1010" s="182"/>
      <c r="QYY1010" s="182"/>
      <c r="QYZ1010" s="182"/>
      <c r="QZA1010" s="182"/>
      <c r="QZB1010" s="182"/>
      <c r="QZC1010" s="182"/>
      <c r="QZD1010" s="182"/>
      <c r="QZE1010" s="182"/>
      <c r="QZF1010" s="182"/>
      <c r="QZG1010" s="182"/>
      <c r="QZH1010" s="182"/>
      <c r="QZI1010" s="182"/>
      <c r="QZJ1010" s="182"/>
      <c r="QZK1010" s="182"/>
      <c r="QZL1010" s="182"/>
      <c r="QZM1010" s="182"/>
      <c r="QZN1010" s="182"/>
      <c r="QZO1010" s="182"/>
      <c r="QZP1010" s="182"/>
      <c r="QZQ1010" s="182"/>
      <c r="QZR1010" s="182"/>
      <c r="QZS1010" s="182"/>
      <c r="QZT1010" s="182"/>
      <c r="QZU1010" s="182"/>
      <c r="QZV1010" s="182"/>
      <c r="QZW1010" s="182"/>
      <c r="QZX1010" s="182"/>
      <c r="QZY1010" s="182"/>
      <c r="QZZ1010" s="182"/>
      <c r="RAA1010" s="182"/>
      <c r="RAB1010" s="182"/>
      <c r="RAC1010" s="182"/>
      <c r="RAD1010" s="182"/>
      <c r="RAE1010" s="182"/>
      <c r="RAF1010" s="182"/>
      <c r="RAG1010" s="182"/>
      <c r="RAH1010" s="182"/>
      <c r="RAI1010" s="182"/>
      <c r="RAJ1010" s="182"/>
      <c r="RAK1010" s="182"/>
      <c r="RAL1010" s="182"/>
      <c r="RAM1010" s="182"/>
      <c r="RAN1010" s="182"/>
      <c r="RAO1010" s="182"/>
      <c r="RAP1010" s="182"/>
      <c r="RAQ1010" s="182"/>
      <c r="RAR1010" s="182"/>
      <c r="RAS1010" s="182"/>
      <c r="RAT1010" s="182"/>
      <c r="RAU1010" s="182"/>
      <c r="RAV1010" s="182"/>
      <c r="RAW1010" s="182"/>
      <c r="RAX1010" s="182"/>
      <c r="RAY1010" s="182"/>
      <c r="RAZ1010" s="182"/>
      <c r="RBA1010" s="182"/>
      <c r="RBB1010" s="182"/>
      <c r="RBC1010" s="182"/>
      <c r="RBD1010" s="182"/>
      <c r="RBE1010" s="182"/>
      <c r="RBF1010" s="182"/>
      <c r="RBG1010" s="182"/>
      <c r="RBH1010" s="182"/>
      <c r="RBI1010" s="182"/>
      <c r="RBJ1010" s="182"/>
      <c r="RBK1010" s="182"/>
      <c r="RBL1010" s="182"/>
      <c r="RBM1010" s="182"/>
      <c r="RBN1010" s="182"/>
      <c r="RBO1010" s="182"/>
      <c r="RBP1010" s="182"/>
      <c r="RBQ1010" s="182"/>
      <c r="RBR1010" s="182"/>
      <c r="RBS1010" s="182"/>
      <c r="RBT1010" s="182"/>
      <c r="RBU1010" s="182"/>
      <c r="RBV1010" s="182"/>
      <c r="RBW1010" s="182"/>
      <c r="RBX1010" s="182"/>
      <c r="RBY1010" s="182"/>
      <c r="RBZ1010" s="182"/>
      <c r="RCA1010" s="182"/>
      <c r="RCB1010" s="182"/>
      <c r="RCC1010" s="182"/>
      <c r="RCD1010" s="182"/>
      <c r="RCE1010" s="182"/>
      <c r="RCF1010" s="182"/>
      <c r="RCG1010" s="182"/>
      <c r="RCH1010" s="182"/>
      <c r="RCI1010" s="182"/>
      <c r="RCJ1010" s="182"/>
      <c r="RCK1010" s="182"/>
      <c r="RCL1010" s="182"/>
      <c r="RCM1010" s="182"/>
      <c r="RCN1010" s="182"/>
      <c r="RCO1010" s="182"/>
      <c r="RCP1010" s="182"/>
      <c r="RCQ1010" s="182"/>
      <c r="RCR1010" s="182"/>
      <c r="RCS1010" s="182"/>
      <c r="RCT1010" s="182"/>
      <c r="RCU1010" s="182"/>
      <c r="RCV1010" s="182"/>
      <c r="RCW1010" s="182"/>
      <c r="RCX1010" s="182"/>
      <c r="RCY1010" s="182"/>
      <c r="RCZ1010" s="182"/>
      <c r="RDA1010" s="182"/>
      <c r="RDB1010" s="182"/>
      <c r="RDC1010" s="182"/>
      <c r="RDD1010" s="182"/>
      <c r="RDE1010" s="182"/>
      <c r="RDF1010" s="182"/>
      <c r="RDG1010" s="182"/>
      <c r="RDH1010" s="182"/>
      <c r="RDI1010" s="182"/>
      <c r="RDJ1010" s="182"/>
      <c r="RDK1010" s="182"/>
      <c r="RDL1010" s="182"/>
      <c r="RDM1010" s="182"/>
      <c r="RDN1010" s="182"/>
      <c r="RDO1010" s="182"/>
      <c r="RDP1010" s="182"/>
      <c r="RDQ1010" s="182"/>
      <c r="RDR1010" s="182"/>
      <c r="RDS1010" s="182"/>
      <c r="RDT1010" s="182"/>
      <c r="RDU1010" s="182"/>
      <c r="RDV1010" s="182"/>
      <c r="RDW1010" s="182"/>
      <c r="RDX1010" s="182"/>
      <c r="RDY1010" s="182"/>
      <c r="RDZ1010" s="182"/>
      <c r="REA1010" s="182"/>
      <c r="REB1010" s="182"/>
      <c r="REC1010" s="182"/>
      <c r="RED1010" s="182"/>
      <c r="REE1010" s="182"/>
      <c r="REF1010" s="182"/>
      <c r="REG1010" s="182"/>
      <c r="REH1010" s="182"/>
      <c r="REI1010" s="182"/>
      <c r="REJ1010" s="182"/>
      <c r="REK1010" s="182"/>
      <c r="REL1010" s="182"/>
      <c r="REM1010" s="182"/>
      <c r="REN1010" s="182"/>
      <c r="REO1010" s="182"/>
      <c r="REP1010" s="182"/>
      <c r="REQ1010" s="182"/>
      <c r="RER1010" s="182"/>
      <c r="RES1010" s="182"/>
      <c r="RET1010" s="182"/>
      <c r="REU1010" s="182"/>
      <c r="REV1010" s="182"/>
      <c r="REW1010" s="182"/>
      <c r="REX1010" s="182"/>
      <c r="REY1010" s="182"/>
      <c r="REZ1010" s="182"/>
      <c r="RFA1010" s="182"/>
      <c r="RFB1010" s="182"/>
      <c r="RFC1010" s="182"/>
      <c r="RFD1010" s="182"/>
      <c r="RFE1010" s="182"/>
      <c r="RFF1010" s="182"/>
      <c r="RFG1010" s="182"/>
      <c r="RFH1010" s="182"/>
      <c r="RFI1010" s="182"/>
      <c r="RFJ1010" s="182"/>
      <c r="RFK1010" s="182"/>
      <c r="RFL1010" s="182"/>
      <c r="RFM1010" s="182"/>
      <c r="RFN1010" s="182"/>
      <c r="RFO1010" s="182"/>
      <c r="RFP1010" s="182"/>
      <c r="RFQ1010" s="182"/>
      <c r="RFR1010" s="182"/>
      <c r="RFS1010" s="182"/>
      <c r="RFT1010" s="182"/>
      <c r="RFU1010" s="182"/>
      <c r="RFV1010" s="182"/>
      <c r="RFW1010" s="182"/>
      <c r="RFX1010" s="182"/>
      <c r="RFY1010" s="182"/>
      <c r="RFZ1010" s="182"/>
      <c r="RGA1010" s="182"/>
      <c r="RGB1010" s="182"/>
      <c r="RGC1010" s="182"/>
      <c r="RGD1010" s="182"/>
      <c r="RGE1010" s="182"/>
      <c r="RGF1010" s="182"/>
      <c r="RGG1010" s="182"/>
      <c r="RGH1010" s="182"/>
      <c r="RGI1010" s="182"/>
      <c r="RGJ1010" s="182"/>
      <c r="RGK1010" s="182"/>
      <c r="RGL1010" s="182"/>
      <c r="RGM1010" s="182"/>
      <c r="RGN1010" s="182"/>
      <c r="RGO1010" s="182"/>
      <c r="RGP1010" s="182"/>
      <c r="RGQ1010" s="182"/>
      <c r="RGR1010" s="182"/>
      <c r="RGS1010" s="182"/>
      <c r="RGT1010" s="182"/>
      <c r="RGU1010" s="182"/>
      <c r="RGV1010" s="182"/>
      <c r="RGW1010" s="182"/>
      <c r="RGX1010" s="182"/>
      <c r="RGY1010" s="182"/>
      <c r="RGZ1010" s="182"/>
      <c r="RHA1010" s="182"/>
      <c r="RHB1010" s="182"/>
      <c r="RHC1010" s="182"/>
      <c r="RHD1010" s="182"/>
      <c r="RHE1010" s="182"/>
      <c r="RHF1010" s="182"/>
      <c r="RHG1010" s="182"/>
      <c r="RHH1010" s="182"/>
      <c r="RHI1010" s="182"/>
      <c r="RHJ1010" s="182"/>
      <c r="RHK1010" s="182"/>
      <c r="RHL1010" s="182"/>
      <c r="RHM1010" s="182"/>
      <c r="RHN1010" s="182"/>
      <c r="RHO1010" s="182"/>
      <c r="RHP1010" s="182"/>
      <c r="RHQ1010" s="182"/>
      <c r="RHR1010" s="182"/>
      <c r="RHS1010" s="182"/>
      <c r="RHT1010" s="182"/>
      <c r="RHU1010" s="182"/>
      <c r="RHV1010" s="182"/>
      <c r="RHW1010" s="182"/>
      <c r="RHX1010" s="182"/>
      <c r="RHY1010" s="182"/>
      <c r="RHZ1010" s="182"/>
      <c r="RIA1010" s="182"/>
      <c r="RIB1010" s="182"/>
      <c r="RIC1010" s="182"/>
      <c r="RID1010" s="182"/>
      <c r="RIE1010" s="182"/>
      <c r="RIF1010" s="182"/>
      <c r="RIG1010" s="182"/>
      <c r="RIH1010" s="182"/>
      <c r="RII1010" s="182"/>
      <c r="RIJ1010" s="182"/>
      <c r="RIK1010" s="182"/>
      <c r="RIL1010" s="182"/>
      <c r="RIM1010" s="182"/>
      <c r="RIN1010" s="182"/>
      <c r="RIO1010" s="182"/>
      <c r="RIP1010" s="182"/>
      <c r="RIQ1010" s="182"/>
      <c r="RIR1010" s="182"/>
      <c r="RIS1010" s="182"/>
      <c r="RIT1010" s="182"/>
      <c r="RIU1010" s="182"/>
      <c r="RIV1010" s="182"/>
      <c r="RIW1010" s="182"/>
      <c r="RIX1010" s="182"/>
      <c r="RIY1010" s="182"/>
      <c r="RIZ1010" s="182"/>
      <c r="RJA1010" s="182"/>
      <c r="RJB1010" s="182"/>
      <c r="RJC1010" s="182"/>
      <c r="RJD1010" s="182"/>
      <c r="RJE1010" s="182"/>
      <c r="RJF1010" s="182"/>
      <c r="RJG1010" s="182"/>
      <c r="RJH1010" s="182"/>
      <c r="RJI1010" s="182"/>
      <c r="RJJ1010" s="182"/>
      <c r="RJK1010" s="182"/>
      <c r="RJL1010" s="182"/>
      <c r="RJM1010" s="182"/>
      <c r="RJN1010" s="182"/>
      <c r="RJO1010" s="182"/>
      <c r="RJP1010" s="182"/>
      <c r="RJQ1010" s="182"/>
      <c r="RJR1010" s="182"/>
      <c r="RJS1010" s="182"/>
      <c r="RJT1010" s="182"/>
      <c r="RJU1010" s="182"/>
      <c r="RJV1010" s="182"/>
      <c r="RJW1010" s="182"/>
      <c r="RJX1010" s="182"/>
      <c r="RJY1010" s="182"/>
      <c r="RJZ1010" s="182"/>
      <c r="RKA1010" s="182"/>
      <c r="RKB1010" s="182"/>
      <c r="RKC1010" s="182"/>
      <c r="RKD1010" s="182"/>
      <c r="RKE1010" s="182"/>
      <c r="RKF1010" s="182"/>
      <c r="RKG1010" s="182"/>
      <c r="RKH1010" s="182"/>
      <c r="RKI1010" s="182"/>
      <c r="RKJ1010" s="182"/>
      <c r="RKK1010" s="182"/>
      <c r="RKL1010" s="182"/>
      <c r="RKM1010" s="182"/>
      <c r="RKN1010" s="182"/>
      <c r="RKO1010" s="182"/>
      <c r="RKP1010" s="182"/>
      <c r="RKQ1010" s="182"/>
      <c r="RKR1010" s="182"/>
      <c r="RKS1010" s="182"/>
      <c r="RKT1010" s="182"/>
      <c r="RKU1010" s="182"/>
      <c r="RKV1010" s="182"/>
      <c r="RKW1010" s="182"/>
      <c r="RKX1010" s="182"/>
      <c r="RKY1010" s="182"/>
      <c r="RKZ1010" s="182"/>
      <c r="RLA1010" s="182"/>
      <c r="RLB1010" s="182"/>
      <c r="RLC1010" s="182"/>
      <c r="RLD1010" s="182"/>
      <c r="RLE1010" s="182"/>
      <c r="RLF1010" s="182"/>
      <c r="RLG1010" s="182"/>
      <c r="RLH1010" s="182"/>
      <c r="RLI1010" s="182"/>
      <c r="RLJ1010" s="182"/>
      <c r="RLK1010" s="182"/>
      <c r="RLL1010" s="182"/>
      <c r="RLM1010" s="182"/>
      <c r="RLN1010" s="182"/>
      <c r="RLO1010" s="182"/>
      <c r="RLP1010" s="182"/>
      <c r="RLQ1010" s="182"/>
      <c r="RLR1010" s="182"/>
      <c r="RLS1010" s="182"/>
      <c r="RLT1010" s="182"/>
      <c r="RLU1010" s="182"/>
      <c r="RLV1010" s="182"/>
      <c r="RLW1010" s="182"/>
      <c r="RLX1010" s="182"/>
      <c r="RLY1010" s="182"/>
      <c r="RLZ1010" s="182"/>
      <c r="RMA1010" s="182"/>
      <c r="RMB1010" s="182"/>
      <c r="RMC1010" s="182"/>
      <c r="RMD1010" s="182"/>
      <c r="RME1010" s="182"/>
      <c r="RMF1010" s="182"/>
      <c r="RMG1010" s="182"/>
      <c r="RMH1010" s="182"/>
      <c r="RMI1010" s="182"/>
      <c r="RMJ1010" s="182"/>
      <c r="RMK1010" s="182"/>
      <c r="RML1010" s="182"/>
      <c r="RMM1010" s="182"/>
      <c r="RMN1010" s="182"/>
      <c r="RMO1010" s="182"/>
      <c r="RMP1010" s="182"/>
      <c r="RMQ1010" s="182"/>
      <c r="RMR1010" s="182"/>
      <c r="RMS1010" s="182"/>
      <c r="RMT1010" s="182"/>
      <c r="RMU1010" s="182"/>
      <c r="RMV1010" s="182"/>
      <c r="RMW1010" s="182"/>
      <c r="RMX1010" s="182"/>
      <c r="RMY1010" s="182"/>
      <c r="RMZ1010" s="182"/>
      <c r="RNA1010" s="182"/>
      <c r="RNB1010" s="182"/>
      <c r="RNC1010" s="182"/>
      <c r="RND1010" s="182"/>
      <c r="RNE1010" s="182"/>
      <c r="RNF1010" s="182"/>
      <c r="RNG1010" s="182"/>
      <c r="RNH1010" s="182"/>
      <c r="RNI1010" s="182"/>
      <c r="RNJ1010" s="182"/>
      <c r="RNK1010" s="182"/>
      <c r="RNL1010" s="182"/>
      <c r="RNM1010" s="182"/>
      <c r="RNN1010" s="182"/>
      <c r="RNO1010" s="182"/>
      <c r="RNP1010" s="182"/>
      <c r="RNQ1010" s="182"/>
      <c r="RNR1010" s="182"/>
      <c r="RNS1010" s="182"/>
      <c r="RNT1010" s="182"/>
      <c r="RNU1010" s="182"/>
      <c r="RNV1010" s="182"/>
      <c r="RNW1010" s="182"/>
      <c r="RNX1010" s="182"/>
      <c r="RNY1010" s="182"/>
      <c r="RNZ1010" s="182"/>
      <c r="ROA1010" s="182"/>
      <c r="ROB1010" s="182"/>
      <c r="ROC1010" s="182"/>
      <c r="ROD1010" s="182"/>
      <c r="ROE1010" s="182"/>
      <c r="ROF1010" s="182"/>
      <c r="ROG1010" s="182"/>
      <c r="ROH1010" s="182"/>
      <c r="ROI1010" s="182"/>
      <c r="ROJ1010" s="182"/>
      <c r="ROK1010" s="182"/>
      <c r="ROL1010" s="182"/>
      <c r="ROM1010" s="182"/>
      <c r="RON1010" s="182"/>
      <c r="ROO1010" s="182"/>
      <c r="ROP1010" s="182"/>
      <c r="ROQ1010" s="182"/>
      <c r="ROR1010" s="182"/>
      <c r="ROS1010" s="182"/>
      <c r="ROT1010" s="182"/>
      <c r="ROU1010" s="182"/>
      <c r="ROV1010" s="182"/>
      <c r="ROW1010" s="182"/>
      <c r="ROX1010" s="182"/>
      <c r="ROY1010" s="182"/>
      <c r="ROZ1010" s="182"/>
      <c r="RPA1010" s="182"/>
      <c r="RPB1010" s="182"/>
      <c r="RPC1010" s="182"/>
      <c r="RPD1010" s="182"/>
      <c r="RPE1010" s="182"/>
      <c r="RPF1010" s="182"/>
      <c r="RPG1010" s="182"/>
      <c r="RPH1010" s="182"/>
      <c r="RPI1010" s="182"/>
      <c r="RPJ1010" s="182"/>
      <c r="RPK1010" s="182"/>
      <c r="RPL1010" s="182"/>
      <c r="RPM1010" s="182"/>
      <c r="RPN1010" s="182"/>
      <c r="RPO1010" s="182"/>
      <c r="RPP1010" s="182"/>
      <c r="RPQ1010" s="182"/>
      <c r="RPR1010" s="182"/>
      <c r="RPS1010" s="182"/>
      <c r="RPT1010" s="182"/>
      <c r="RPU1010" s="182"/>
      <c r="RPV1010" s="182"/>
      <c r="RPW1010" s="182"/>
      <c r="RPX1010" s="182"/>
      <c r="RPY1010" s="182"/>
      <c r="RPZ1010" s="182"/>
      <c r="RQA1010" s="182"/>
      <c r="RQB1010" s="182"/>
      <c r="RQC1010" s="182"/>
      <c r="RQD1010" s="182"/>
      <c r="RQE1010" s="182"/>
      <c r="RQF1010" s="182"/>
      <c r="RQG1010" s="182"/>
      <c r="RQH1010" s="182"/>
      <c r="RQI1010" s="182"/>
      <c r="RQJ1010" s="182"/>
      <c r="RQK1010" s="182"/>
      <c r="RQL1010" s="182"/>
      <c r="RQM1010" s="182"/>
      <c r="RQN1010" s="182"/>
      <c r="RQO1010" s="182"/>
      <c r="RQP1010" s="182"/>
      <c r="RQQ1010" s="182"/>
      <c r="RQR1010" s="182"/>
      <c r="RQS1010" s="182"/>
      <c r="RQT1010" s="182"/>
      <c r="RQU1010" s="182"/>
      <c r="RQV1010" s="182"/>
      <c r="RQW1010" s="182"/>
      <c r="RQX1010" s="182"/>
      <c r="RQY1010" s="182"/>
      <c r="RQZ1010" s="182"/>
      <c r="RRA1010" s="182"/>
      <c r="RRB1010" s="182"/>
      <c r="RRC1010" s="182"/>
      <c r="RRD1010" s="182"/>
      <c r="RRE1010" s="182"/>
      <c r="RRF1010" s="182"/>
      <c r="RRG1010" s="182"/>
      <c r="RRH1010" s="182"/>
      <c r="RRI1010" s="182"/>
      <c r="RRJ1010" s="182"/>
      <c r="RRK1010" s="182"/>
      <c r="RRL1010" s="182"/>
      <c r="RRM1010" s="182"/>
      <c r="RRN1010" s="182"/>
      <c r="RRO1010" s="182"/>
      <c r="RRP1010" s="182"/>
      <c r="RRQ1010" s="182"/>
      <c r="RRR1010" s="182"/>
      <c r="RRS1010" s="182"/>
      <c r="RRT1010" s="182"/>
      <c r="RRU1010" s="182"/>
      <c r="RRV1010" s="182"/>
      <c r="RRW1010" s="182"/>
      <c r="RRX1010" s="182"/>
      <c r="RRY1010" s="182"/>
      <c r="RRZ1010" s="182"/>
      <c r="RSA1010" s="182"/>
      <c r="RSB1010" s="182"/>
      <c r="RSC1010" s="182"/>
      <c r="RSD1010" s="182"/>
      <c r="RSE1010" s="182"/>
      <c r="RSF1010" s="182"/>
      <c r="RSG1010" s="182"/>
      <c r="RSH1010" s="182"/>
      <c r="RSI1010" s="182"/>
      <c r="RSJ1010" s="182"/>
      <c r="RSK1010" s="182"/>
      <c r="RSL1010" s="182"/>
      <c r="RSM1010" s="182"/>
      <c r="RSN1010" s="182"/>
      <c r="RSO1010" s="182"/>
      <c r="RSP1010" s="182"/>
      <c r="RSQ1010" s="182"/>
      <c r="RSR1010" s="182"/>
      <c r="RSS1010" s="182"/>
      <c r="RST1010" s="182"/>
      <c r="RSU1010" s="182"/>
      <c r="RSV1010" s="182"/>
      <c r="RSW1010" s="182"/>
      <c r="RSX1010" s="182"/>
      <c r="RSY1010" s="182"/>
      <c r="RSZ1010" s="182"/>
      <c r="RTA1010" s="182"/>
      <c r="RTB1010" s="182"/>
      <c r="RTC1010" s="182"/>
      <c r="RTD1010" s="182"/>
      <c r="RTE1010" s="182"/>
      <c r="RTF1010" s="182"/>
      <c r="RTG1010" s="182"/>
      <c r="RTH1010" s="182"/>
      <c r="RTI1010" s="182"/>
      <c r="RTJ1010" s="182"/>
      <c r="RTK1010" s="182"/>
      <c r="RTL1010" s="182"/>
      <c r="RTM1010" s="182"/>
      <c r="RTN1010" s="182"/>
      <c r="RTO1010" s="182"/>
      <c r="RTP1010" s="182"/>
      <c r="RTQ1010" s="182"/>
      <c r="RTR1010" s="182"/>
      <c r="RTS1010" s="182"/>
      <c r="RTT1010" s="182"/>
      <c r="RTU1010" s="182"/>
      <c r="RTV1010" s="182"/>
      <c r="RTW1010" s="182"/>
      <c r="RTX1010" s="182"/>
      <c r="RTY1010" s="182"/>
      <c r="RTZ1010" s="182"/>
      <c r="RUA1010" s="182"/>
      <c r="RUB1010" s="182"/>
      <c r="RUC1010" s="182"/>
      <c r="RUD1010" s="182"/>
      <c r="RUE1010" s="182"/>
      <c r="RUF1010" s="182"/>
      <c r="RUG1010" s="182"/>
      <c r="RUH1010" s="182"/>
      <c r="RUI1010" s="182"/>
      <c r="RUJ1010" s="182"/>
      <c r="RUK1010" s="182"/>
      <c r="RUL1010" s="182"/>
      <c r="RUM1010" s="182"/>
      <c r="RUN1010" s="182"/>
      <c r="RUO1010" s="182"/>
      <c r="RUP1010" s="182"/>
      <c r="RUQ1010" s="182"/>
      <c r="RUR1010" s="182"/>
      <c r="RUS1010" s="182"/>
      <c r="RUT1010" s="182"/>
      <c r="RUU1010" s="182"/>
      <c r="RUV1010" s="182"/>
      <c r="RUW1010" s="182"/>
      <c r="RUX1010" s="182"/>
      <c r="RUY1010" s="182"/>
      <c r="RUZ1010" s="182"/>
      <c r="RVA1010" s="182"/>
      <c r="RVB1010" s="182"/>
      <c r="RVC1010" s="182"/>
      <c r="RVD1010" s="182"/>
      <c r="RVE1010" s="182"/>
      <c r="RVF1010" s="182"/>
      <c r="RVG1010" s="182"/>
      <c r="RVH1010" s="182"/>
      <c r="RVI1010" s="182"/>
      <c r="RVJ1010" s="182"/>
      <c r="RVK1010" s="182"/>
      <c r="RVL1010" s="182"/>
      <c r="RVM1010" s="182"/>
      <c r="RVN1010" s="182"/>
      <c r="RVO1010" s="182"/>
      <c r="RVP1010" s="182"/>
      <c r="RVQ1010" s="182"/>
      <c r="RVR1010" s="182"/>
      <c r="RVS1010" s="182"/>
      <c r="RVT1010" s="182"/>
      <c r="RVU1010" s="182"/>
      <c r="RVV1010" s="182"/>
      <c r="RVW1010" s="182"/>
      <c r="RVX1010" s="182"/>
      <c r="RVY1010" s="182"/>
      <c r="RVZ1010" s="182"/>
      <c r="RWA1010" s="182"/>
      <c r="RWB1010" s="182"/>
      <c r="RWC1010" s="182"/>
      <c r="RWD1010" s="182"/>
      <c r="RWE1010" s="182"/>
      <c r="RWF1010" s="182"/>
      <c r="RWG1010" s="182"/>
      <c r="RWH1010" s="182"/>
      <c r="RWI1010" s="182"/>
      <c r="RWJ1010" s="182"/>
      <c r="RWK1010" s="182"/>
      <c r="RWL1010" s="182"/>
      <c r="RWM1010" s="182"/>
      <c r="RWN1010" s="182"/>
      <c r="RWO1010" s="182"/>
      <c r="RWP1010" s="182"/>
      <c r="RWQ1010" s="182"/>
      <c r="RWR1010" s="182"/>
      <c r="RWS1010" s="182"/>
      <c r="RWT1010" s="182"/>
      <c r="RWU1010" s="182"/>
      <c r="RWV1010" s="182"/>
      <c r="RWW1010" s="182"/>
      <c r="RWX1010" s="182"/>
      <c r="RWY1010" s="182"/>
      <c r="RWZ1010" s="182"/>
      <c r="RXA1010" s="182"/>
      <c r="RXB1010" s="182"/>
      <c r="RXC1010" s="182"/>
      <c r="RXD1010" s="182"/>
      <c r="RXE1010" s="182"/>
      <c r="RXF1010" s="182"/>
      <c r="RXG1010" s="182"/>
      <c r="RXH1010" s="182"/>
      <c r="RXI1010" s="182"/>
      <c r="RXJ1010" s="182"/>
      <c r="RXK1010" s="182"/>
      <c r="RXL1010" s="182"/>
      <c r="RXM1010" s="182"/>
      <c r="RXN1010" s="182"/>
      <c r="RXO1010" s="182"/>
      <c r="RXP1010" s="182"/>
      <c r="RXQ1010" s="182"/>
      <c r="RXR1010" s="182"/>
      <c r="RXS1010" s="182"/>
      <c r="RXT1010" s="182"/>
      <c r="RXU1010" s="182"/>
      <c r="RXV1010" s="182"/>
      <c r="RXW1010" s="182"/>
      <c r="RXX1010" s="182"/>
      <c r="RXY1010" s="182"/>
      <c r="RXZ1010" s="182"/>
      <c r="RYA1010" s="182"/>
      <c r="RYB1010" s="182"/>
      <c r="RYC1010" s="182"/>
      <c r="RYD1010" s="182"/>
      <c r="RYE1010" s="182"/>
      <c r="RYF1010" s="182"/>
      <c r="RYG1010" s="182"/>
      <c r="RYH1010" s="182"/>
      <c r="RYI1010" s="182"/>
      <c r="RYJ1010" s="182"/>
      <c r="RYK1010" s="182"/>
      <c r="RYL1010" s="182"/>
      <c r="RYM1010" s="182"/>
      <c r="RYN1010" s="182"/>
      <c r="RYO1010" s="182"/>
      <c r="RYP1010" s="182"/>
      <c r="RYQ1010" s="182"/>
      <c r="RYR1010" s="182"/>
      <c r="RYS1010" s="182"/>
      <c r="RYT1010" s="182"/>
      <c r="RYU1010" s="182"/>
      <c r="RYV1010" s="182"/>
      <c r="RYW1010" s="182"/>
      <c r="RYX1010" s="182"/>
      <c r="RYY1010" s="182"/>
      <c r="RYZ1010" s="182"/>
      <c r="RZA1010" s="182"/>
      <c r="RZB1010" s="182"/>
      <c r="RZC1010" s="182"/>
      <c r="RZD1010" s="182"/>
      <c r="RZE1010" s="182"/>
      <c r="RZF1010" s="182"/>
      <c r="RZG1010" s="182"/>
      <c r="RZH1010" s="182"/>
      <c r="RZI1010" s="182"/>
      <c r="RZJ1010" s="182"/>
      <c r="RZK1010" s="182"/>
      <c r="RZL1010" s="182"/>
      <c r="RZM1010" s="182"/>
      <c r="RZN1010" s="182"/>
      <c r="RZO1010" s="182"/>
      <c r="RZP1010" s="182"/>
      <c r="RZQ1010" s="182"/>
      <c r="RZR1010" s="182"/>
      <c r="RZS1010" s="182"/>
      <c r="RZT1010" s="182"/>
      <c r="RZU1010" s="182"/>
      <c r="RZV1010" s="182"/>
      <c r="RZW1010" s="182"/>
      <c r="RZX1010" s="182"/>
      <c r="RZY1010" s="182"/>
      <c r="RZZ1010" s="182"/>
      <c r="SAA1010" s="182"/>
      <c r="SAB1010" s="182"/>
      <c r="SAC1010" s="182"/>
      <c r="SAD1010" s="182"/>
      <c r="SAE1010" s="182"/>
      <c r="SAF1010" s="182"/>
      <c r="SAG1010" s="182"/>
      <c r="SAH1010" s="182"/>
      <c r="SAI1010" s="182"/>
      <c r="SAJ1010" s="182"/>
      <c r="SAK1010" s="182"/>
      <c r="SAL1010" s="182"/>
      <c r="SAM1010" s="182"/>
      <c r="SAN1010" s="182"/>
      <c r="SAO1010" s="182"/>
      <c r="SAP1010" s="182"/>
      <c r="SAQ1010" s="182"/>
      <c r="SAR1010" s="182"/>
      <c r="SAS1010" s="182"/>
      <c r="SAT1010" s="182"/>
      <c r="SAU1010" s="182"/>
      <c r="SAV1010" s="182"/>
      <c r="SAW1010" s="182"/>
      <c r="SAX1010" s="182"/>
      <c r="SAY1010" s="182"/>
      <c r="SAZ1010" s="182"/>
      <c r="SBA1010" s="182"/>
      <c r="SBB1010" s="182"/>
      <c r="SBC1010" s="182"/>
      <c r="SBD1010" s="182"/>
      <c r="SBE1010" s="182"/>
      <c r="SBF1010" s="182"/>
      <c r="SBG1010" s="182"/>
      <c r="SBH1010" s="182"/>
      <c r="SBI1010" s="182"/>
      <c r="SBJ1010" s="182"/>
      <c r="SBK1010" s="182"/>
      <c r="SBL1010" s="182"/>
      <c r="SBM1010" s="182"/>
      <c r="SBN1010" s="182"/>
      <c r="SBO1010" s="182"/>
      <c r="SBP1010" s="182"/>
      <c r="SBQ1010" s="182"/>
      <c r="SBR1010" s="182"/>
      <c r="SBS1010" s="182"/>
      <c r="SBT1010" s="182"/>
      <c r="SBU1010" s="182"/>
      <c r="SBV1010" s="182"/>
      <c r="SBW1010" s="182"/>
      <c r="SBX1010" s="182"/>
      <c r="SBY1010" s="182"/>
      <c r="SBZ1010" s="182"/>
      <c r="SCA1010" s="182"/>
      <c r="SCB1010" s="182"/>
      <c r="SCC1010" s="182"/>
      <c r="SCD1010" s="182"/>
      <c r="SCE1010" s="182"/>
      <c r="SCF1010" s="182"/>
      <c r="SCG1010" s="182"/>
      <c r="SCH1010" s="182"/>
      <c r="SCI1010" s="182"/>
      <c r="SCJ1010" s="182"/>
      <c r="SCK1010" s="182"/>
      <c r="SCL1010" s="182"/>
      <c r="SCM1010" s="182"/>
      <c r="SCN1010" s="182"/>
      <c r="SCO1010" s="182"/>
      <c r="SCP1010" s="182"/>
      <c r="SCQ1010" s="182"/>
      <c r="SCR1010" s="182"/>
      <c r="SCS1010" s="182"/>
      <c r="SCT1010" s="182"/>
      <c r="SCU1010" s="182"/>
      <c r="SCV1010" s="182"/>
      <c r="SCW1010" s="182"/>
      <c r="SCX1010" s="182"/>
      <c r="SCY1010" s="182"/>
      <c r="SCZ1010" s="182"/>
      <c r="SDA1010" s="182"/>
      <c r="SDB1010" s="182"/>
      <c r="SDC1010" s="182"/>
      <c r="SDD1010" s="182"/>
      <c r="SDE1010" s="182"/>
      <c r="SDF1010" s="182"/>
      <c r="SDG1010" s="182"/>
      <c r="SDH1010" s="182"/>
      <c r="SDI1010" s="182"/>
      <c r="SDJ1010" s="182"/>
      <c r="SDK1010" s="182"/>
      <c r="SDL1010" s="182"/>
      <c r="SDM1010" s="182"/>
      <c r="SDN1010" s="182"/>
      <c r="SDO1010" s="182"/>
      <c r="SDP1010" s="182"/>
      <c r="SDQ1010" s="182"/>
      <c r="SDR1010" s="182"/>
      <c r="SDS1010" s="182"/>
      <c r="SDT1010" s="182"/>
      <c r="SDU1010" s="182"/>
      <c r="SDV1010" s="182"/>
      <c r="SDW1010" s="182"/>
      <c r="SDX1010" s="182"/>
      <c r="SDY1010" s="182"/>
      <c r="SDZ1010" s="182"/>
      <c r="SEA1010" s="182"/>
      <c r="SEB1010" s="182"/>
      <c r="SEC1010" s="182"/>
      <c r="SED1010" s="182"/>
      <c r="SEE1010" s="182"/>
      <c r="SEF1010" s="182"/>
      <c r="SEG1010" s="182"/>
      <c r="SEH1010" s="182"/>
      <c r="SEI1010" s="182"/>
      <c r="SEJ1010" s="182"/>
      <c r="SEK1010" s="182"/>
      <c r="SEL1010" s="182"/>
      <c r="SEM1010" s="182"/>
      <c r="SEN1010" s="182"/>
      <c r="SEO1010" s="182"/>
      <c r="SEP1010" s="182"/>
      <c r="SEQ1010" s="182"/>
      <c r="SER1010" s="182"/>
      <c r="SES1010" s="182"/>
      <c r="SET1010" s="182"/>
      <c r="SEU1010" s="182"/>
      <c r="SEV1010" s="182"/>
      <c r="SEW1010" s="182"/>
      <c r="SEX1010" s="182"/>
      <c r="SEY1010" s="182"/>
      <c r="SEZ1010" s="182"/>
      <c r="SFA1010" s="182"/>
      <c r="SFB1010" s="182"/>
      <c r="SFC1010" s="182"/>
      <c r="SFD1010" s="182"/>
      <c r="SFE1010" s="182"/>
      <c r="SFF1010" s="182"/>
      <c r="SFG1010" s="182"/>
      <c r="SFH1010" s="182"/>
      <c r="SFI1010" s="182"/>
      <c r="SFJ1010" s="182"/>
      <c r="SFK1010" s="182"/>
      <c r="SFL1010" s="182"/>
      <c r="SFM1010" s="182"/>
      <c r="SFN1010" s="182"/>
      <c r="SFO1010" s="182"/>
      <c r="SFP1010" s="182"/>
      <c r="SFQ1010" s="182"/>
      <c r="SFR1010" s="182"/>
      <c r="SFS1010" s="182"/>
      <c r="SFT1010" s="182"/>
      <c r="SFU1010" s="182"/>
      <c r="SFV1010" s="182"/>
      <c r="SFW1010" s="182"/>
      <c r="SFX1010" s="182"/>
      <c r="SFY1010" s="182"/>
      <c r="SFZ1010" s="182"/>
      <c r="SGA1010" s="182"/>
      <c r="SGB1010" s="182"/>
      <c r="SGC1010" s="182"/>
      <c r="SGD1010" s="182"/>
      <c r="SGE1010" s="182"/>
      <c r="SGF1010" s="182"/>
      <c r="SGG1010" s="182"/>
      <c r="SGH1010" s="182"/>
      <c r="SGI1010" s="182"/>
      <c r="SGJ1010" s="182"/>
      <c r="SGK1010" s="182"/>
      <c r="SGL1010" s="182"/>
      <c r="SGM1010" s="182"/>
      <c r="SGN1010" s="182"/>
      <c r="SGO1010" s="182"/>
      <c r="SGP1010" s="182"/>
      <c r="SGQ1010" s="182"/>
      <c r="SGR1010" s="182"/>
      <c r="SGS1010" s="182"/>
      <c r="SGT1010" s="182"/>
      <c r="SGU1010" s="182"/>
      <c r="SGV1010" s="182"/>
      <c r="SGW1010" s="182"/>
      <c r="SGX1010" s="182"/>
      <c r="SGY1010" s="182"/>
      <c r="SGZ1010" s="182"/>
      <c r="SHA1010" s="182"/>
      <c r="SHB1010" s="182"/>
      <c r="SHC1010" s="182"/>
      <c r="SHD1010" s="182"/>
      <c r="SHE1010" s="182"/>
      <c r="SHF1010" s="182"/>
      <c r="SHG1010" s="182"/>
      <c r="SHH1010" s="182"/>
      <c r="SHI1010" s="182"/>
      <c r="SHJ1010" s="182"/>
      <c r="SHK1010" s="182"/>
      <c r="SHL1010" s="182"/>
      <c r="SHM1010" s="182"/>
      <c r="SHN1010" s="182"/>
      <c r="SHO1010" s="182"/>
      <c r="SHP1010" s="182"/>
      <c r="SHQ1010" s="182"/>
      <c r="SHR1010" s="182"/>
      <c r="SHS1010" s="182"/>
      <c r="SHT1010" s="182"/>
      <c r="SHU1010" s="182"/>
      <c r="SHV1010" s="182"/>
      <c r="SHW1010" s="182"/>
      <c r="SHX1010" s="182"/>
      <c r="SHY1010" s="182"/>
      <c r="SHZ1010" s="182"/>
      <c r="SIA1010" s="182"/>
      <c r="SIB1010" s="182"/>
      <c r="SIC1010" s="182"/>
      <c r="SID1010" s="182"/>
      <c r="SIE1010" s="182"/>
      <c r="SIF1010" s="182"/>
      <c r="SIG1010" s="182"/>
      <c r="SIH1010" s="182"/>
      <c r="SII1010" s="182"/>
      <c r="SIJ1010" s="182"/>
      <c r="SIK1010" s="182"/>
      <c r="SIL1010" s="182"/>
      <c r="SIM1010" s="182"/>
      <c r="SIN1010" s="182"/>
      <c r="SIO1010" s="182"/>
      <c r="SIP1010" s="182"/>
      <c r="SIQ1010" s="182"/>
      <c r="SIR1010" s="182"/>
      <c r="SIS1010" s="182"/>
      <c r="SIT1010" s="182"/>
      <c r="SIU1010" s="182"/>
      <c r="SIV1010" s="182"/>
      <c r="SIW1010" s="182"/>
      <c r="SIX1010" s="182"/>
      <c r="SIY1010" s="182"/>
      <c r="SIZ1010" s="182"/>
      <c r="SJA1010" s="182"/>
      <c r="SJB1010" s="182"/>
      <c r="SJC1010" s="182"/>
      <c r="SJD1010" s="182"/>
      <c r="SJE1010" s="182"/>
      <c r="SJF1010" s="182"/>
      <c r="SJG1010" s="182"/>
      <c r="SJH1010" s="182"/>
      <c r="SJI1010" s="182"/>
      <c r="SJJ1010" s="182"/>
      <c r="SJK1010" s="182"/>
      <c r="SJL1010" s="182"/>
      <c r="SJM1010" s="182"/>
      <c r="SJN1010" s="182"/>
      <c r="SJO1010" s="182"/>
      <c r="SJP1010" s="182"/>
      <c r="SJQ1010" s="182"/>
      <c r="SJR1010" s="182"/>
      <c r="SJS1010" s="182"/>
      <c r="SJT1010" s="182"/>
      <c r="SJU1010" s="182"/>
      <c r="SJV1010" s="182"/>
      <c r="SJW1010" s="182"/>
      <c r="SJX1010" s="182"/>
      <c r="SJY1010" s="182"/>
      <c r="SJZ1010" s="182"/>
      <c r="SKA1010" s="182"/>
      <c r="SKB1010" s="182"/>
      <c r="SKC1010" s="182"/>
      <c r="SKD1010" s="182"/>
      <c r="SKE1010" s="182"/>
      <c r="SKF1010" s="182"/>
      <c r="SKG1010" s="182"/>
      <c r="SKH1010" s="182"/>
      <c r="SKI1010" s="182"/>
      <c r="SKJ1010" s="182"/>
      <c r="SKK1010" s="182"/>
      <c r="SKL1010" s="182"/>
      <c r="SKM1010" s="182"/>
      <c r="SKN1010" s="182"/>
      <c r="SKO1010" s="182"/>
      <c r="SKP1010" s="182"/>
      <c r="SKQ1010" s="182"/>
      <c r="SKR1010" s="182"/>
      <c r="SKS1010" s="182"/>
      <c r="SKT1010" s="182"/>
      <c r="SKU1010" s="182"/>
      <c r="SKV1010" s="182"/>
      <c r="SKW1010" s="182"/>
      <c r="SKX1010" s="182"/>
      <c r="SKY1010" s="182"/>
      <c r="SKZ1010" s="182"/>
      <c r="SLA1010" s="182"/>
      <c r="SLB1010" s="182"/>
      <c r="SLC1010" s="182"/>
      <c r="SLD1010" s="182"/>
      <c r="SLE1010" s="182"/>
      <c r="SLF1010" s="182"/>
      <c r="SLG1010" s="182"/>
      <c r="SLH1010" s="182"/>
      <c r="SLI1010" s="182"/>
      <c r="SLJ1010" s="182"/>
      <c r="SLK1010" s="182"/>
      <c r="SLL1010" s="182"/>
      <c r="SLM1010" s="182"/>
      <c r="SLN1010" s="182"/>
      <c r="SLO1010" s="182"/>
      <c r="SLP1010" s="182"/>
      <c r="SLQ1010" s="182"/>
      <c r="SLR1010" s="182"/>
      <c r="SLS1010" s="182"/>
      <c r="SLT1010" s="182"/>
      <c r="SLU1010" s="182"/>
      <c r="SLV1010" s="182"/>
      <c r="SLW1010" s="182"/>
      <c r="SLX1010" s="182"/>
      <c r="SLY1010" s="182"/>
      <c r="SLZ1010" s="182"/>
      <c r="SMA1010" s="182"/>
      <c r="SMB1010" s="182"/>
      <c r="SMC1010" s="182"/>
      <c r="SMD1010" s="182"/>
      <c r="SME1010" s="182"/>
      <c r="SMF1010" s="182"/>
      <c r="SMG1010" s="182"/>
      <c r="SMH1010" s="182"/>
      <c r="SMI1010" s="182"/>
      <c r="SMJ1010" s="182"/>
      <c r="SMK1010" s="182"/>
      <c r="SML1010" s="182"/>
      <c r="SMM1010" s="182"/>
      <c r="SMN1010" s="182"/>
      <c r="SMO1010" s="182"/>
      <c r="SMP1010" s="182"/>
      <c r="SMQ1010" s="182"/>
      <c r="SMR1010" s="182"/>
      <c r="SMS1010" s="182"/>
      <c r="SMT1010" s="182"/>
      <c r="SMU1010" s="182"/>
      <c r="SMV1010" s="182"/>
      <c r="SMW1010" s="182"/>
      <c r="SMX1010" s="182"/>
      <c r="SMY1010" s="182"/>
      <c r="SMZ1010" s="182"/>
      <c r="SNA1010" s="182"/>
      <c r="SNB1010" s="182"/>
      <c r="SNC1010" s="182"/>
      <c r="SND1010" s="182"/>
      <c r="SNE1010" s="182"/>
      <c r="SNF1010" s="182"/>
      <c r="SNG1010" s="182"/>
      <c r="SNH1010" s="182"/>
      <c r="SNI1010" s="182"/>
      <c r="SNJ1010" s="182"/>
      <c r="SNK1010" s="182"/>
      <c r="SNL1010" s="182"/>
      <c r="SNM1010" s="182"/>
      <c r="SNN1010" s="182"/>
      <c r="SNO1010" s="182"/>
      <c r="SNP1010" s="182"/>
      <c r="SNQ1010" s="182"/>
      <c r="SNR1010" s="182"/>
      <c r="SNS1010" s="182"/>
      <c r="SNT1010" s="182"/>
      <c r="SNU1010" s="182"/>
      <c r="SNV1010" s="182"/>
      <c r="SNW1010" s="182"/>
      <c r="SNX1010" s="182"/>
      <c r="SNY1010" s="182"/>
      <c r="SNZ1010" s="182"/>
      <c r="SOA1010" s="182"/>
      <c r="SOB1010" s="182"/>
      <c r="SOC1010" s="182"/>
      <c r="SOD1010" s="182"/>
      <c r="SOE1010" s="182"/>
      <c r="SOF1010" s="182"/>
      <c r="SOG1010" s="182"/>
      <c r="SOH1010" s="182"/>
      <c r="SOI1010" s="182"/>
      <c r="SOJ1010" s="182"/>
      <c r="SOK1010" s="182"/>
      <c r="SOL1010" s="182"/>
      <c r="SOM1010" s="182"/>
      <c r="SON1010" s="182"/>
      <c r="SOO1010" s="182"/>
      <c r="SOP1010" s="182"/>
      <c r="SOQ1010" s="182"/>
      <c r="SOR1010" s="182"/>
      <c r="SOS1010" s="182"/>
      <c r="SOT1010" s="182"/>
      <c r="SOU1010" s="182"/>
      <c r="SOV1010" s="182"/>
      <c r="SOW1010" s="182"/>
      <c r="SOX1010" s="182"/>
      <c r="SOY1010" s="182"/>
      <c r="SOZ1010" s="182"/>
      <c r="SPA1010" s="182"/>
      <c r="SPB1010" s="182"/>
      <c r="SPC1010" s="182"/>
      <c r="SPD1010" s="182"/>
      <c r="SPE1010" s="182"/>
      <c r="SPF1010" s="182"/>
      <c r="SPG1010" s="182"/>
      <c r="SPH1010" s="182"/>
      <c r="SPI1010" s="182"/>
      <c r="SPJ1010" s="182"/>
      <c r="SPK1010" s="182"/>
      <c r="SPL1010" s="182"/>
      <c r="SPM1010" s="182"/>
      <c r="SPN1010" s="182"/>
      <c r="SPO1010" s="182"/>
      <c r="SPP1010" s="182"/>
      <c r="SPQ1010" s="182"/>
      <c r="SPR1010" s="182"/>
      <c r="SPS1010" s="182"/>
      <c r="SPT1010" s="182"/>
      <c r="SPU1010" s="182"/>
      <c r="SPV1010" s="182"/>
      <c r="SPW1010" s="182"/>
      <c r="SPX1010" s="182"/>
      <c r="SPY1010" s="182"/>
      <c r="SPZ1010" s="182"/>
      <c r="SQA1010" s="182"/>
      <c r="SQB1010" s="182"/>
      <c r="SQC1010" s="182"/>
      <c r="SQD1010" s="182"/>
      <c r="SQE1010" s="182"/>
      <c r="SQF1010" s="182"/>
      <c r="SQG1010" s="182"/>
      <c r="SQH1010" s="182"/>
      <c r="SQI1010" s="182"/>
      <c r="SQJ1010" s="182"/>
      <c r="SQK1010" s="182"/>
      <c r="SQL1010" s="182"/>
      <c r="SQM1010" s="182"/>
      <c r="SQN1010" s="182"/>
      <c r="SQO1010" s="182"/>
      <c r="SQP1010" s="182"/>
      <c r="SQQ1010" s="182"/>
      <c r="SQR1010" s="182"/>
      <c r="SQS1010" s="182"/>
      <c r="SQT1010" s="182"/>
      <c r="SQU1010" s="182"/>
      <c r="SQV1010" s="182"/>
      <c r="SQW1010" s="182"/>
      <c r="SQX1010" s="182"/>
      <c r="SQY1010" s="182"/>
      <c r="SQZ1010" s="182"/>
      <c r="SRA1010" s="182"/>
      <c r="SRB1010" s="182"/>
      <c r="SRC1010" s="182"/>
      <c r="SRD1010" s="182"/>
      <c r="SRE1010" s="182"/>
      <c r="SRF1010" s="182"/>
      <c r="SRG1010" s="182"/>
      <c r="SRH1010" s="182"/>
      <c r="SRI1010" s="182"/>
      <c r="SRJ1010" s="182"/>
      <c r="SRK1010" s="182"/>
      <c r="SRL1010" s="182"/>
      <c r="SRM1010" s="182"/>
      <c r="SRN1010" s="182"/>
      <c r="SRO1010" s="182"/>
      <c r="SRP1010" s="182"/>
      <c r="SRQ1010" s="182"/>
      <c r="SRR1010" s="182"/>
      <c r="SRS1010" s="182"/>
      <c r="SRT1010" s="182"/>
      <c r="SRU1010" s="182"/>
      <c r="SRV1010" s="182"/>
      <c r="SRW1010" s="182"/>
      <c r="SRX1010" s="182"/>
      <c r="SRY1010" s="182"/>
      <c r="SRZ1010" s="182"/>
      <c r="SSA1010" s="182"/>
      <c r="SSB1010" s="182"/>
      <c r="SSC1010" s="182"/>
      <c r="SSD1010" s="182"/>
      <c r="SSE1010" s="182"/>
      <c r="SSF1010" s="182"/>
      <c r="SSG1010" s="182"/>
      <c r="SSH1010" s="182"/>
      <c r="SSI1010" s="182"/>
      <c r="SSJ1010" s="182"/>
      <c r="SSK1010" s="182"/>
      <c r="SSL1010" s="182"/>
      <c r="SSM1010" s="182"/>
      <c r="SSN1010" s="182"/>
      <c r="SSO1010" s="182"/>
      <c r="SSP1010" s="182"/>
      <c r="SSQ1010" s="182"/>
      <c r="SSR1010" s="182"/>
      <c r="SSS1010" s="182"/>
      <c r="SST1010" s="182"/>
      <c r="SSU1010" s="182"/>
      <c r="SSV1010" s="182"/>
      <c r="SSW1010" s="182"/>
      <c r="SSX1010" s="182"/>
      <c r="SSY1010" s="182"/>
      <c r="SSZ1010" s="182"/>
      <c r="STA1010" s="182"/>
      <c r="STB1010" s="182"/>
      <c r="STC1010" s="182"/>
      <c r="STD1010" s="182"/>
      <c r="STE1010" s="182"/>
      <c r="STF1010" s="182"/>
      <c r="STG1010" s="182"/>
      <c r="STH1010" s="182"/>
      <c r="STI1010" s="182"/>
      <c r="STJ1010" s="182"/>
      <c r="STK1010" s="182"/>
      <c r="STL1010" s="182"/>
      <c r="STM1010" s="182"/>
      <c r="STN1010" s="182"/>
      <c r="STO1010" s="182"/>
      <c r="STP1010" s="182"/>
      <c r="STQ1010" s="182"/>
      <c r="STR1010" s="182"/>
      <c r="STS1010" s="182"/>
      <c r="STT1010" s="182"/>
      <c r="STU1010" s="182"/>
      <c r="STV1010" s="182"/>
      <c r="STW1010" s="182"/>
      <c r="STX1010" s="182"/>
      <c r="STY1010" s="182"/>
      <c r="STZ1010" s="182"/>
      <c r="SUA1010" s="182"/>
      <c r="SUB1010" s="182"/>
      <c r="SUC1010" s="182"/>
      <c r="SUD1010" s="182"/>
      <c r="SUE1010" s="182"/>
      <c r="SUF1010" s="182"/>
      <c r="SUG1010" s="182"/>
      <c r="SUH1010" s="182"/>
      <c r="SUI1010" s="182"/>
      <c r="SUJ1010" s="182"/>
      <c r="SUK1010" s="182"/>
      <c r="SUL1010" s="182"/>
      <c r="SUM1010" s="182"/>
      <c r="SUN1010" s="182"/>
      <c r="SUO1010" s="182"/>
      <c r="SUP1010" s="182"/>
      <c r="SUQ1010" s="182"/>
      <c r="SUR1010" s="182"/>
      <c r="SUS1010" s="182"/>
      <c r="SUT1010" s="182"/>
      <c r="SUU1010" s="182"/>
      <c r="SUV1010" s="182"/>
      <c r="SUW1010" s="182"/>
      <c r="SUX1010" s="182"/>
      <c r="SUY1010" s="182"/>
      <c r="SUZ1010" s="182"/>
      <c r="SVA1010" s="182"/>
      <c r="SVB1010" s="182"/>
      <c r="SVC1010" s="182"/>
      <c r="SVD1010" s="182"/>
      <c r="SVE1010" s="182"/>
      <c r="SVF1010" s="182"/>
      <c r="SVG1010" s="182"/>
      <c r="SVH1010" s="182"/>
      <c r="SVI1010" s="182"/>
      <c r="SVJ1010" s="182"/>
      <c r="SVK1010" s="182"/>
      <c r="SVL1010" s="182"/>
      <c r="SVM1010" s="182"/>
      <c r="SVN1010" s="182"/>
      <c r="SVO1010" s="182"/>
      <c r="SVP1010" s="182"/>
      <c r="SVQ1010" s="182"/>
      <c r="SVR1010" s="182"/>
      <c r="SVS1010" s="182"/>
      <c r="SVT1010" s="182"/>
      <c r="SVU1010" s="182"/>
      <c r="SVV1010" s="182"/>
      <c r="SVW1010" s="182"/>
      <c r="SVX1010" s="182"/>
      <c r="SVY1010" s="182"/>
      <c r="SVZ1010" s="182"/>
      <c r="SWA1010" s="182"/>
      <c r="SWB1010" s="182"/>
      <c r="SWC1010" s="182"/>
      <c r="SWD1010" s="182"/>
      <c r="SWE1010" s="182"/>
      <c r="SWF1010" s="182"/>
      <c r="SWG1010" s="182"/>
      <c r="SWH1010" s="182"/>
      <c r="SWI1010" s="182"/>
      <c r="SWJ1010" s="182"/>
      <c r="SWK1010" s="182"/>
      <c r="SWL1010" s="182"/>
      <c r="SWM1010" s="182"/>
      <c r="SWN1010" s="182"/>
      <c r="SWO1010" s="182"/>
      <c r="SWP1010" s="182"/>
      <c r="SWQ1010" s="182"/>
      <c r="SWR1010" s="182"/>
      <c r="SWS1010" s="182"/>
      <c r="SWT1010" s="182"/>
      <c r="SWU1010" s="182"/>
      <c r="SWV1010" s="182"/>
      <c r="SWW1010" s="182"/>
      <c r="SWX1010" s="182"/>
      <c r="SWY1010" s="182"/>
      <c r="SWZ1010" s="182"/>
      <c r="SXA1010" s="182"/>
      <c r="SXB1010" s="182"/>
      <c r="SXC1010" s="182"/>
      <c r="SXD1010" s="182"/>
      <c r="SXE1010" s="182"/>
      <c r="SXF1010" s="182"/>
      <c r="SXG1010" s="182"/>
      <c r="SXH1010" s="182"/>
      <c r="SXI1010" s="182"/>
      <c r="SXJ1010" s="182"/>
      <c r="SXK1010" s="182"/>
      <c r="SXL1010" s="182"/>
      <c r="SXM1010" s="182"/>
      <c r="SXN1010" s="182"/>
      <c r="SXO1010" s="182"/>
      <c r="SXP1010" s="182"/>
      <c r="SXQ1010" s="182"/>
      <c r="SXR1010" s="182"/>
      <c r="SXS1010" s="182"/>
      <c r="SXT1010" s="182"/>
      <c r="SXU1010" s="182"/>
      <c r="SXV1010" s="182"/>
      <c r="SXW1010" s="182"/>
      <c r="SXX1010" s="182"/>
      <c r="SXY1010" s="182"/>
      <c r="SXZ1010" s="182"/>
      <c r="SYA1010" s="182"/>
      <c r="SYB1010" s="182"/>
      <c r="SYC1010" s="182"/>
      <c r="SYD1010" s="182"/>
      <c r="SYE1010" s="182"/>
      <c r="SYF1010" s="182"/>
      <c r="SYG1010" s="182"/>
      <c r="SYH1010" s="182"/>
      <c r="SYI1010" s="182"/>
      <c r="SYJ1010" s="182"/>
      <c r="SYK1010" s="182"/>
      <c r="SYL1010" s="182"/>
      <c r="SYM1010" s="182"/>
      <c r="SYN1010" s="182"/>
      <c r="SYO1010" s="182"/>
      <c r="SYP1010" s="182"/>
      <c r="SYQ1010" s="182"/>
      <c r="SYR1010" s="182"/>
      <c r="SYS1010" s="182"/>
      <c r="SYT1010" s="182"/>
      <c r="SYU1010" s="182"/>
      <c r="SYV1010" s="182"/>
      <c r="SYW1010" s="182"/>
      <c r="SYX1010" s="182"/>
      <c r="SYY1010" s="182"/>
      <c r="SYZ1010" s="182"/>
      <c r="SZA1010" s="182"/>
      <c r="SZB1010" s="182"/>
      <c r="SZC1010" s="182"/>
      <c r="SZD1010" s="182"/>
      <c r="SZE1010" s="182"/>
      <c r="SZF1010" s="182"/>
      <c r="SZG1010" s="182"/>
      <c r="SZH1010" s="182"/>
      <c r="SZI1010" s="182"/>
      <c r="SZJ1010" s="182"/>
      <c r="SZK1010" s="182"/>
      <c r="SZL1010" s="182"/>
      <c r="SZM1010" s="182"/>
      <c r="SZN1010" s="182"/>
      <c r="SZO1010" s="182"/>
      <c r="SZP1010" s="182"/>
      <c r="SZQ1010" s="182"/>
      <c r="SZR1010" s="182"/>
      <c r="SZS1010" s="182"/>
      <c r="SZT1010" s="182"/>
      <c r="SZU1010" s="182"/>
      <c r="SZV1010" s="182"/>
      <c r="SZW1010" s="182"/>
      <c r="SZX1010" s="182"/>
      <c r="SZY1010" s="182"/>
      <c r="SZZ1010" s="182"/>
      <c r="TAA1010" s="182"/>
      <c r="TAB1010" s="182"/>
      <c r="TAC1010" s="182"/>
      <c r="TAD1010" s="182"/>
      <c r="TAE1010" s="182"/>
      <c r="TAF1010" s="182"/>
      <c r="TAG1010" s="182"/>
      <c r="TAH1010" s="182"/>
      <c r="TAI1010" s="182"/>
      <c r="TAJ1010" s="182"/>
      <c r="TAK1010" s="182"/>
      <c r="TAL1010" s="182"/>
      <c r="TAM1010" s="182"/>
      <c r="TAN1010" s="182"/>
      <c r="TAO1010" s="182"/>
      <c r="TAP1010" s="182"/>
      <c r="TAQ1010" s="182"/>
      <c r="TAR1010" s="182"/>
      <c r="TAS1010" s="182"/>
      <c r="TAT1010" s="182"/>
      <c r="TAU1010" s="182"/>
      <c r="TAV1010" s="182"/>
      <c r="TAW1010" s="182"/>
      <c r="TAX1010" s="182"/>
      <c r="TAY1010" s="182"/>
      <c r="TAZ1010" s="182"/>
      <c r="TBA1010" s="182"/>
      <c r="TBB1010" s="182"/>
      <c r="TBC1010" s="182"/>
      <c r="TBD1010" s="182"/>
      <c r="TBE1010" s="182"/>
      <c r="TBF1010" s="182"/>
      <c r="TBG1010" s="182"/>
      <c r="TBH1010" s="182"/>
      <c r="TBI1010" s="182"/>
      <c r="TBJ1010" s="182"/>
      <c r="TBK1010" s="182"/>
      <c r="TBL1010" s="182"/>
      <c r="TBM1010" s="182"/>
      <c r="TBN1010" s="182"/>
      <c r="TBO1010" s="182"/>
      <c r="TBP1010" s="182"/>
      <c r="TBQ1010" s="182"/>
      <c r="TBR1010" s="182"/>
      <c r="TBS1010" s="182"/>
      <c r="TBT1010" s="182"/>
      <c r="TBU1010" s="182"/>
      <c r="TBV1010" s="182"/>
      <c r="TBW1010" s="182"/>
      <c r="TBX1010" s="182"/>
      <c r="TBY1010" s="182"/>
      <c r="TBZ1010" s="182"/>
      <c r="TCA1010" s="182"/>
      <c r="TCB1010" s="182"/>
      <c r="TCC1010" s="182"/>
      <c r="TCD1010" s="182"/>
      <c r="TCE1010" s="182"/>
      <c r="TCF1010" s="182"/>
      <c r="TCG1010" s="182"/>
      <c r="TCH1010" s="182"/>
      <c r="TCI1010" s="182"/>
      <c r="TCJ1010" s="182"/>
      <c r="TCK1010" s="182"/>
      <c r="TCL1010" s="182"/>
      <c r="TCM1010" s="182"/>
      <c r="TCN1010" s="182"/>
      <c r="TCO1010" s="182"/>
      <c r="TCP1010" s="182"/>
      <c r="TCQ1010" s="182"/>
      <c r="TCR1010" s="182"/>
      <c r="TCS1010" s="182"/>
      <c r="TCT1010" s="182"/>
      <c r="TCU1010" s="182"/>
      <c r="TCV1010" s="182"/>
      <c r="TCW1010" s="182"/>
      <c r="TCX1010" s="182"/>
      <c r="TCY1010" s="182"/>
      <c r="TCZ1010" s="182"/>
      <c r="TDA1010" s="182"/>
      <c r="TDB1010" s="182"/>
      <c r="TDC1010" s="182"/>
      <c r="TDD1010" s="182"/>
      <c r="TDE1010" s="182"/>
      <c r="TDF1010" s="182"/>
      <c r="TDG1010" s="182"/>
      <c r="TDH1010" s="182"/>
      <c r="TDI1010" s="182"/>
      <c r="TDJ1010" s="182"/>
      <c r="TDK1010" s="182"/>
      <c r="TDL1010" s="182"/>
      <c r="TDM1010" s="182"/>
      <c r="TDN1010" s="182"/>
      <c r="TDO1010" s="182"/>
      <c r="TDP1010" s="182"/>
      <c r="TDQ1010" s="182"/>
      <c r="TDR1010" s="182"/>
      <c r="TDS1010" s="182"/>
      <c r="TDT1010" s="182"/>
      <c r="TDU1010" s="182"/>
      <c r="TDV1010" s="182"/>
      <c r="TDW1010" s="182"/>
      <c r="TDX1010" s="182"/>
      <c r="TDY1010" s="182"/>
      <c r="TDZ1010" s="182"/>
      <c r="TEA1010" s="182"/>
      <c r="TEB1010" s="182"/>
      <c r="TEC1010" s="182"/>
      <c r="TED1010" s="182"/>
      <c r="TEE1010" s="182"/>
      <c r="TEF1010" s="182"/>
      <c r="TEG1010" s="182"/>
      <c r="TEH1010" s="182"/>
      <c r="TEI1010" s="182"/>
      <c r="TEJ1010" s="182"/>
      <c r="TEK1010" s="182"/>
      <c r="TEL1010" s="182"/>
      <c r="TEM1010" s="182"/>
      <c r="TEN1010" s="182"/>
      <c r="TEO1010" s="182"/>
      <c r="TEP1010" s="182"/>
      <c r="TEQ1010" s="182"/>
      <c r="TER1010" s="182"/>
      <c r="TES1010" s="182"/>
      <c r="TET1010" s="182"/>
      <c r="TEU1010" s="182"/>
      <c r="TEV1010" s="182"/>
      <c r="TEW1010" s="182"/>
      <c r="TEX1010" s="182"/>
      <c r="TEY1010" s="182"/>
      <c r="TEZ1010" s="182"/>
      <c r="TFA1010" s="182"/>
      <c r="TFB1010" s="182"/>
      <c r="TFC1010" s="182"/>
      <c r="TFD1010" s="182"/>
      <c r="TFE1010" s="182"/>
      <c r="TFF1010" s="182"/>
      <c r="TFG1010" s="182"/>
      <c r="TFH1010" s="182"/>
      <c r="TFI1010" s="182"/>
      <c r="TFJ1010" s="182"/>
      <c r="TFK1010" s="182"/>
      <c r="TFL1010" s="182"/>
      <c r="TFM1010" s="182"/>
      <c r="TFN1010" s="182"/>
      <c r="TFO1010" s="182"/>
      <c r="TFP1010" s="182"/>
      <c r="TFQ1010" s="182"/>
      <c r="TFR1010" s="182"/>
      <c r="TFS1010" s="182"/>
      <c r="TFT1010" s="182"/>
      <c r="TFU1010" s="182"/>
      <c r="TFV1010" s="182"/>
      <c r="TFW1010" s="182"/>
      <c r="TFX1010" s="182"/>
      <c r="TFY1010" s="182"/>
      <c r="TFZ1010" s="182"/>
      <c r="TGA1010" s="182"/>
      <c r="TGB1010" s="182"/>
      <c r="TGC1010" s="182"/>
      <c r="TGD1010" s="182"/>
      <c r="TGE1010" s="182"/>
      <c r="TGF1010" s="182"/>
      <c r="TGG1010" s="182"/>
      <c r="TGH1010" s="182"/>
      <c r="TGI1010" s="182"/>
      <c r="TGJ1010" s="182"/>
      <c r="TGK1010" s="182"/>
      <c r="TGL1010" s="182"/>
      <c r="TGM1010" s="182"/>
      <c r="TGN1010" s="182"/>
      <c r="TGO1010" s="182"/>
      <c r="TGP1010" s="182"/>
      <c r="TGQ1010" s="182"/>
      <c r="TGR1010" s="182"/>
      <c r="TGS1010" s="182"/>
      <c r="TGT1010" s="182"/>
      <c r="TGU1010" s="182"/>
      <c r="TGV1010" s="182"/>
      <c r="TGW1010" s="182"/>
      <c r="TGX1010" s="182"/>
      <c r="TGY1010" s="182"/>
      <c r="TGZ1010" s="182"/>
      <c r="THA1010" s="182"/>
      <c r="THB1010" s="182"/>
      <c r="THC1010" s="182"/>
      <c r="THD1010" s="182"/>
      <c r="THE1010" s="182"/>
      <c r="THF1010" s="182"/>
      <c r="THG1010" s="182"/>
      <c r="THH1010" s="182"/>
      <c r="THI1010" s="182"/>
      <c r="THJ1010" s="182"/>
      <c r="THK1010" s="182"/>
      <c r="THL1010" s="182"/>
      <c r="THM1010" s="182"/>
      <c r="THN1010" s="182"/>
      <c r="THO1010" s="182"/>
      <c r="THP1010" s="182"/>
      <c r="THQ1010" s="182"/>
      <c r="THR1010" s="182"/>
      <c r="THS1010" s="182"/>
      <c r="THT1010" s="182"/>
      <c r="THU1010" s="182"/>
      <c r="THV1010" s="182"/>
      <c r="THW1010" s="182"/>
      <c r="THX1010" s="182"/>
      <c r="THY1010" s="182"/>
      <c r="THZ1010" s="182"/>
      <c r="TIA1010" s="182"/>
      <c r="TIB1010" s="182"/>
      <c r="TIC1010" s="182"/>
      <c r="TID1010" s="182"/>
      <c r="TIE1010" s="182"/>
      <c r="TIF1010" s="182"/>
      <c r="TIG1010" s="182"/>
      <c r="TIH1010" s="182"/>
      <c r="TII1010" s="182"/>
      <c r="TIJ1010" s="182"/>
      <c r="TIK1010" s="182"/>
      <c r="TIL1010" s="182"/>
      <c r="TIM1010" s="182"/>
      <c r="TIN1010" s="182"/>
      <c r="TIO1010" s="182"/>
      <c r="TIP1010" s="182"/>
      <c r="TIQ1010" s="182"/>
      <c r="TIR1010" s="182"/>
      <c r="TIS1010" s="182"/>
      <c r="TIT1010" s="182"/>
      <c r="TIU1010" s="182"/>
      <c r="TIV1010" s="182"/>
      <c r="TIW1010" s="182"/>
      <c r="TIX1010" s="182"/>
      <c r="TIY1010" s="182"/>
      <c r="TIZ1010" s="182"/>
      <c r="TJA1010" s="182"/>
      <c r="TJB1010" s="182"/>
      <c r="TJC1010" s="182"/>
      <c r="TJD1010" s="182"/>
      <c r="TJE1010" s="182"/>
      <c r="TJF1010" s="182"/>
      <c r="TJG1010" s="182"/>
      <c r="TJH1010" s="182"/>
      <c r="TJI1010" s="182"/>
      <c r="TJJ1010" s="182"/>
      <c r="TJK1010" s="182"/>
      <c r="TJL1010" s="182"/>
      <c r="TJM1010" s="182"/>
      <c r="TJN1010" s="182"/>
      <c r="TJO1010" s="182"/>
      <c r="TJP1010" s="182"/>
      <c r="TJQ1010" s="182"/>
      <c r="TJR1010" s="182"/>
      <c r="TJS1010" s="182"/>
      <c r="TJT1010" s="182"/>
      <c r="TJU1010" s="182"/>
      <c r="TJV1010" s="182"/>
      <c r="TJW1010" s="182"/>
      <c r="TJX1010" s="182"/>
      <c r="TJY1010" s="182"/>
      <c r="TJZ1010" s="182"/>
      <c r="TKA1010" s="182"/>
      <c r="TKB1010" s="182"/>
      <c r="TKC1010" s="182"/>
      <c r="TKD1010" s="182"/>
      <c r="TKE1010" s="182"/>
      <c r="TKF1010" s="182"/>
      <c r="TKG1010" s="182"/>
      <c r="TKH1010" s="182"/>
      <c r="TKI1010" s="182"/>
      <c r="TKJ1010" s="182"/>
      <c r="TKK1010" s="182"/>
      <c r="TKL1010" s="182"/>
      <c r="TKM1010" s="182"/>
      <c r="TKN1010" s="182"/>
      <c r="TKO1010" s="182"/>
      <c r="TKP1010" s="182"/>
      <c r="TKQ1010" s="182"/>
      <c r="TKR1010" s="182"/>
      <c r="TKS1010" s="182"/>
      <c r="TKT1010" s="182"/>
      <c r="TKU1010" s="182"/>
      <c r="TKV1010" s="182"/>
      <c r="TKW1010" s="182"/>
      <c r="TKX1010" s="182"/>
      <c r="TKY1010" s="182"/>
      <c r="TKZ1010" s="182"/>
      <c r="TLA1010" s="182"/>
      <c r="TLB1010" s="182"/>
      <c r="TLC1010" s="182"/>
      <c r="TLD1010" s="182"/>
      <c r="TLE1010" s="182"/>
      <c r="TLF1010" s="182"/>
      <c r="TLG1010" s="182"/>
      <c r="TLH1010" s="182"/>
      <c r="TLI1010" s="182"/>
      <c r="TLJ1010" s="182"/>
      <c r="TLK1010" s="182"/>
      <c r="TLL1010" s="182"/>
      <c r="TLM1010" s="182"/>
      <c r="TLN1010" s="182"/>
      <c r="TLO1010" s="182"/>
      <c r="TLP1010" s="182"/>
      <c r="TLQ1010" s="182"/>
      <c r="TLR1010" s="182"/>
      <c r="TLS1010" s="182"/>
      <c r="TLT1010" s="182"/>
      <c r="TLU1010" s="182"/>
      <c r="TLV1010" s="182"/>
      <c r="TLW1010" s="182"/>
      <c r="TLX1010" s="182"/>
      <c r="TLY1010" s="182"/>
      <c r="TLZ1010" s="182"/>
      <c r="TMA1010" s="182"/>
      <c r="TMB1010" s="182"/>
      <c r="TMC1010" s="182"/>
      <c r="TMD1010" s="182"/>
      <c r="TME1010" s="182"/>
      <c r="TMF1010" s="182"/>
      <c r="TMG1010" s="182"/>
      <c r="TMH1010" s="182"/>
      <c r="TMI1010" s="182"/>
      <c r="TMJ1010" s="182"/>
      <c r="TMK1010" s="182"/>
      <c r="TML1010" s="182"/>
      <c r="TMM1010" s="182"/>
      <c r="TMN1010" s="182"/>
      <c r="TMO1010" s="182"/>
      <c r="TMP1010" s="182"/>
      <c r="TMQ1010" s="182"/>
      <c r="TMR1010" s="182"/>
      <c r="TMS1010" s="182"/>
      <c r="TMT1010" s="182"/>
      <c r="TMU1010" s="182"/>
      <c r="TMV1010" s="182"/>
      <c r="TMW1010" s="182"/>
      <c r="TMX1010" s="182"/>
      <c r="TMY1010" s="182"/>
      <c r="TMZ1010" s="182"/>
      <c r="TNA1010" s="182"/>
      <c r="TNB1010" s="182"/>
      <c r="TNC1010" s="182"/>
      <c r="TND1010" s="182"/>
      <c r="TNE1010" s="182"/>
      <c r="TNF1010" s="182"/>
      <c r="TNG1010" s="182"/>
      <c r="TNH1010" s="182"/>
      <c r="TNI1010" s="182"/>
      <c r="TNJ1010" s="182"/>
      <c r="TNK1010" s="182"/>
      <c r="TNL1010" s="182"/>
      <c r="TNM1010" s="182"/>
      <c r="TNN1010" s="182"/>
      <c r="TNO1010" s="182"/>
      <c r="TNP1010" s="182"/>
      <c r="TNQ1010" s="182"/>
      <c r="TNR1010" s="182"/>
      <c r="TNS1010" s="182"/>
      <c r="TNT1010" s="182"/>
      <c r="TNU1010" s="182"/>
      <c r="TNV1010" s="182"/>
      <c r="TNW1010" s="182"/>
      <c r="TNX1010" s="182"/>
      <c r="TNY1010" s="182"/>
      <c r="TNZ1010" s="182"/>
      <c r="TOA1010" s="182"/>
      <c r="TOB1010" s="182"/>
      <c r="TOC1010" s="182"/>
      <c r="TOD1010" s="182"/>
      <c r="TOE1010" s="182"/>
      <c r="TOF1010" s="182"/>
      <c r="TOG1010" s="182"/>
      <c r="TOH1010" s="182"/>
      <c r="TOI1010" s="182"/>
      <c r="TOJ1010" s="182"/>
      <c r="TOK1010" s="182"/>
      <c r="TOL1010" s="182"/>
      <c r="TOM1010" s="182"/>
      <c r="TON1010" s="182"/>
      <c r="TOO1010" s="182"/>
      <c r="TOP1010" s="182"/>
      <c r="TOQ1010" s="182"/>
      <c r="TOR1010" s="182"/>
      <c r="TOS1010" s="182"/>
      <c r="TOT1010" s="182"/>
      <c r="TOU1010" s="182"/>
      <c r="TOV1010" s="182"/>
      <c r="TOW1010" s="182"/>
      <c r="TOX1010" s="182"/>
      <c r="TOY1010" s="182"/>
      <c r="TOZ1010" s="182"/>
      <c r="TPA1010" s="182"/>
      <c r="TPB1010" s="182"/>
      <c r="TPC1010" s="182"/>
      <c r="TPD1010" s="182"/>
      <c r="TPE1010" s="182"/>
      <c r="TPF1010" s="182"/>
      <c r="TPG1010" s="182"/>
      <c r="TPH1010" s="182"/>
      <c r="TPI1010" s="182"/>
      <c r="TPJ1010" s="182"/>
      <c r="TPK1010" s="182"/>
      <c r="TPL1010" s="182"/>
      <c r="TPM1010" s="182"/>
      <c r="TPN1010" s="182"/>
      <c r="TPO1010" s="182"/>
      <c r="TPP1010" s="182"/>
      <c r="TPQ1010" s="182"/>
      <c r="TPR1010" s="182"/>
      <c r="TPS1010" s="182"/>
      <c r="TPT1010" s="182"/>
      <c r="TPU1010" s="182"/>
      <c r="TPV1010" s="182"/>
      <c r="TPW1010" s="182"/>
      <c r="TPX1010" s="182"/>
      <c r="TPY1010" s="182"/>
      <c r="TPZ1010" s="182"/>
      <c r="TQA1010" s="182"/>
      <c r="TQB1010" s="182"/>
      <c r="TQC1010" s="182"/>
      <c r="TQD1010" s="182"/>
      <c r="TQE1010" s="182"/>
      <c r="TQF1010" s="182"/>
      <c r="TQG1010" s="182"/>
      <c r="TQH1010" s="182"/>
      <c r="TQI1010" s="182"/>
      <c r="TQJ1010" s="182"/>
      <c r="TQK1010" s="182"/>
      <c r="TQL1010" s="182"/>
      <c r="TQM1010" s="182"/>
      <c r="TQN1010" s="182"/>
      <c r="TQO1010" s="182"/>
      <c r="TQP1010" s="182"/>
      <c r="TQQ1010" s="182"/>
      <c r="TQR1010" s="182"/>
      <c r="TQS1010" s="182"/>
      <c r="TQT1010" s="182"/>
      <c r="TQU1010" s="182"/>
      <c r="TQV1010" s="182"/>
      <c r="TQW1010" s="182"/>
      <c r="TQX1010" s="182"/>
      <c r="TQY1010" s="182"/>
      <c r="TQZ1010" s="182"/>
      <c r="TRA1010" s="182"/>
      <c r="TRB1010" s="182"/>
      <c r="TRC1010" s="182"/>
      <c r="TRD1010" s="182"/>
      <c r="TRE1010" s="182"/>
      <c r="TRF1010" s="182"/>
      <c r="TRG1010" s="182"/>
      <c r="TRH1010" s="182"/>
      <c r="TRI1010" s="182"/>
      <c r="TRJ1010" s="182"/>
      <c r="TRK1010" s="182"/>
      <c r="TRL1010" s="182"/>
      <c r="TRM1010" s="182"/>
      <c r="TRN1010" s="182"/>
      <c r="TRO1010" s="182"/>
      <c r="TRP1010" s="182"/>
      <c r="TRQ1010" s="182"/>
      <c r="TRR1010" s="182"/>
      <c r="TRS1010" s="182"/>
      <c r="TRT1010" s="182"/>
      <c r="TRU1010" s="182"/>
      <c r="TRV1010" s="182"/>
      <c r="TRW1010" s="182"/>
      <c r="TRX1010" s="182"/>
      <c r="TRY1010" s="182"/>
      <c r="TRZ1010" s="182"/>
      <c r="TSA1010" s="182"/>
      <c r="TSB1010" s="182"/>
      <c r="TSC1010" s="182"/>
      <c r="TSD1010" s="182"/>
      <c r="TSE1010" s="182"/>
      <c r="TSF1010" s="182"/>
      <c r="TSG1010" s="182"/>
      <c r="TSH1010" s="182"/>
      <c r="TSI1010" s="182"/>
      <c r="TSJ1010" s="182"/>
      <c r="TSK1010" s="182"/>
      <c r="TSL1010" s="182"/>
      <c r="TSM1010" s="182"/>
      <c r="TSN1010" s="182"/>
      <c r="TSO1010" s="182"/>
      <c r="TSP1010" s="182"/>
      <c r="TSQ1010" s="182"/>
      <c r="TSR1010" s="182"/>
      <c r="TSS1010" s="182"/>
      <c r="TST1010" s="182"/>
      <c r="TSU1010" s="182"/>
      <c r="TSV1010" s="182"/>
      <c r="TSW1010" s="182"/>
      <c r="TSX1010" s="182"/>
      <c r="TSY1010" s="182"/>
      <c r="TSZ1010" s="182"/>
      <c r="TTA1010" s="182"/>
      <c r="TTB1010" s="182"/>
      <c r="TTC1010" s="182"/>
      <c r="TTD1010" s="182"/>
      <c r="TTE1010" s="182"/>
      <c r="TTF1010" s="182"/>
      <c r="TTG1010" s="182"/>
      <c r="TTH1010" s="182"/>
      <c r="TTI1010" s="182"/>
      <c r="TTJ1010" s="182"/>
      <c r="TTK1010" s="182"/>
      <c r="TTL1010" s="182"/>
      <c r="TTM1010" s="182"/>
      <c r="TTN1010" s="182"/>
      <c r="TTO1010" s="182"/>
      <c r="TTP1010" s="182"/>
      <c r="TTQ1010" s="182"/>
      <c r="TTR1010" s="182"/>
      <c r="TTS1010" s="182"/>
      <c r="TTT1010" s="182"/>
      <c r="TTU1010" s="182"/>
      <c r="TTV1010" s="182"/>
      <c r="TTW1010" s="182"/>
      <c r="TTX1010" s="182"/>
      <c r="TTY1010" s="182"/>
      <c r="TTZ1010" s="182"/>
      <c r="TUA1010" s="182"/>
      <c r="TUB1010" s="182"/>
      <c r="TUC1010" s="182"/>
      <c r="TUD1010" s="182"/>
      <c r="TUE1010" s="182"/>
      <c r="TUF1010" s="182"/>
      <c r="TUG1010" s="182"/>
      <c r="TUH1010" s="182"/>
      <c r="TUI1010" s="182"/>
      <c r="TUJ1010" s="182"/>
      <c r="TUK1010" s="182"/>
      <c r="TUL1010" s="182"/>
      <c r="TUM1010" s="182"/>
      <c r="TUN1010" s="182"/>
      <c r="TUO1010" s="182"/>
      <c r="TUP1010" s="182"/>
      <c r="TUQ1010" s="182"/>
      <c r="TUR1010" s="182"/>
      <c r="TUS1010" s="182"/>
      <c r="TUT1010" s="182"/>
      <c r="TUU1010" s="182"/>
      <c r="TUV1010" s="182"/>
      <c r="TUW1010" s="182"/>
      <c r="TUX1010" s="182"/>
      <c r="TUY1010" s="182"/>
      <c r="TUZ1010" s="182"/>
      <c r="TVA1010" s="182"/>
      <c r="TVB1010" s="182"/>
      <c r="TVC1010" s="182"/>
      <c r="TVD1010" s="182"/>
      <c r="TVE1010" s="182"/>
      <c r="TVF1010" s="182"/>
      <c r="TVG1010" s="182"/>
      <c r="TVH1010" s="182"/>
      <c r="TVI1010" s="182"/>
      <c r="TVJ1010" s="182"/>
      <c r="TVK1010" s="182"/>
      <c r="TVL1010" s="182"/>
      <c r="TVM1010" s="182"/>
      <c r="TVN1010" s="182"/>
      <c r="TVO1010" s="182"/>
      <c r="TVP1010" s="182"/>
      <c r="TVQ1010" s="182"/>
      <c r="TVR1010" s="182"/>
      <c r="TVS1010" s="182"/>
      <c r="TVT1010" s="182"/>
      <c r="TVU1010" s="182"/>
      <c r="TVV1010" s="182"/>
      <c r="TVW1010" s="182"/>
      <c r="TVX1010" s="182"/>
      <c r="TVY1010" s="182"/>
      <c r="TVZ1010" s="182"/>
      <c r="TWA1010" s="182"/>
      <c r="TWB1010" s="182"/>
      <c r="TWC1010" s="182"/>
      <c r="TWD1010" s="182"/>
      <c r="TWE1010" s="182"/>
      <c r="TWF1010" s="182"/>
      <c r="TWG1010" s="182"/>
      <c r="TWH1010" s="182"/>
      <c r="TWI1010" s="182"/>
      <c r="TWJ1010" s="182"/>
      <c r="TWK1010" s="182"/>
      <c r="TWL1010" s="182"/>
      <c r="TWM1010" s="182"/>
      <c r="TWN1010" s="182"/>
      <c r="TWO1010" s="182"/>
      <c r="TWP1010" s="182"/>
      <c r="TWQ1010" s="182"/>
      <c r="TWR1010" s="182"/>
      <c r="TWS1010" s="182"/>
      <c r="TWT1010" s="182"/>
      <c r="TWU1010" s="182"/>
      <c r="TWV1010" s="182"/>
      <c r="TWW1010" s="182"/>
      <c r="TWX1010" s="182"/>
      <c r="TWY1010" s="182"/>
      <c r="TWZ1010" s="182"/>
      <c r="TXA1010" s="182"/>
      <c r="TXB1010" s="182"/>
      <c r="TXC1010" s="182"/>
      <c r="TXD1010" s="182"/>
      <c r="TXE1010" s="182"/>
      <c r="TXF1010" s="182"/>
      <c r="TXG1010" s="182"/>
      <c r="TXH1010" s="182"/>
      <c r="TXI1010" s="182"/>
      <c r="TXJ1010" s="182"/>
      <c r="TXK1010" s="182"/>
      <c r="TXL1010" s="182"/>
      <c r="TXM1010" s="182"/>
      <c r="TXN1010" s="182"/>
      <c r="TXO1010" s="182"/>
      <c r="TXP1010" s="182"/>
      <c r="TXQ1010" s="182"/>
      <c r="TXR1010" s="182"/>
      <c r="TXS1010" s="182"/>
      <c r="TXT1010" s="182"/>
      <c r="TXU1010" s="182"/>
      <c r="TXV1010" s="182"/>
      <c r="TXW1010" s="182"/>
      <c r="TXX1010" s="182"/>
      <c r="TXY1010" s="182"/>
      <c r="TXZ1010" s="182"/>
      <c r="TYA1010" s="182"/>
      <c r="TYB1010" s="182"/>
      <c r="TYC1010" s="182"/>
      <c r="TYD1010" s="182"/>
      <c r="TYE1010" s="182"/>
      <c r="TYF1010" s="182"/>
      <c r="TYG1010" s="182"/>
      <c r="TYH1010" s="182"/>
      <c r="TYI1010" s="182"/>
      <c r="TYJ1010" s="182"/>
      <c r="TYK1010" s="182"/>
      <c r="TYL1010" s="182"/>
      <c r="TYM1010" s="182"/>
      <c r="TYN1010" s="182"/>
      <c r="TYO1010" s="182"/>
      <c r="TYP1010" s="182"/>
      <c r="TYQ1010" s="182"/>
      <c r="TYR1010" s="182"/>
      <c r="TYS1010" s="182"/>
      <c r="TYT1010" s="182"/>
      <c r="TYU1010" s="182"/>
      <c r="TYV1010" s="182"/>
      <c r="TYW1010" s="182"/>
      <c r="TYX1010" s="182"/>
      <c r="TYY1010" s="182"/>
      <c r="TYZ1010" s="182"/>
      <c r="TZA1010" s="182"/>
      <c r="TZB1010" s="182"/>
      <c r="TZC1010" s="182"/>
      <c r="TZD1010" s="182"/>
      <c r="TZE1010" s="182"/>
      <c r="TZF1010" s="182"/>
      <c r="TZG1010" s="182"/>
      <c r="TZH1010" s="182"/>
      <c r="TZI1010" s="182"/>
      <c r="TZJ1010" s="182"/>
      <c r="TZK1010" s="182"/>
      <c r="TZL1010" s="182"/>
      <c r="TZM1010" s="182"/>
      <c r="TZN1010" s="182"/>
      <c r="TZO1010" s="182"/>
      <c r="TZP1010" s="182"/>
      <c r="TZQ1010" s="182"/>
      <c r="TZR1010" s="182"/>
      <c r="TZS1010" s="182"/>
      <c r="TZT1010" s="182"/>
      <c r="TZU1010" s="182"/>
      <c r="TZV1010" s="182"/>
      <c r="TZW1010" s="182"/>
      <c r="TZX1010" s="182"/>
      <c r="TZY1010" s="182"/>
      <c r="TZZ1010" s="182"/>
      <c r="UAA1010" s="182"/>
      <c r="UAB1010" s="182"/>
      <c r="UAC1010" s="182"/>
      <c r="UAD1010" s="182"/>
      <c r="UAE1010" s="182"/>
      <c r="UAF1010" s="182"/>
      <c r="UAG1010" s="182"/>
      <c r="UAH1010" s="182"/>
      <c r="UAI1010" s="182"/>
      <c r="UAJ1010" s="182"/>
      <c r="UAK1010" s="182"/>
      <c r="UAL1010" s="182"/>
      <c r="UAM1010" s="182"/>
      <c r="UAN1010" s="182"/>
      <c r="UAO1010" s="182"/>
      <c r="UAP1010" s="182"/>
      <c r="UAQ1010" s="182"/>
      <c r="UAR1010" s="182"/>
      <c r="UAS1010" s="182"/>
      <c r="UAT1010" s="182"/>
      <c r="UAU1010" s="182"/>
      <c r="UAV1010" s="182"/>
      <c r="UAW1010" s="182"/>
      <c r="UAX1010" s="182"/>
      <c r="UAY1010" s="182"/>
      <c r="UAZ1010" s="182"/>
      <c r="UBA1010" s="182"/>
      <c r="UBB1010" s="182"/>
      <c r="UBC1010" s="182"/>
      <c r="UBD1010" s="182"/>
      <c r="UBE1010" s="182"/>
      <c r="UBF1010" s="182"/>
      <c r="UBG1010" s="182"/>
      <c r="UBH1010" s="182"/>
      <c r="UBI1010" s="182"/>
      <c r="UBJ1010" s="182"/>
      <c r="UBK1010" s="182"/>
      <c r="UBL1010" s="182"/>
      <c r="UBM1010" s="182"/>
      <c r="UBN1010" s="182"/>
      <c r="UBO1010" s="182"/>
      <c r="UBP1010" s="182"/>
      <c r="UBQ1010" s="182"/>
      <c r="UBR1010" s="182"/>
      <c r="UBS1010" s="182"/>
      <c r="UBT1010" s="182"/>
      <c r="UBU1010" s="182"/>
      <c r="UBV1010" s="182"/>
      <c r="UBW1010" s="182"/>
      <c r="UBX1010" s="182"/>
      <c r="UBY1010" s="182"/>
      <c r="UBZ1010" s="182"/>
      <c r="UCA1010" s="182"/>
      <c r="UCB1010" s="182"/>
      <c r="UCC1010" s="182"/>
      <c r="UCD1010" s="182"/>
      <c r="UCE1010" s="182"/>
      <c r="UCF1010" s="182"/>
      <c r="UCG1010" s="182"/>
      <c r="UCH1010" s="182"/>
      <c r="UCI1010" s="182"/>
      <c r="UCJ1010" s="182"/>
      <c r="UCK1010" s="182"/>
      <c r="UCL1010" s="182"/>
      <c r="UCM1010" s="182"/>
      <c r="UCN1010" s="182"/>
      <c r="UCO1010" s="182"/>
      <c r="UCP1010" s="182"/>
      <c r="UCQ1010" s="182"/>
      <c r="UCR1010" s="182"/>
      <c r="UCS1010" s="182"/>
      <c r="UCT1010" s="182"/>
      <c r="UCU1010" s="182"/>
      <c r="UCV1010" s="182"/>
      <c r="UCW1010" s="182"/>
      <c r="UCX1010" s="182"/>
      <c r="UCY1010" s="182"/>
      <c r="UCZ1010" s="182"/>
      <c r="UDA1010" s="182"/>
      <c r="UDB1010" s="182"/>
      <c r="UDC1010" s="182"/>
      <c r="UDD1010" s="182"/>
      <c r="UDE1010" s="182"/>
      <c r="UDF1010" s="182"/>
      <c r="UDG1010" s="182"/>
      <c r="UDH1010" s="182"/>
      <c r="UDI1010" s="182"/>
      <c r="UDJ1010" s="182"/>
      <c r="UDK1010" s="182"/>
      <c r="UDL1010" s="182"/>
      <c r="UDM1010" s="182"/>
      <c r="UDN1010" s="182"/>
      <c r="UDO1010" s="182"/>
      <c r="UDP1010" s="182"/>
      <c r="UDQ1010" s="182"/>
      <c r="UDR1010" s="182"/>
      <c r="UDS1010" s="182"/>
      <c r="UDT1010" s="182"/>
      <c r="UDU1010" s="182"/>
      <c r="UDV1010" s="182"/>
      <c r="UDW1010" s="182"/>
      <c r="UDX1010" s="182"/>
      <c r="UDY1010" s="182"/>
      <c r="UDZ1010" s="182"/>
      <c r="UEA1010" s="182"/>
      <c r="UEB1010" s="182"/>
      <c r="UEC1010" s="182"/>
      <c r="UED1010" s="182"/>
      <c r="UEE1010" s="182"/>
      <c r="UEF1010" s="182"/>
      <c r="UEG1010" s="182"/>
      <c r="UEH1010" s="182"/>
      <c r="UEI1010" s="182"/>
      <c r="UEJ1010" s="182"/>
      <c r="UEK1010" s="182"/>
      <c r="UEL1010" s="182"/>
      <c r="UEM1010" s="182"/>
      <c r="UEN1010" s="182"/>
      <c r="UEO1010" s="182"/>
      <c r="UEP1010" s="182"/>
      <c r="UEQ1010" s="182"/>
      <c r="UER1010" s="182"/>
      <c r="UES1010" s="182"/>
      <c r="UET1010" s="182"/>
      <c r="UEU1010" s="182"/>
      <c r="UEV1010" s="182"/>
      <c r="UEW1010" s="182"/>
      <c r="UEX1010" s="182"/>
      <c r="UEY1010" s="182"/>
      <c r="UEZ1010" s="182"/>
      <c r="UFA1010" s="182"/>
      <c r="UFB1010" s="182"/>
      <c r="UFC1010" s="182"/>
      <c r="UFD1010" s="182"/>
      <c r="UFE1010" s="182"/>
      <c r="UFF1010" s="182"/>
      <c r="UFG1010" s="182"/>
      <c r="UFH1010" s="182"/>
      <c r="UFI1010" s="182"/>
      <c r="UFJ1010" s="182"/>
      <c r="UFK1010" s="182"/>
      <c r="UFL1010" s="182"/>
      <c r="UFM1010" s="182"/>
      <c r="UFN1010" s="182"/>
      <c r="UFO1010" s="182"/>
      <c r="UFP1010" s="182"/>
      <c r="UFQ1010" s="182"/>
      <c r="UFR1010" s="182"/>
      <c r="UFS1010" s="182"/>
      <c r="UFT1010" s="182"/>
      <c r="UFU1010" s="182"/>
      <c r="UFV1010" s="182"/>
      <c r="UFW1010" s="182"/>
      <c r="UFX1010" s="182"/>
      <c r="UFY1010" s="182"/>
      <c r="UFZ1010" s="182"/>
      <c r="UGA1010" s="182"/>
      <c r="UGB1010" s="182"/>
      <c r="UGC1010" s="182"/>
      <c r="UGD1010" s="182"/>
      <c r="UGE1010" s="182"/>
      <c r="UGF1010" s="182"/>
      <c r="UGG1010" s="182"/>
      <c r="UGH1010" s="182"/>
      <c r="UGI1010" s="182"/>
      <c r="UGJ1010" s="182"/>
      <c r="UGK1010" s="182"/>
      <c r="UGL1010" s="182"/>
      <c r="UGM1010" s="182"/>
      <c r="UGN1010" s="182"/>
      <c r="UGO1010" s="182"/>
      <c r="UGP1010" s="182"/>
      <c r="UGQ1010" s="182"/>
      <c r="UGR1010" s="182"/>
      <c r="UGS1010" s="182"/>
      <c r="UGT1010" s="182"/>
      <c r="UGU1010" s="182"/>
      <c r="UGV1010" s="182"/>
      <c r="UGW1010" s="182"/>
      <c r="UGX1010" s="182"/>
      <c r="UGY1010" s="182"/>
      <c r="UGZ1010" s="182"/>
      <c r="UHA1010" s="182"/>
      <c r="UHB1010" s="182"/>
      <c r="UHC1010" s="182"/>
      <c r="UHD1010" s="182"/>
      <c r="UHE1010" s="182"/>
      <c r="UHF1010" s="182"/>
      <c r="UHG1010" s="182"/>
      <c r="UHH1010" s="182"/>
      <c r="UHI1010" s="182"/>
      <c r="UHJ1010" s="182"/>
      <c r="UHK1010" s="182"/>
      <c r="UHL1010" s="182"/>
      <c r="UHM1010" s="182"/>
      <c r="UHN1010" s="182"/>
      <c r="UHO1010" s="182"/>
      <c r="UHP1010" s="182"/>
      <c r="UHQ1010" s="182"/>
      <c r="UHR1010" s="182"/>
      <c r="UHS1010" s="182"/>
      <c r="UHT1010" s="182"/>
      <c r="UHU1010" s="182"/>
      <c r="UHV1010" s="182"/>
      <c r="UHW1010" s="182"/>
      <c r="UHX1010" s="182"/>
      <c r="UHY1010" s="182"/>
      <c r="UHZ1010" s="182"/>
      <c r="UIA1010" s="182"/>
      <c r="UIB1010" s="182"/>
      <c r="UIC1010" s="182"/>
      <c r="UID1010" s="182"/>
      <c r="UIE1010" s="182"/>
      <c r="UIF1010" s="182"/>
      <c r="UIG1010" s="182"/>
      <c r="UIH1010" s="182"/>
      <c r="UII1010" s="182"/>
      <c r="UIJ1010" s="182"/>
      <c r="UIK1010" s="182"/>
      <c r="UIL1010" s="182"/>
      <c r="UIM1010" s="182"/>
      <c r="UIN1010" s="182"/>
      <c r="UIO1010" s="182"/>
      <c r="UIP1010" s="182"/>
      <c r="UIQ1010" s="182"/>
      <c r="UIR1010" s="182"/>
      <c r="UIS1010" s="182"/>
      <c r="UIT1010" s="182"/>
      <c r="UIU1010" s="182"/>
      <c r="UIV1010" s="182"/>
      <c r="UIW1010" s="182"/>
      <c r="UIX1010" s="182"/>
      <c r="UIY1010" s="182"/>
      <c r="UIZ1010" s="182"/>
      <c r="UJA1010" s="182"/>
      <c r="UJB1010" s="182"/>
      <c r="UJC1010" s="182"/>
      <c r="UJD1010" s="182"/>
      <c r="UJE1010" s="182"/>
      <c r="UJF1010" s="182"/>
      <c r="UJG1010" s="182"/>
      <c r="UJH1010" s="182"/>
      <c r="UJI1010" s="182"/>
      <c r="UJJ1010" s="182"/>
      <c r="UJK1010" s="182"/>
      <c r="UJL1010" s="182"/>
      <c r="UJM1010" s="182"/>
      <c r="UJN1010" s="182"/>
      <c r="UJO1010" s="182"/>
      <c r="UJP1010" s="182"/>
      <c r="UJQ1010" s="182"/>
      <c r="UJR1010" s="182"/>
      <c r="UJS1010" s="182"/>
      <c r="UJT1010" s="182"/>
      <c r="UJU1010" s="182"/>
      <c r="UJV1010" s="182"/>
      <c r="UJW1010" s="182"/>
      <c r="UJX1010" s="182"/>
      <c r="UJY1010" s="182"/>
      <c r="UJZ1010" s="182"/>
      <c r="UKA1010" s="182"/>
      <c r="UKB1010" s="182"/>
      <c r="UKC1010" s="182"/>
      <c r="UKD1010" s="182"/>
      <c r="UKE1010" s="182"/>
      <c r="UKF1010" s="182"/>
      <c r="UKG1010" s="182"/>
      <c r="UKH1010" s="182"/>
      <c r="UKI1010" s="182"/>
      <c r="UKJ1010" s="182"/>
      <c r="UKK1010" s="182"/>
      <c r="UKL1010" s="182"/>
      <c r="UKM1010" s="182"/>
      <c r="UKN1010" s="182"/>
      <c r="UKO1010" s="182"/>
      <c r="UKP1010" s="182"/>
      <c r="UKQ1010" s="182"/>
      <c r="UKR1010" s="182"/>
      <c r="UKS1010" s="182"/>
      <c r="UKT1010" s="182"/>
      <c r="UKU1010" s="182"/>
      <c r="UKV1010" s="182"/>
      <c r="UKW1010" s="182"/>
      <c r="UKX1010" s="182"/>
      <c r="UKY1010" s="182"/>
      <c r="UKZ1010" s="182"/>
      <c r="ULA1010" s="182"/>
      <c r="ULB1010" s="182"/>
      <c r="ULC1010" s="182"/>
      <c r="ULD1010" s="182"/>
      <c r="ULE1010" s="182"/>
      <c r="ULF1010" s="182"/>
      <c r="ULG1010" s="182"/>
      <c r="ULH1010" s="182"/>
      <c r="ULI1010" s="182"/>
      <c r="ULJ1010" s="182"/>
      <c r="ULK1010" s="182"/>
      <c r="ULL1010" s="182"/>
      <c r="ULM1010" s="182"/>
      <c r="ULN1010" s="182"/>
      <c r="ULO1010" s="182"/>
      <c r="ULP1010" s="182"/>
      <c r="ULQ1010" s="182"/>
      <c r="ULR1010" s="182"/>
      <c r="ULS1010" s="182"/>
      <c r="ULT1010" s="182"/>
      <c r="ULU1010" s="182"/>
      <c r="ULV1010" s="182"/>
      <c r="ULW1010" s="182"/>
      <c r="ULX1010" s="182"/>
      <c r="ULY1010" s="182"/>
      <c r="ULZ1010" s="182"/>
      <c r="UMA1010" s="182"/>
      <c r="UMB1010" s="182"/>
      <c r="UMC1010" s="182"/>
      <c r="UMD1010" s="182"/>
      <c r="UME1010" s="182"/>
      <c r="UMF1010" s="182"/>
      <c r="UMG1010" s="182"/>
      <c r="UMH1010" s="182"/>
      <c r="UMI1010" s="182"/>
      <c r="UMJ1010" s="182"/>
      <c r="UMK1010" s="182"/>
      <c r="UML1010" s="182"/>
      <c r="UMM1010" s="182"/>
      <c r="UMN1010" s="182"/>
      <c r="UMO1010" s="182"/>
      <c r="UMP1010" s="182"/>
      <c r="UMQ1010" s="182"/>
      <c r="UMR1010" s="182"/>
      <c r="UMS1010" s="182"/>
      <c r="UMT1010" s="182"/>
      <c r="UMU1010" s="182"/>
      <c r="UMV1010" s="182"/>
      <c r="UMW1010" s="182"/>
      <c r="UMX1010" s="182"/>
      <c r="UMY1010" s="182"/>
      <c r="UMZ1010" s="182"/>
      <c r="UNA1010" s="182"/>
      <c r="UNB1010" s="182"/>
      <c r="UNC1010" s="182"/>
      <c r="UND1010" s="182"/>
      <c r="UNE1010" s="182"/>
      <c r="UNF1010" s="182"/>
      <c r="UNG1010" s="182"/>
      <c r="UNH1010" s="182"/>
      <c r="UNI1010" s="182"/>
      <c r="UNJ1010" s="182"/>
      <c r="UNK1010" s="182"/>
      <c r="UNL1010" s="182"/>
      <c r="UNM1010" s="182"/>
      <c r="UNN1010" s="182"/>
      <c r="UNO1010" s="182"/>
      <c r="UNP1010" s="182"/>
      <c r="UNQ1010" s="182"/>
      <c r="UNR1010" s="182"/>
      <c r="UNS1010" s="182"/>
      <c r="UNT1010" s="182"/>
      <c r="UNU1010" s="182"/>
      <c r="UNV1010" s="182"/>
      <c r="UNW1010" s="182"/>
      <c r="UNX1010" s="182"/>
      <c r="UNY1010" s="182"/>
      <c r="UNZ1010" s="182"/>
      <c r="UOA1010" s="182"/>
      <c r="UOB1010" s="182"/>
      <c r="UOC1010" s="182"/>
      <c r="UOD1010" s="182"/>
      <c r="UOE1010" s="182"/>
      <c r="UOF1010" s="182"/>
      <c r="UOG1010" s="182"/>
      <c r="UOH1010" s="182"/>
      <c r="UOI1010" s="182"/>
      <c r="UOJ1010" s="182"/>
      <c r="UOK1010" s="182"/>
      <c r="UOL1010" s="182"/>
      <c r="UOM1010" s="182"/>
      <c r="UON1010" s="182"/>
      <c r="UOO1010" s="182"/>
      <c r="UOP1010" s="182"/>
      <c r="UOQ1010" s="182"/>
      <c r="UOR1010" s="182"/>
      <c r="UOS1010" s="182"/>
      <c r="UOT1010" s="182"/>
      <c r="UOU1010" s="182"/>
      <c r="UOV1010" s="182"/>
      <c r="UOW1010" s="182"/>
      <c r="UOX1010" s="182"/>
      <c r="UOY1010" s="182"/>
      <c r="UOZ1010" s="182"/>
      <c r="UPA1010" s="182"/>
      <c r="UPB1010" s="182"/>
      <c r="UPC1010" s="182"/>
      <c r="UPD1010" s="182"/>
      <c r="UPE1010" s="182"/>
      <c r="UPF1010" s="182"/>
      <c r="UPG1010" s="182"/>
      <c r="UPH1010" s="182"/>
      <c r="UPI1010" s="182"/>
      <c r="UPJ1010" s="182"/>
      <c r="UPK1010" s="182"/>
      <c r="UPL1010" s="182"/>
      <c r="UPM1010" s="182"/>
      <c r="UPN1010" s="182"/>
      <c r="UPO1010" s="182"/>
      <c r="UPP1010" s="182"/>
      <c r="UPQ1010" s="182"/>
      <c r="UPR1010" s="182"/>
      <c r="UPS1010" s="182"/>
      <c r="UPT1010" s="182"/>
      <c r="UPU1010" s="182"/>
      <c r="UPV1010" s="182"/>
      <c r="UPW1010" s="182"/>
      <c r="UPX1010" s="182"/>
      <c r="UPY1010" s="182"/>
      <c r="UPZ1010" s="182"/>
      <c r="UQA1010" s="182"/>
      <c r="UQB1010" s="182"/>
      <c r="UQC1010" s="182"/>
      <c r="UQD1010" s="182"/>
      <c r="UQE1010" s="182"/>
      <c r="UQF1010" s="182"/>
      <c r="UQG1010" s="182"/>
      <c r="UQH1010" s="182"/>
      <c r="UQI1010" s="182"/>
      <c r="UQJ1010" s="182"/>
      <c r="UQK1010" s="182"/>
      <c r="UQL1010" s="182"/>
      <c r="UQM1010" s="182"/>
      <c r="UQN1010" s="182"/>
      <c r="UQO1010" s="182"/>
      <c r="UQP1010" s="182"/>
      <c r="UQQ1010" s="182"/>
      <c r="UQR1010" s="182"/>
      <c r="UQS1010" s="182"/>
      <c r="UQT1010" s="182"/>
      <c r="UQU1010" s="182"/>
      <c r="UQV1010" s="182"/>
      <c r="UQW1010" s="182"/>
      <c r="UQX1010" s="182"/>
      <c r="UQY1010" s="182"/>
      <c r="UQZ1010" s="182"/>
      <c r="URA1010" s="182"/>
      <c r="URB1010" s="182"/>
      <c r="URC1010" s="182"/>
      <c r="URD1010" s="182"/>
      <c r="URE1010" s="182"/>
      <c r="URF1010" s="182"/>
      <c r="URG1010" s="182"/>
      <c r="URH1010" s="182"/>
      <c r="URI1010" s="182"/>
      <c r="URJ1010" s="182"/>
      <c r="URK1010" s="182"/>
      <c r="URL1010" s="182"/>
      <c r="URM1010" s="182"/>
      <c r="URN1010" s="182"/>
      <c r="URO1010" s="182"/>
      <c r="URP1010" s="182"/>
      <c r="URQ1010" s="182"/>
      <c r="URR1010" s="182"/>
      <c r="URS1010" s="182"/>
      <c r="URT1010" s="182"/>
      <c r="URU1010" s="182"/>
      <c r="URV1010" s="182"/>
      <c r="URW1010" s="182"/>
      <c r="URX1010" s="182"/>
      <c r="URY1010" s="182"/>
      <c r="URZ1010" s="182"/>
      <c r="USA1010" s="182"/>
      <c r="USB1010" s="182"/>
      <c r="USC1010" s="182"/>
      <c r="USD1010" s="182"/>
      <c r="USE1010" s="182"/>
      <c r="USF1010" s="182"/>
      <c r="USG1010" s="182"/>
      <c r="USH1010" s="182"/>
      <c r="USI1010" s="182"/>
      <c r="USJ1010" s="182"/>
      <c r="USK1010" s="182"/>
      <c r="USL1010" s="182"/>
      <c r="USM1010" s="182"/>
      <c r="USN1010" s="182"/>
      <c r="USO1010" s="182"/>
      <c r="USP1010" s="182"/>
      <c r="USQ1010" s="182"/>
      <c r="USR1010" s="182"/>
      <c r="USS1010" s="182"/>
      <c r="UST1010" s="182"/>
      <c r="USU1010" s="182"/>
      <c r="USV1010" s="182"/>
      <c r="USW1010" s="182"/>
      <c r="USX1010" s="182"/>
      <c r="USY1010" s="182"/>
      <c r="USZ1010" s="182"/>
      <c r="UTA1010" s="182"/>
      <c r="UTB1010" s="182"/>
      <c r="UTC1010" s="182"/>
      <c r="UTD1010" s="182"/>
      <c r="UTE1010" s="182"/>
      <c r="UTF1010" s="182"/>
      <c r="UTG1010" s="182"/>
      <c r="UTH1010" s="182"/>
      <c r="UTI1010" s="182"/>
      <c r="UTJ1010" s="182"/>
      <c r="UTK1010" s="182"/>
      <c r="UTL1010" s="182"/>
      <c r="UTM1010" s="182"/>
      <c r="UTN1010" s="182"/>
      <c r="UTO1010" s="182"/>
      <c r="UTP1010" s="182"/>
      <c r="UTQ1010" s="182"/>
      <c r="UTR1010" s="182"/>
      <c r="UTS1010" s="182"/>
      <c r="UTT1010" s="182"/>
      <c r="UTU1010" s="182"/>
      <c r="UTV1010" s="182"/>
      <c r="UTW1010" s="182"/>
      <c r="UTX1010" s="182"/>
      <c r="UTY1010" s="182"/>
      <c r="UTZ1010" s="182"/>
      <c r="UUA1010" s="182"/>
      <c r="UUB1010" s="182"/>
      <c r="UUC1010" s="182"/>
      <c r="UUD1010" s="182"/>
      <c r="UUE1010" s="182"/>
      <c r="UUF1010" s="182"/>
      <c r="UUG1010" s="182"/>
      <c r="UUH1010" s="182"/>
      <c r="UUI1010" s="182"/>
      <c r="UUJ1010" s="182"/>
      <c r="UUK1010" s="182"/>
      <c r="UUL1010" s="182"/>
      <c r="UUM1010" s="182"/>
      <c r="UUN1010" s="182"/>
      <c r="UUO1010" s="182"/>
      <c r="UUP1010" s="182"/>
      <c r="UUQ1010" s="182"/>
      <c r="UUR1010" s="182"/>
      <c r="UUS1010" s="182"/>
      <c r="UUT1010" s="182"/>
      <c r="UUU1010" s="182"/>
      <c r="UUV1010" s="182"/>
      <c r="UUW1010" s="182"/>
      <c r="UUX1010" s="182"/>
      <c r="UUY1010" s="182"/>
      <c r="UUZ1010" s="182"/>
      <c r="UVA1010" s="182"/>
      <c r="UVB1010" s="182"/>
      <c r="UVC1010" s="182"/>
      <c r="UVD1010" s="182"/>
      <c r="UVE1010" s="182"/>
      <c r="UVF1010" s="182"/>
      <c r="UVG1010" s="182"/>
      <c r="UVH1010" s="182"/>
      <c r="UVI1010" s="182"/>
      <c r="UVJ1010" s="182"/>
      <c r="UVK1010" s="182"/>
      <c r="UVL1010" s="182"/>
      <c r="UVM1010" s="182"/>
      <c r="UVN1010" s="182"/>
      <c r="UVO1010" s="182"/>
      <c r="UVP1010" s="182"/>
      <c r="UVQ1010" s="182"/>
      <c r="UVR1010" s="182"/>
      <c r="UVS1010" s="182"/>
      <c r="UVT1010" s="182"/>
      <c r="UVU1010" s="182"/>
      <c r="UVV1010" s="182"/>
      <c r="UVW1010" s="182"/>
      <c r="UVX1010" s="182"/>
      <c r="UVY1010" s="182"/>
      <c r="UVZ1010" s="182"/>
      <c r="UWA1010" s="182"/>
      <c r="UWB1010" s="182"/>
      <c r="UWC1010" s="182"/>
      <c r="UWD1010" s="182"/>
      <c r="UWE1010" s="182"/>
      <c r="UWF1010" s="182"/>
      <c r="UWG1010" s="182"/>
      <c r="UWH1010" s="182"/>
      <c r="UWI1010" s="182"/>
      <c r="UWJ1010" s="182"/>
      <c r="UWK1010" s="182"/>
      <c r="UWL1010" s="182"/>
      <c r="UWM1010" s="182"/>
      <c r="UWN1010" s="182"/>
      <c r="UWO1010" s="182"/>
      <c r="UWP1010" s="182"/>
      <c r="UWQ1010" s="182"/>
      <c r="UWR1010" s="182"/>
      <c r="UWS1010" s="182"/>
      <c r="UWT1010" s="182"/>
      <c r="UWU1010" s="182"/>
      <c r="UWV1010" s="182"/>
      <c r="UWW1010" s="182"/>
      <c r="UWX1010" s="182"/>
      <c r="UWY1010" s="182"/>
      <c r="UWZ1010" s="182"/>
      <c r="UXA1010" s="182"/>
      <c r="UXB1010" s="182"/>
      <c r="UXC1010" s="182"/>
      <c r="UXD1010" s="182"/>
      <c r="UXE1010" s="182"/>
      <c r="UXF1010" s="182"/>
      <c r="UXG1010" s="182"/>
      <c r="UXH1010" s="182"/>
      <c r="UXI1010" s="182"/>
      <c r="UXJ1010" s="182"/>
      <c r="UXK1010" s="182"/>
      <c r="UXL1010" s="182"/>
      <c r="UXM1010" s="182"/>
      <c r="UXN1010" s="182"/>
      <c r="UXO1010" s="182"/>
      <c r="UXP1010" s="182"/>
      <c r="UXQ1010" s="182"/>
      <c r="UXR1010" s="182"/>
      <c r="UXS1010" s="182"/>
      <c r="UXT1010" s="182"/>
      <c r="UXU1010" s="182"/>
      <c r="UXV1010" s="182"/>
      <c r="UXW1010" s="182"/>
      <c r="UXX1010" s="182"/>
      <c r="UXY1010" s="182"/>
      <c r="UXZ1010" s="182"/>
      <c r="UYA1010" s="182"/>
      <c r="UYB1010" s="182"/>
      <c r="UYC1010" s="182"/>
      <c r="UYD1010" s="182"/>
      <c r="UYE1010" s="182"/>
      <c r="UYF1010" s="182"/>
      <c r="UYG1010" s="182"/>
      <c r="UYH1010" s="182"/>
      <c r="UYI1010" s="182"/>
      <c r="UYJ1010" s="182"/>
      <c r="UYK1010" s="182"/>
      <c r="UYL1010" s="182"/>
      <c r="UYM1010" s="182"/>
      <c r="UYN1010" s="182"/>
      <c r="UYO1010" s="182"/>
      <c r="UYP1010" s="182"/>
      <c r="UYQ1010" s="182"/>
      <c r="UYR1010" s="182"/>
      <c r="UYS1010" s="182"/>
      <c r="UYT1010" s="182"/>
      <c r="UYU1010" s="182"/>
      <c r="UYV1010" s="182"/>
      <c r="UYW1010" s="182"/>
      <c r="UYX1010" s="182"/>
      <c r="UYY1010" s="182"/>
      <c r="UYZ1010" s="182"/>
      <c r="UZA1010" s="182"/>
      <c r="UZB1010" s="182"/>
      <c r="UZC1010" s="182"/>
      <c r="UZD1010" s="182"/>
      <c r="UZE1010" s="182"/>
      <c r="UZF1010" s="182"/>
      <c r="UZG1010" s="182"/>
      <c r="UZH1010" s="182"/>
      <c r="UZI1010" s="182"/>
      <c r="UZJ1010" s="182"/>
      <c r="UZK1010" s="182"/>
      <c r="UZL1010" s="182"/>
      <c r="UZM1010" s="182"/>
      <c r="UZN1010" s="182"/>
      <c r="UZO1010" s="182"/>
      <c r="UZP1010" s="182"/>
      <c r="UZQ1010" s="182"/>
      <c r="UZR1010" s="182"/>
      <c r="UZS1010" s="182"/>
      <c r="UZT1010" s="182"/>
      <c r="UZU1010" s="182"/>
      <c r="UZV1010" s="182"/>
      <c r="UZW1010" s="182"/>
      <c r="UZX1010" s="182"/>
      <c r="UZY1010" s="182"/>
      <c r="UZZ1010" s="182"/>
      <c r="VAA1010" s="182"/>
      <c r="VAB1010" s="182"/>
      <c r="VAC1010" s="182"/>
      <c r="VAD1010" s="182"/>
      <c r="VAE1010" s="182"/>
      <c r="VAF1010" s="182"/>
      <c r="VAG1010" s="182"/>
      <c r="VAH1010" s="182"/>
      <c r="VAI1010" s="182"/>
      <c r="VAJ1010" s="182"/>
      <c r="VAK1010" s="182"/>
      <c r="VAL1010" s="182"/>
      <c r="VAM1010" s="182"/>
      <c r="VAN1010" s="182"/>
      <c r="VAO1010" s="182"/>
      <c r="VAP1010" s="182"/>
      <c r="VAQ1010" s="182"/>
      <c r="VAR1010" s="182"/>
      <c r="VAS1010" s="182"/>
      <c r="VAT1010" s="182"/>
      <c r="VAU1010" s="182"/>
      <c r="VAV1010" s="182"/>
      <c r="VAW1010" s="182"/>
      <c r="VAX1010" s="182"/>
      <c r="VAY1010" s="182"/>
      <c r="VAZ1010" s="182"/>
      <c r="VBA1010" s="182"/>
      <c r="VBB1010" s="182"/>
      <c r="VBC1010" s="182"/>
      <c r="VBD1010" s="182"/>
      <c r="VBE1010" s="182"/>
      <c r="VBF1010" s="182"/>
      <c r="VBG1010" s="182"/>
      <c r="VBH1010" s="182"/>
      <c r="VBI1010" s="182"/>
      <c r="VBJ1010" s="182"/>
      <c r="VBK1010" s="182"/>
      <c r="VBL1010" s="182"/>
      <c r="VBM1010" s="182"/>
      <c r="VBN1010" s="182"/>
      <c r="VBO1010" s="182"/>
      <c r="VBP1010" s="182"/>
      <c r="VBQ1010" s="182"/>
      <c r="VBR1010" s="182"/>
      <c r="VBS1010" s="182"/>
      <c r="VBT1010" s="182"/>
      <c r="VBU1010" s="182"/>
      <c r="VBV1010" s="182"/>
      <c r="VBW1010" s="182"/>
      <c r="VBX1010" s="182"/>
      <c r="VBY1010" s="182"/>
      <c r="VBZ1010" s="182"/>
      <c r="VCA1010" s="182"/>
      <c r="VCB1010" s="182"/>
      <c r="VCC1010" s="182"/>
      <c r="VCD1010" s="182"/>
      <c r="VCE1010" s="182"/>
      <c r="VCF1010" s="182"/>
      <c r="VCG1010" s="182"/>
      <c r="VCH1010" s="182"/>
      <c r="VCI1010" s="182"/>
      <c r="VCJ1010" s="182"/>
      <c r="VCK1010" s="182"/>
      <c r="VCL1010" s="182"/>
      <c r="VCM1010" s="182"/>
      <c r="VCN1010" s="182"/>
      <c r="VCO1010" s="182"/>
      <c r="VCP1010" s="182"/>
      <c r="VCQ1010" s="182"/>
      <c r="VCR1010" s="182"/>
      <c r="VCS1010" s="182"/>
      <c r="VCT1010" s="182"/>
      <c r="VCU1010" s="182"/>
      <c r="VCV1010" s="182"/>
      <c r="VCW1010" s="182"/>
      <c r="VCX1010" s="182"/>
      <c r="VCY1010" s="182"/>
      <c r="VCZ1010" s="182"/>
      <c r="VDA1010" s="182"/>
      <c r="VDB1010" s="182"/>
      <c r="VDC1010" s="182"/>
      <c r="VDD1010" s="182"/>
      <c r="VDE1010" s="182"/>
      <c r="VDF1010" s="182"/>
      <c r="VDG1010" s="182"/>
      <c r="VDH1010" s="182"/>
      <c r="VDI1010" s="182"/>
      <c r="VDJ1010" s="182"/>
      <c r="VDK1010" s="182"/>
      <c r="VDL1010" s="182"/>
      <c r="VDM1010" s="182"/>
      <c r="VDN1010" s="182"/>
      <c r="VDO1010" s="182"/>
      <c r="VDP1010" s="182"/>
      <c r="VDQ1010" s="182"/>
      <c r="VDR1010" s="182"/>
      <c r="VDS1010" s="182"/>
      <c r="VDT1010" s="182"/>
      <c r="VDU1010" s="182"/>
      <c r="VDV1010" s="182"/>
      <c r="VDW1010" s="182"/>
      <c r="VDX1010" s="182"/>
      <c r="VDY1010" s="182"/>
      <c r="VDZ1010" s="182"/>
      <c r="VEA1010" s="182"/>
      <c r="VEB1010" s="182"/>
      <c r="VEC1010" s="182"/>
      <c r="VED1010" s="182"/>
      <c r="VEE1010" s="182"/>
      <c r="VEF1010" s="182"/>
      <c r="VEG1010" s="182"/>
      <c r="VEH1010" s="182"/>
      <c r="VEI1010" s="182"/>
      <c r="VEJ1010" s="182"/>
      <c r="VEK1010" s="182"/>
      <c r="VEL1010" s="182"/>
      <c r="VEM1010" s="182"/>
      <c r="VEN1010" s="182"/>
      <c r="VEO1010" s="182"/>
      <c r="VEP1010" s="182"/>
      <c r="VEQ1010" s="182"/>
      <c r="VER1010" s="182"/>
      <c r="VES1010" s="182"/>
      <c r="VET1010" s="182"/>
      <c r="VEU1010" s="182"/>
      <c r="VEV1010" s="182"/>
      <c r="VEW1010" s="182"/>
      <c r="VEX1010" s="182"/>
      <c r="VEY1010" s="182"/>
      <c r="VEZ1010" s="182"/>
      <c r="VFA1010" s="182"/>
      <c r="VFB1010" s="182"/>
      <c r="VFC1010" s="182"/>
      <c r="VFD1010" s="182"/>
      <c r="VFE1010" s="182"/>
      <c r="VFF1010" s="182"/>
      <c r="VFG1010" s="182"/>
      <c r="VFH1010" s="182"/>
      <c r="VFI1010" s="182"/>
      <c r="VFJ1010" s="182"/>
      <c r="VFK1010" s="182"/>
      <c r="VFL1010" s="182"/>
      <c r="VFM1010" s="182"/>
      <c r="VFN1010" s="182"/>
      <c r="VFO1010" s="182"/>
      <c r="VFP1010" s="182"/>
      <c r="VFQ1010" s="182"/>
      <c r="VFR1010" s="182"/>
      <c r="VFS1010" s="182"/>
      <c r="VFT1010" s="182"/>
      <c r="VFU1010" s="182"/>
      <c r="VFV1010" s="182"/>
      <c r="VFW1010" s="182"/>
      <c r="VFX1010" s="182"/>
      <c r="VFY1010" s="182"/>
      <c r="VFZ1010" s="182"/>
      <c r="VGA1010" s="182"/>
      <c r="VGB1010" s="182"/>
      <c r="VGC1010" s="182"/>
      <c r="VGD1010" s="182"/>
      <c r="VGE1010" s="182"/>
      <c r="VGF1010" s="182"/>
      <c r="VGG1010" s="182"/>
      <c r="VGH1010" s="182"/>
      <c r="VGI1010" s="182"/>
      <c r="VGJ1010" s="182"/>
      <c r="VGK1010" s="182"/>
      <c r="VGL1010" s="182"/>
      <c r="VGM1010" s="182"/>
      <c r="VGN1010" s="182"/>
      <c r="VGO1010" s="182"/>
      <c r="VGP1010" s="182"/>
      <c r="VGQ1010" s="182"/>
      <c r="VGR1010" s="182"/>
      <c r="VGS1010" s="182"/>
      <c r="VGT1010" s="182"/>
      <c r="VGU1010" s="182"/>
      <c r="VGV1010" s="182"/>
      <c r="VGW1010" s="182"/>
      <c r="VGX1010" s="182"/>
      <c r="VGY1010" s="182"/>
      <c r="VGZ1010" s="182"/>
      <c r="VHA1010" s="182"/>
      <c r="VHB1010" s="182"/>
      <c r="VHC1010" s="182"/>
      <c r="VHD1010" s="182"/>
      <c r="VHE1010" s="182"/>
      <c r="VHF1010" s="182"/>
      <c r="VHG1010" s="182"/>
      <c r="VHH1010" s="182"/>
      <c r="VHI1010" s="182"/>
      <c r="VHJ1010" s="182"/>
      <c r="VHK1010" s="182"/>
      <c r="VHL1010" s="182"/>
      <c r="VHM1010" s="182"/>
      <c r="VHN1010" s="182"/>
      <c r="VHO1010" s="182"/>
      <c r="VHP1010" s="182"/>
      <c r="VHQ1010" s="182"/>
      <c r="VHR1010" s="182"/>
      <c r="VHS1010" s="182"/>
      <c r="VHT1010" s="182"/>
      <c r="VHU1010" s="182"/>
      <c r="VHV1010" s="182"/>
      <c r="VHW1010" s="182"/>
      <c r="VHX1010" s="182"/>
      <c r="VHY1010" s="182"/>
      <c r="VHZ1010" s="182"/>
      <c r="VIA1010" s="182"/>
      <c r="VIB1010" s="182"/>
      <c r="VIC1010" s="182"/>
      <c r="VID1010" s="182"/>
      <c r="VIE1010" s="182"/>
      <c r="VIF1010" s="182"/>
      <c r="VIG1010" s="182"/>
      <c r="VIH1010" s="182"/>
      <c r="VII1010" s="182"/>
      <c r="VIJ1010" s="182"/>
      <c r="VIK1010" s="182"/>
      <c r="VIL1010" s="182"/>
      <c r="VIM1010" s="182"/>
      <c r="VIN1010" s="182"/>
      <c r="VIO1010" s="182"/>
      <c r="VIP1010" s="182"/>
      <c r="VIQ1010" s="182"/>
      <c r="VIR1010" s="182"/>
      <c r="VIS1010" s="182"/>
      <c r="VIT1010" s="182"/>
      <c r="VIU1010" s="182"/>
      <c r="VIV1010" s="182"/>
      <c r="VIW1010" s="182"/>
      <c r="VIX1010" s="182"/>
      <c r="VIY1010" s="182"/>
      <c r="VIZ1010" s="182"/>
      <c r="VJA1010" s="182"/>
      <c r="VJB1010" s="182"/>
      <c r="VJC1010" s="182"/>
      <c r="VJD1010" s="182"/>
      <c r="VJE1010" s="182"/>
      <c r="VJF1010" s="182"/>
      <c r="VJG1010" s="182"/>
      <c r="VJH1010" s="182"/>
      <c r="VJI1010" s="182"/>
      <c r="VJJ1010" s="182"/>
      <c r="VJK1010" s="182"/>
      <c r="VJL1010" s="182"/>
      <c r="VJM1010" s="182"/>
      <c r="VJN1010" s="182"/>
      <c r="VJO1010" s="182"/>
      <c r="VJP1010" s="182"/>
      <c r="VJQ1010" s="182"/>
      <c r="VJR1010" s="182"/>
      <c r="VJS1010" s="182"/>
      <c r="VJT1010" s="182"/>
      <c r="VJU1010" s="182"/>
      <c r="VJV1010" s="182"/>
      <c r="VJW1010" s="182"/>
      <c r="VJX1010" s="182"/>
      <c r="VJY1010" s="182"/>
      <c r="VJZ1010" s="182"/>
      <c r="VKA1010" s="182"/>
      <c r="VKB1010" s="182"/>
      <c r="VKC1010" s="182"/>
      <c r="VKD1010" s="182"/>
      <c r="VKE1010" s="182"/>
      <c r="VKF1010" s="182"/>
      <c r="VKG1010" s="182"/>
      <c r="VKH1010" s="182"/>
      <c r="VKI1010" s="182"/>
      <c r="VKJ1010" s="182"/>
      <c r="VKK1010" s="182"/>
      <c r="VKL1010" s="182"/>
      <c r="VKM1010" s="182"/>
      <c r="VKN1010" s="182"/>
      <c r="VKO1010" s="182"/>
      <c r="VKP1010" s="182"/>
      <c r="VKQ1010" s="182"/>
      <c r="VKR1010" s="182"/>
      <c r="VKS1010" s="182"/>
      <c r="VKT1010" s="182"/>
      <c r="VKU1010" s="182"/>
      <c r="VKV1010" s="182"/>
      <c r="VKW1010" s="182"/>
      <c r="VKX1010" s="182"/>
      <c r="VKY1010" s="182"/>
      <c r="VKZ1010" s="182"/>
      <c r="VLA1010" s="182"/>
      <c r="VLB1010" s="182"/>
      <c r="VLC1010" s="182"/>
      <c r="VLD1010" s="182"/>
      <c r="VLE1010" s="182"/>
      <c r="VLF1010" s="182"/>
      <c r="VLG1010" s="182"/>
      <c r="VLH1010" s="182"/>
      <c r="VLI1010" s="182"/>
      <c r="VLJ1010" s="182"/>
      <c r="VLK1010" s="182"/>
      <c r="VLL1010" s="182"/>
      <c r="VLM1010" s="182"/>
      <c r="VLN1010" s="182"/>
      <c r="VLO1010" s="182"/>
      <c r="VLP1010" s="182"/>
      <c r="VLQ1010" s="182"/>
      <c r="VLR1010" s="182"/>
      <c r="VLS1010" s="182"/>
      <c r="VLT1010" s="182"/>
      <c r="VLU1010" s="182"/>
      <c r="VLV1010" s="182"/>
      <c r="VLW1010" s="182"/>
      <c r="VLX1010" s="182"/>
      <c r="VLY1010" s="182"/>
      <c r="VLZ1010" s="182"/>
      <c r="VMA1010" s="182"/>
      <c r="VMB1010" s="182"/>
      <c r="VMC1010" s="182"/>
      <c r="VMD1010" s="182"/>
      <c r="VME1010" s="182"/>
      <c r="VMF1010" s="182"/>
      <c r="VMG1010" s="182"/>
      <c r="VMH1010" s="182"/>
      <c r="VMI1010" s="182"/>
      <c r="VMJ1010" s="182"/>
      <c r="VMK1010" s="182"/>
      <c r="VML1010" s="182"/>
      <c r="VMM1010" s="182"/>
      <c r="VMN1010" s="182"/>
      <c r="VMO1010" s="182"/>
      <c r="VMP1010" s="182"/>
      <c r="VMQ1010" s="182"/>
      <c r="VMR1010" s="182"/>
      <c r="VMS1010" s="182"/>
      <c r="VMT1010" s="182"/>
      <c r="VMU1010" s="182"/>
      <c r="VMV1010" s="182"/>
      <c r="VMW1010" s="182"/>
      <c r="VMX1010" s="182"/>
      <c r="VMY1010" s="182"/>
      <c r="VMZ1010" s="182"/>
      <c r="VNA1010" s="182"/>
      <c r="VNB1010" s="182"/>
      <c r="VNC1010" s="182"/>
      <c r="VND1010" s="182"/>
      <c r="VNE1010" s="182"/>
      <c r="VNF1010" s="182"/>
      <c r="VNG1010" s="182"/>
      <c r="VNH1010" s="182"/>
      <c r="VNI1010" s="182"/>
      <c r="VNJ1010" s="182"/>
      <c r="VNK1010" s="182"/>
      <c r="VNL1010" s="182"/>
      <c r="VNM1010" s="182"/>
      <c r="VNN1010" s="182"/>
      <c r="VNO1010" s="182"/>
      <c r="VNP1010" s="182"/>
      <c r="VNQ1010" s="182"/>
      <c r="VNR1010" s="182"/>
      <c r="VNS1010" s="182"/>
      <c r="VNT1010" s="182"/>
      <c r="VNU1010" s="182"/>
      <c r="VNV1010" s="182"/>
      <c r="VNW1010" s="182"/>
      <c r="VNX1010" s="182"/>
      <c r="VNY1010" s="182"/>
      <c r="VNZ1010" s="182"/>
      <c r="VOA1010" s="182"/>
      <c r="VOB1010" s="182"/>
      <c r="VOC1010" s="182"/>
      <c r="VOD1010" s="182"/>
      <c r="VOE1010" s="182"/>
      <c r="VOF1010" s="182"/>
      <c r="VOG1010" s="182"/>
      <c r="VOH1010" s="182"/>
      <c r="VOI1010" s="182"/>
      <c r="VOJ1010" s="182"/>
      <c r="VOK1010" s="182"/>
      <c r="VOL1010" s="182"/>
      <c r="VOM1010" s="182"/>
      <c r="VON1010" s="182"/>
      <c r="VOO1010" s="182"/>
      <c r="VOP1010" s="182"/>
      <c r="VOQ1010" s="182"/>
      <c r="VOR1010" s="182"/>
      <c r="VOS1010" s="182"/>
      <c r="VOT1010" s="182"/>
      <c r="VOU1010" s="182"/>
      <c r="VOV1010" s="182"/>
      <c r="VOW1010" s="182"/>
      <c r="VOX1010" s="182"/>
      <c r="VOY1010" s="182"/>
      <c r="VOZ1010" s="182"/>
      <c r="VPA1010" s="182"/>
      <c r="VPB1010" s="182"/>
      <c r="VPC1010" s="182"/>
      <c r="VPD1010" s="182"/>
      <c r="VPE1010" s="182"/>
      <c r="VPF1010" s="182"/>
      <c r="VPG1010" s="182"/>
      <c r="VPH1010" s="182"/>
      <c r="VPI1010" s="182"/>
      <c r="VPJ1010" s="182"/>
      <c r="VPK1010" s="182"/>
      <c r="VPL1010" s="182"/>
      <c r="VPM1010" s="182"/>
      <c r="VPN1010" s="182"/>
      <c r="VPO1010" s="182"/>
      <c r="VPP1010" s="182"/>
      <c r="VPQ1010" s="182"/>
      <c r="VPR1010" s="182"/>
      <c r="VPS1010" s="182"/>
      <c r="VPT1010" s="182"/>
      <c r="VPU1010" s="182"/>
      <c r="VPV1010" s="182"/>
      <c r="VPW1010" s="182"/>
      <c r="VPX1010" s="182"/>
      <c r="VPY1010" s="182"/>
      <c r="VPZ1010" s="182"/>
      <c r="VQA1010" s="182"/>
      <c r="VQB1010" s="182"/>
      <c r="VQC1010" s="182"/>
      <c r="VQD1010" s="182"/>
      <c r="VQE1010" s="182"/>
      <c r="VQF1010" s="182"/>
      <c r="VQG1010" s="182"/>
      <c r="VQH1010" s="182"/>
      <c r="VQI1010" s="182"/>
      <c r="VQJ1010" s="182"/>
      <c r="VQK1010" s="182"/>
      <c r="VQL1010" s="182"/>
      <c r="VQM1010" s="182"/>
      <c r="VQN1010" s="182"/>
      <c r="VQO1010" s="182"/>
      <c r="VQP1010" s="182"/>
      <c r="VQQ1010" s="182"/>
      <c r="VQR1010" s="182"/>
      <c r="VQS1010" s="182"/>
      <c r="VQT1010" s="182"/>
      <c r="VQU1010" s="182"/>
      <c r="VQV1010" s="182"/>
      <c r="VQW1010" s="182"/>
      <c r="VQX1010" s="182"/>
      <c r="VQY1010" s="182"/>
      <c r="VQZ1010" s="182"/>
      <c r="VRA1010" s="182"/>
      <c r="VRB1010" s="182"/>
      <c r="VRC1010" s="182"/>
      <c r="VRD1010" s="182"/>
      <c r="VRE1010" s="182"/>
      <c r="VRF1010" s="182"/>
      <c r="VRG1010" s="182"/>
      <c r="VRH1010" s="182"/>
      <c r="VRI1010" s="182"/>
      <c r="VRJ1010" s="182"/>
      <c r="VRK1010" s="182"/>
      <c r="VRL1010" s="182"/>
      <c r="VRM1010" s="182"/>
      <c r="VRN1010" s="182"/>
      <c r="VRO1010" s="182"/>
      <c r="VRP1010" s="182"/>
      <c r="VRQ1010" s="182"/>
      <c r="VRR1010" s="182"/>
      <c r="VRS1010" s="182"/>
      <c r="VRT1010" s="182"/>
      <c r="VRU1010" s="182"/>
      <c r="VRV1010" s="182"/>
      <c r="VRW1010" s="182"/>
      <c r="VRX1010" s="182"/>
      <c r="VRY1010" s="182"/>
      <c r="VRZ1010" s="182"/>
      <c r="VSA1010" s="182"/>
      <c r="VSB1010" s="182"/>
      <c r="VSC1010" s="182"/>
      <c r="VSD1010" s="182"/>
      <c r="VSE1010" s="182"/>
      <c r="VSF1010" s="182"/>
      <c r="VSG1010" s="182"/>
      <c r="VSH1010" s="182"/>
      <c r="VSI1010" s="182"/>
      <c r="VSJ1010" s="182"/>
      <c r="VSK1010" s="182"/>
      <c r="VSL1010" s="182"/>
      <c r="VSM1010" s="182"/>
      <c r="VSN1010" s="182"/>
      <c r="VSO1010" s="182"/>
      <c r="VSP1010" s="182"/>
      <c r="VSQ1010" s="182"/>
      <c r="VSR1010" s="182"/>
      <c r="VSS1010" s="182"/>
      <c r="VST1010" s="182"/>
      <c r="VSU1010" s="182"/>
      <c r="VSV1010" s="182"/>
      <c r="VSW1010" s="182"/>
      <c r="VSX1010" s="182"/>
      <c r="VSY1010" s="182"/>
      <c r="VSZ1010" s="182"/>
      <c r="VTA1010" s="182"/>
      <c r="VTB1010" s="182"/>
      <c r="VTC1010" s="182"/>
      <c r="VTD1010" s="182"/>
      <c r="VTE1010" s="182"/>
      <c r="VTF1010" s="182"/>
      <c r="VTG1010" s="182"/>
      <c r="VTH1010" s="182"/>
      <c r="VTI1010" s="182"/>
      <c r="VTJ1010" s="182"/>
      <c r="VTK1010" s="182"/>
      <c r="VTL1010" s="182"/>
      <c r="VTM1010" s="182"/>
      <c r="VTN1010" s="182"/>
      <c r="VTO1010" s="182"/>
      <c r="VTP1010" s="182"/>
      <c r="VTQ1010" s="182"/>
      <c r="VTR1010" s="182"/>
      <c r="VTS1010" s="182"/>
      <c r="VTT1010" s="182"/>
      <c r="VTU1010" s="182"/>
      <c r="VTV1010" s="182"/>
      <c r="VTW1010" s="182"/>
      <c r="VTX1010" s="182"/>
      <c r="VTY1010" s="182"/>
      <c r="VTZ1010" s="182"/>
      <c r="VUA1010" s="182"/>
      <c r="VUB1010" s="182"/>
      <c r="VUC1010" s="182"/>
      <c r="VUD1010" s="182"/>
      <c r="VUE1010" s="182"/>
      <c r="VUF1010" s="182"/>
      <c r="VUG1010" s="182"/>
      <c r="VUH1010" s="182"/>
      <c r="VUI1010" s="182"/>
      <c r="VUJ1010" s="182"/>
      <c r="VUK1010" s="182"/>
      <c r="VUL1010" s="182"/>
      <c r="VUM1010" s="182"/>
      <c r="VUN1010" s="182"/>
      <c r="VUO1010" s="182"/>
      <c r="VUP1010" s="182"/>
      <c r="VUQ1010" s="182"/>
      <c r="VUR1010" s="182"/>
      <c r="VUS1010" s="182"/>
      <c r="VUT1010" s="182"/>
      <c r="VUU1010" s="182"/>
      <c r="VUV1010" s="182"/>
      <c r="VUW1010" s="182"/>
      <c r="VUX1010" s="182"/>
      <c r="VUY1010" s="182"/>
      <c r="VUZ1010" s="182"/>
      <c r="VVA1010" s="182"/>
      <c r="VVB1010" s="182"/>
      <c r="VVC1010" s="182"/>
      <c r="VVD1010" s="182"/>
      <c r="VVE1010" s="182"/>
      <c r="VVF1010" s="182"/>
      <c r="VVG1010" s="182"/>
      <c r="VVH1010" s="182"/>
      <c r="VVI1010" s="182"/>
      <c r="VVJ1010" s="182"/>
      <c r="VVK1010" s="182"/>
      <c r="VVL1010" s="182"/>
      <c r="VVM1010" s="182"/>
      <c r="VVN1010" s="182"/>
      <c r="VVO1010" s="182"/>
      <c r="VVP1010" s="182"/>
      <c r="VVQ1010" s="182"/>
      <c r="VVR1010" s="182"/>
      <c r="VVS1010" s="182"/>
      <c r="VVT1010" s="182"/>
      <c r="VVU1010" s="182"/>
      <c r="VVV1010" s="182"/>
      <c r="VVW1010" s="182"/>
      <c r="VVX1010" s="182"/>
      <c r="VVY1010" s="182"/>
      <c r="VVZ1010" s="182"/>
      <c r="VWA1010" s="182"/>
      <c r="VWB1010" s="182"/>
      <c r="VWC1010" s="182"/>
      <c r="VWD1010" s="182"/>
      <c r="VWE1010" s="182"/>
      <c r="VWF1010" s="182"/>
      <c r="VWG1010" s="182"/>
      <c r="VWH1010" s="182"/>
      <c r="VWI1010" s="182"/>
      <c r="VWJ1010" s="182"/>
      <c r="VWK1010" s="182"/>
      <c r="VWL1010" s="182"/>
      <c r="VWM1010" s="182"/>
      <c r="VWN1010" s="182"/>
      <c r="VWO1010" s="182"/>
      <c r="VWP1010" s="182"/>
      <c r="VWQ1010" s="182"/>
      <c r="VWR1010" s="182"/>
      <c r="VWS1010" s="182"/>
      <c r="VWT1010" s="182"/>
      <c r="VWU1010" s="182"/>
      <c r="VWV1010" s="182"/>
      <c r="VWW1010" s="182"/>
      <c r="VWX1010" s="182"/>
      <c r="VWY1010" s="182"/>
      <c r="VWZ1010" s="182"/>
      <c r="VXA1010" s="182"/>
      <c r="VXB1010" s="182"/>
      <c r="VXC1010" s="182"/>
      <c r="VXD1010" s="182"/>
      <c r="VXE1010" s="182"/>
      <c r="VXF1010" s="182"/>
      <c r="VXG1010" s="182"/>
      <c r="VXH1010" s="182"/>
      <c r="VXI1010" s="182"/>
      <c r="VXJ1010" s="182"/>
      <c r="VXK1010" s="182"/>
      <c r="VXL1010" s="182"/>
      <c r="VXM1010" s="182"/>
      <c r="VXN1010" s="182"/>
      <c r="VXO1010" s="182"/>
      <c r="VXP1010" s="182"/>
      <c r="VXQ1010" s="182"/>
      <c r="VXR1010" s="182"/>
      <c r="VXS1010" s="182"/>
      <c r="VXT1010" s="182"/>
      <c r="VXU1010" s="182"/>
      <c r="VXV1010" s="182"/>
      <c r="VXW1010" s="182"/>
      <c r="VXX1010" s="182"/>
      <c r="VXY1010" s="182"/>
      <c r="VXZ1010" s="182"/>
      <c r="VYA1010" s="182"/>
      <c r="VYB1010" s="182"/>
      <c r="VYC1010" s="182"/>
      <c r="VYD1010" s="182"/>
      <c r="VYE1010" s="182"/>
      <c r="VYF1010" s="182"/>
      <c r="VYG1010" s="182"/>
      <c r="VYH1010" s="182"/>
      <c r="VYI1010" s="182"/>
      <c r="VYJ1010" s="182"/>
      <c r="VYK1010" s="182"/>
      <c r="VYL1010" s="182"/>
      <c r="VYM1010" s="182"/>
      <c r="VYN1010" s="182"/>
      <c r="VYO1010" s="182"/>
      <c r="VYP1010" s="182"/>
      <c r="VYQ1010" s="182"/>
      <c r="VYR1010" s="182"/>
      <c r="VYS1010" s="182"/>
      <c r="VYT1010" s="182"/>
      <c r="VYU1010" s="182"/>
      <c r="VYV1010" s="182"/>
      <c r="VYW1010" s="182"/>
      <c r="VYX1010" s="182"/>
      <c r="VYY1010" s="182"/>
      <c r="VYZ1010" s="182"/>
      <c r="VZA1010" s="182"/>
      <c r="VZB1010" s="182"/>
      <c r="VZC1010" s="182"/>
      <c r="VZD1010" s="182"/>
      <c r="VZE1010" s="182"/>
      <c r="VZF1010" s="182"/>
      <c r="VZG1010" s="182"/>
      <c r="VZH1010" s="182"/>
      <c r="VZI1010" s="182"/>
      <c r="VZJ1010" s="182"/>
      <c r="VZK1010" s="182"/>
      <c r="VZL1010" s="182"/>
      <c r="VZM1010" s="182"/>
      <c r="VZN1010" s="182"/>
      <c r="VZO1010" s="182"/>
      <c r="VZP1010" s="182"/>
      <c r="VZQ1010" s="182"/>
      <c r="VZR1010" s="182"/>
      <c r="VZS1010" s="182"/>
      <c r="VZT1010" s="182"/>
      <c r="VZU1010" s="182"/>
      <c r="VZV1010" s="182"/>
      <c r="VZW1010" s="182"/>
      <c r="VZX1010" s="182"/>
      <c r="VZY1010" s="182"/>
      <c r="VZZ1010" s="182"/>
      <c r="WAA1010" s="182"/>
      <c r="WAB1010" s="182"/>
      <c r="WAC1010" s="182"/>
      <c r="WAD1010" s="182"/>
      <c r="WAE1010" s="182"/>
      <c r="WAF1010" s="182"/>
      <c r="WAG1010" s="182"/>
      <c r="WAH1010" s="182"/>
      <c r="WAI1010" s="182"/>
      <c r="WAJ1010" s="182"/>
      <c r="WAK1010" s="182"/>
      <c r="WAL1010" s="182"/>
      <c r="WAM1010" s="182"/>
      <c r="WAN1010" s="182"/>
      <c r="WAO1010" s="182"/>
      <c r="WAP1010" s="182"/>
      <c r="WAQ1010" s="182"/>
      <c r="WAR1010" s="182"/>
      <c r="WAS1010" s="182"/>
      <c r="WAT1010" s="182"/>
      <c r="WAU1010" s="182"/>
      <c r="WAV1010" s="182"/>
      <c r="WAW1010" s="182"/>
      <c r="WAX1010" s="182"/>
      <c r="WAY1010" s="182"/>
      <c r="WAZ1010" s="182"/>
      <c r="WBA1010" s="182"/>
      <c r="WBB1010" s="182"/>
      <c r="WBC1010" s="182"/>
      <c r="WBD1010" s="182"/>
      <c r="WBE1010" s="182"/>
      <c r="WBF1010" s="182"/>
      <c r="WBG1010" s="182"/>
      <c r="WBH1010" s="182"/>
      <c r="WBI1010" s="182"/>
      <c r="WBJ1010" s="182"/>
      <c r="WBK1010" s="182"/>
      <c r="WBL1010" s="182"/>
      <c r="WBM1010" s="182"/>
      <c r="WBN1010" s="182"/>
      <c r="WBO1010" s="182"/>
      <c r="WBP1010" s="182"/>
      <c r="WBQ1010" s="182"/>
      <c r="WBR1010" s="182"/>
      <c r="WBS1010" s="182"/>
      <c r="WBT1010" s="182"/>
      <c r="WBU1010" s="182"/>
      <c r="WBV1010" s="182"/>
      <c r="WBW1010" s="182"/>
      <c r="WBX1010" s="182"/>
      <c r="WBY1010" s="182"/>
      <c r="WBZ1010" s="182"/>
      <c r="WCA1010" s="182"/>
      <c r="WCB1010" s="182"/>
      <c r="WCC1010" s="182"/>
      <c r="WCD1010" s="182"/>
      <c r="WCE1010" s="182"/>
      <c r="WCF1010" s="182"/>
      <c r="WCG1010" s="182"/>
      <c r="WCH1010" s="182"/>
      <c r="WCI1010" s="182"/>
      <c r="WCJ1010" s="182"/>
      <c r="WCK1010" s="182"/>
      <c r="WCL1010" s="182"/>
      <c r="WCM1010" s="182"/>
      <c r="WCN1010" s="182"/>
      <c r="WCO1010" s="182"/>
      <c r="WCP1010" s="182"/>
      <c r="WCQ1010" s="182"/>
      <c r="WCR1010" s="182"/>
      <c r="WCS1010" s="182"/>
      <c r="WCT1010" s="182"/>
      <c r="WCU1010" s="182"/>
      <c r="WCV1010" s="182"/>
      <c r="WCW1010" s="182"/>
      <c r="WCX1010" s="182"/>
      <c r="WCY1010" s="182"/>
      <c r="WCZ1010" s="182"/>
      <c r="WDA1010" s="182"/>
      <c r="WDB1010" s="182"/>
      <c r="WDC1010" s="182"/>
      <c r="WDD1010" s="182"/>
      <c r="WDE1010" s="182"/>
      <c r="WDF1010" s="182"/>
      <c r="WDG1010" s="182"/>
      <c r="WDH1010" s="182"/>
      <c r="WDI1010" s="182"/>
      <c r="WDJ1010" s="182"/>
      <c r="WDK1010" s="182"/>
      <c r="WDL1010" s="182"/>
      <c r="WDM1010" s="182"/>
      <c r="WDN1010" s="182"/>
      <c r="WDO1010" s="182"/>
      <c r="WDP1010" s="182"/>
      <c r="WDQ1010" s="182"/>
      <c r="WDR1010" s="182"/>
      <c r="WDS1010" s="182"/>
      <c r="WDT1010" s="182"/>
      <c r="WDU1010" s="182"/>
      <c r="WDV1010" s="182"/>
      <c r="WDW1010" s="182"/>
      <c r="WDX1010" s="182"/>
      <c r="WDY1010" s="182"/>
      <c r="WDZ1010" s="182"/>
      <c r="WEA1010" s="182"/>
      <c r="WEB1010" s="182"/>
      <c r="WEC1010" s="182"/>
      <c r="WED1010" s="182"/>
      <c r="WEE1010" s="182"/>
      <c r="WEF1010" s="182"/>
      <c r="WEG1010" s="182"/>
      <c r="WEH1010" s="182"/>
      <c r="WEI1010" s="182"/>
      <c r="WEJ1010" s="182"/>
      <c r="WEK1010" s="182"/>
      <c r="WEL1010" s="182"/>
      <c r="WEM1010" s="182"/>
      <c r="WEN1010" s="182"/>
      <c r="WEO1010" s="182"/>
      <c r="WEP1010" s="182"/>
      <c r="WEQ1010" s="182"/>
      <c r="WER1010" s="182"/>
      <c r="WES1010" s="182"/>
      <c r="WET1010" s="182"/>
      <c r="WEU1010" s="182"/>
      <c r="WEV1010" s="182"/>
      <c r="WEW1010" s="182"/>
      <c r="WEX1010" s="182"/>
      <c r="WEY1010" s="182"/>
      <c r="WEZ1010" s="182"/>
      <c r="WFA1010" s="182"/>
      <c r="WFB1010" s="182"/>
      <c r="WFC1010" s="182"/>
      <c r="WFD1010" s="182"/>
      <c r="WFE1010" s="182"/>
      <c r="WFF1010" s="182"/>
      <c r="WFG1010" s="182"/>
      <c r="WFH1010" s="182"/>
      <c r="WFI1010" s="182"/>
      <c r="WFJ1010" s="182"/>
      <c r="WFK1010" s="182"/>
      <c r="WFL1010" s="182"/>
      <c r="WFM1010" s="182"/>
      <c r="WFN1010" s="182"/>
      <c r="WFO1010" s="182"/>
      <c r="WFP1010" s="182"/>
      <c r="WFQ1010" s="182"/>
      <c r="WFR1010" s="182"/>
      <c r="WFS1010" s="182"/>
      <c r="WFT1010" s="182"/>
      <c r="WFU1010" s="182"/>
      <c r="WFV1010" s="182"/>
      <c r="WFW1010" s="182"/>
      <c r="WFX1010" s="182"/>
      <c r="WFY1010" s="182"/>
      <c r="WFZ1010" s="182"/>
      <c r="WGA1010" s="182"/>
      <c r="WGB1010" s="182"/>
      <c r="WGC1010" s="182"/>
      <c r="WGD1010" s="182"/>
      <c r="WGE1010" s="182"/>
      <c r="WGF1010" s="182"/>
      <c r="WGG1010" s="182"/>
      <c r="WGH1010" s="182"/>
      <c r="WGI1010" s="182"/>
      <c r="WGJ1010" s="182"/>
      <c r="WGK1010" s="182"/>
      <c r="WGL1010" s="182"/>
      <c r="WGM1010" s="182"/>
      <c r="WGN1010" s="182"/>
      <c r="WGO1010" s="182"/>
      <c r="WGP1010" s="182"/>
      <c r="WGQ1010" s="182"/>
      <c r="WGR1010" s="182"/>
      <c r="WGS1010" s="182"/>
      <c r="WGT1010" s="182"/>
      <c r="WGU1010" s="182"/>
      <c r="WGV1010" s="182"/>
      <c r="WGW1010" s="182"/>
      <c r="WGX1010" s="182"/>
      <c r="WGY1010" s="182"/>
      <c r="WGZ1010" s="182"/>
      <c r="WHA1010" s="182"/>
      <c r="WHB1010" s="182"/>
      <c r="WHC1010" s="182"/>
      <c r="WHD1010" s="182"/>
      <c r="WHE1010" s="182"/>
      <c r="WHF1010" s="182"/>
      <c r="WHG1010" s="182"/>
      <c r="WHH1010" s="182"/>
      <c r="WHI1010" s="182"/>
      <c r="WHJ1010" s="182"/>
      <c r="WHK1010" s="182"/>
      <c r="WHL1010" s="182"/>
      <c r="WHM1010" s="182"/>
      <c r="WHN1010" s="182"/>
      <c r="WHO1010" s="182"/>
      <c r="WHP1010" s="182"/>
      <c r="WHQ1010" s="182"/>
      <c r="WHR1010" s="182"/>
      <c r="WHS1010" s="182"/>
      <c r="WHT1010" s="182"/>
      <c r="WHU1010" s="182"/>
      <c r="WHV1010" s="182"/>
      <c r="WHW1010" s="182"/>
      <c r="WHX1010" s="182"/>
      <c r="WHY1010" s="182"/>
      <c r="WHZ1010" s="182"/>
      <c r="WIA1010" s="182"/>
      <c r="WIB1010" s="182"/>
      <c r="WIC1010" s="182"/>
      <c r="WID1010" s="182"/>
      <c r="WIE1010" s="182"/>
      <c r="WIF1010" s="182"/>
      <c r="WIG1010" s="182"/>
      <c r="WIH1010" s="182"/>
      <c r="WII1010" s="182"/>
      <c r="WIJ1010" s="182"/>
      <c r="WIK1010" s="182"/>
      <c r="WIL1010" s="182"/>
      <c r="WIM1010" s="182"/>
      <c r="WIN1010" s="182"/>
      <c r="WIO1010" s="182"/>
      <c r="WIP1010" s="182"/>
      <c r="WIQ1010" s="182"/>
      <c r="WIR1010" s="182"/>
      <c r="WIS1010" s="182"/>
      <c r="WIT1010" s="182"/>
      <c r="WIU1010" s="182"/>
      <c r="WIV1010" s="182"/>
      <c r="WIW1010" s="182"/>
      <c r="WIX1010" s="182"/>
      <c r="WIY1010" s="182"/>
      <c r="WIZ1010" s="182"/>
      <c r="WJA1010" s="182"/>
      <c r="WJB1010" s="182"/>
      <c r="WJC1010" s="182"/>
      <c r="WJD1010" s="182"/>
      <c r="WJE1010" s="182"/>
      <c r="WJF1010" s="182"/>
      <c r="WJG1010" s="182"/>
      <c r="WJH1010" s="182"/>
      <c r="WJI1010" s="182"/>
      <c r="WJJ1010" s="182"/>
      <c r="WJK1010" s="182"/>
      <c r="WJL1010" s="182"/>
      <c r="WJM1010" s="182"/>
      <c r="WJN1010" s="182"/>
      <c r="WJO1010" s="182"/>
      <c r="WJP1010" s="182"/>
      <c r="WJQ1010" s="182"/>
      <c r="WJR1010" s="182"/>
      <c r="WJS1010" s="182"/>
      <c r="WJT1010" s="182"/>
      <c r="WJU1010" s="182"/>
      <c r="WJV1010" s="182"/>
      <c r="WJW1010" s="182"/>
      <c r="WJX1010" s="182"/>
      <c r="WJY1010" s="182"/>
      <c r="WJZ1010" s="182"/>
      <c r="WKA1010" s="182"/>
      <c r="WKB1010" s="182"/>
      <c r="WKC1010" s="182"/>
      <c r="WKD1010" s="182"/>
      <c r="WKE1010" s="182"/>
      <c r="WKF1010" s="182"/>
      <c r="WKG1010" s="182"/>
      <c r="WKH1010" s="182"/>
      <c r="WKI1010" s="182"/>
      <c r="WKJ1010" s="182"/>
      <c r="WKK1010" s="182"/>
      <c r="WKL1010" s="182"/>
      <c r="WKM1010" s="182"/>
      <c r="WKN1010" s="182"/>
      <c r="WKO1010" s="182"/>
      <c r="WKP1010" s="182"/>
      <c r="WKQ1010" s="182"/>
      <c r="WKR1010" s="182"/>
      <c r="WKS1010" s="182"/>
      <c r="WKT1010" s="182"/>
      <c r="WKU1010" s="182"/>
      <c r="WKV1010" s="182"/>
      <c r="WKW1010" s="182"/>
      <c r="WKX1010" s="182"/>
      <c r="WKY1010" s="182"/>
      <c r="WKZ1010" s="182"/>
      <c r="WLA1010" s="182"/>
      <c r="WLB1010" s="182"/>
      <c r="WLC1010" s="182"/>
      <c r="WLD1010" s="182"/>
      <c r="WLE1010" s="182"/>
      <c r="WLF1010" s="182"/>
      <c r="WLG1010" s="182"/>
      <c r="WLH1010" s="182"/>
      <c r="WLI1010" s="182"/>
      <c r="WLJ1010" s="182"/>
      <c r="WLK1010" s="182"/>
      <c r="WLL1010" s="182"/>
      <c r="WLM1010" s="182"/>
      <c r="WLN1010" s="182"/>
      <c r="WLO1010" s="182"/>
      <c r="WLP1010" s="182"/>
      <c r="WLQ1010" s="182"/>
      <c r="WLR1010" s="182"/>
      <c r="WLS1010" s="182"/>
      <c r="WLT1010" s="182"/>
      <c r="WLU1010" s="182"/>
      <c r="WLV1010" s="182"/>
      <c r="WLW1010" s="182"/>
      <c r="WLX1010" s="182"/>
      <c r="WLY1010" s="182"/>
      <c r="WLZ1010" s="182"/>
      <c r="WMA1010" s="182"/>
      <c r="WMB1010" s="182"/>
      <c r="WMC1010" s="182"/>
      <c r="WMD1010" s="182"/>
      <c r="WME1010" s="182"/>
      <c r="WMF1010" s="182"/>
      <c r="WMG1010" s="182"/>
      <c r="WMH1010" s="182"/>
      <c r="WMI1010" s="182"/>
      <c r="WMJ1010" s="182"/>
      <c r="WMK1010" s="182"/>
      <c r="WML1010" s="182"/>
      <c r="WMM1010" s="182"/>
      <c r="WMN1010" s="182"/>
      <c r="WMO1010" s="182"/>
      <c r="WMP1010" s="182"/>
      <c r="WMQ1010" s="182"/>
      <c r="WMR1010" s="182"/>
      <c r="WMS1010" s="182"/>
      <c r="WMT1010" s="182"/>
      <c r="WMU1010" s="182"/>
      <c r="WMV1010" s="182"/>
      <c r="WMW1010" s="182"/>
      <c r="WMX1010" s="182"/>
      <c r="WMY1010" s="182"/>
      <c r="WMZ1010" s="182"/>
      <c r="WNA1010" s="182"/>
      <c r="WNB1010" s="182"/>
      <c r="WNC1010" s="182"/>
      <c r="WND1010" s="182"/>
      <c r="WNE1010" s="182"/>
      <c r="WNF1010" s="182"/>
      <c r="WNG1010" s="182"/>
      <c r="WNH1010" s="182"/>
      <c r="WNI1010" s="182"/>
      <c r="WNJ1010" s="182"/>
      <c r="WNK1010" s="182"/>
      <c r="WNL1010" s="182"/>
      <c r="WNM1010" s="182"/>
      <c r="WNN1010" s="182"/>
      <c r="WNO1010" s="182"/>
      <c r="WNP1010" s="182"/>
      <c r="WNQ1010" s="182"/>
      <c r="WNR1010" s="182"/>
      <c r="WNS1010" s="182"/>
      <c r="WNT1010" s="182"/>
      <c r="WNU1010" s="182"/>
      <c r="WNV1010" s="182"/>
      <c r="WNW1010" s="182"/>
      <c r="WNX1010" s="182"/>
      <c r="WNY1010" s="182"/>
      <c r="WNZ1010" s="182"/>
      <c r="WOA1010" s="182"/>
      <c r="WOB1010" s="182"/>
      <c r="WOC1010" s="182"/>
      <c r="WOD1010" s="182"/>
      <c r="WOE1010" s="182"/>
      <c r="WOF1010" s="182"/>
      <c r="WOG1010" s="182"/>
      <c r="WOH1010" s="182"/>
      <c r="WOI1010" s="182"/>
      <c r="WOJ1010" s="182"/>
      <c r="WOK1010" s="182"/>
      <c r="WOL1010" s="182"/>
      <c r="WOM1010" s="182"/>
      <c r="WON1010" s="182"/>
      <c r="WOO1010" s="182"/>
      <c r="WOP1010" s="182"/>
      <c r="WOQ1010" s="182"/>
      <c r="WOR1010" s="182"/>
      <c r="WOS1010" s="182"/>
      <c r="WOT1010" s="182"/>
      <c r="WOU1010" s="182"/>
      <c r="WOV1010" s="182"/>
      <c r="WOW1010" s="182"/>
      <c r="WOX1010" s="182"/>
      <c r="WOY1010" s="182"/>
      <c r="WOZ1010" s="182"/>
      <c r="WPA1010" s="182"/>
      <c r="WPB1010" s="182"/>
      <c r="WPC1010" s="182"/>
      <c r="WPD1010" s="182"/>
      <c r="WPE1010" s="182"/>
      <c r="WPF1010" s="182"/>
      <c r="WPG1010" s="182"/>
      <c r="WPH1010" s="182"/>
      <c r="WPI1010" s="182"/>
      <c r="WPJ1010" s="182"/>
      <c r="WPK1010" s="182"/>
      <c r="WPL1010" s="182"/>
      <c r="WPM1010" s="182"/>
      <c r="WPN1010" s="182"/>
      <c r="WPO1010" s="182"/>
      <c r="WPP1010" s="182"/>
      <c r="WPQ1010" s="182"/>
      <c r="WPR1010" s="182"/>
      <c r="WPS1010" s="182"/>
      <c r="WPT1010" s="182"/>
      <c r="WPU1010" s="182"/>
      <c r="WPV1010" s="182"/>
      <c r="WPW1010" s="182"/>
      <c r="WPX1010" s="182"/>
      <c r="WPY1010" s="182"/>
      <c r="WPZ1010" s="182"/>
      <c r="WQA1010" s="182"/>
      <c r="WQB1010" s="182"/>
      <c r="WQC1010" s="182"/>
      <c r="WQD1010" s="182"/>
      <c r="WQE1010" s="182"/>
      <c r="WQF1010" s="182"/>
      <c r="WQG1010" s="182"/>
      <c r="WQH1010" s="182"/>
      <c r="WQI1010" s="182"/>
      <c r="WQJ1010" s="182"/>
      <c r="WQK1010" s="182"/>
      <c r="WQL1010" s="182"/>
      <c r="WQM1010" s="182"/>
      <c r="WQN1010" s="182"/>
      <c r="WQO1010" s="182"/>
      <c r="WQP1010" s="182"/>
      <c r="WQQ1010" s="182"/>
      <c r="WQR1010" s="182"/>
      <c r="WQS1010" s="182"/>
      <c r="WQT1010" s="182"/>
      <c r="WQU1010" s="182"/>
      <c r="WQV1010" s="182"/>
      <c r="WQW1010" s="182"/>
      <c r="WQX1010" s="182"/>
      <c r="WQY1010" s="182"/>
      <c r="WQZ1010" s="182"/>
      <c r="WRA1010" s="182"/>
      <c r="WRB1010" s="182"/>
      <c r="WRC1010" s="182"/>
      <c r="WRD1010" s="182"/>
      <c r="WRE1010" s="182"/>
      <c r="WRF1010" s="182"/>
      <c r="WRG1010" s="182"/>
      <c r="WRH1010" s="182"/>
      <c r="WRI1010" s="182"/>
      <c r="WRJ1010" s="182"/>
      <c r="WRK1010" s="182"/>
      <c r="WRL1010" s="182"/>
      <c r="WRM1010" s="182"/>
      <c r="WRN1010" s="182"/>
      <c r="WRO1010" s="182"/>
      <c r="WRP1010" s="182"/>
      <c r="WRQ1010" s="182"/>
      <c r="WRR1010" s="182"/>
      <c r="WRS1010" s="182"/>
      <c r="WRT1010" s="182"/>
      <c r="WRU1010" s="182"/>
      <c r="WRV1010" s="182"/>
      <c r="WRW1010" s="182"/>
      <c r="WRX1010" s="182"/>
      <c r="WRY1010" s="182"/>
      <c r="WRZ1010" s="182"/>
      <c r="WSA1010" s="182"/>
      <c r="WSB1010" s="182"/>
      <c r="WSC1010" s="182"/>
      <c r="WSD1010" s="182"/>
      <c r="WSE1010" s="182"/>
      <c r="WSF1010" s="182"/>
      <c r="WSG1010" s="182"/>
      <c r="WSH1010" s="182"/>
      <c r="WSI1010" s="182"/>
      <c r="WSJ1010" s="182"/>
      <c r="WSK1010" s="182"/>
      <c r="WSL1010" s="182"/>
      <c r="WSM1010" s="182"/>
      <c r="WSN1010" s="182"/>
      <c r="WSO1010" s="182"/>
      <c r="WSP1010" s="182"/>
      <c r="WSQ1010" s="182"/>
      <c r="WSR1010" s="182"/>
      <c r="WSS1010" s="182"/>
      <c r="WST1010" s="182"/>
      <c r="WSU1010" s="182"/>
      <c r="WSV1010" s="182"/>
      <c r="WSW1010" s="182"/>
      <c r="WSX1010" s="182"/>
      <c r="WSY1010" s="182"/>
      <c r="WSZ1010" s="182"/>
      <c r="WTA1010" s="182"/>
      <c r="WTB1010" s="182"/>
      <c r="WTC1010" s="182"/>
      <c r="WTD1010" s="182"/>
      <c r="WTE1010" s="182"/>
      <c r="WTF1010" s="182"/>
      <c r="WTG1010" s="182"/>
      <c r="WTH1010" s="182"/>
      <c r="WTI1010" s="182"/>
      <c r="WTJ1010" s="182"/>
      <c r="WTK1010" s="182"/>
      <c r="WTL1010" s="182"/>
      <c r="WTM1010" s="182"/>
      <c r="WTN1010" s="182"/>
      <c r="WTO1010" s="182"/>
      <c r="WTP1010" s="182"/>
      <c r="WTQ1010" s="182"/>
      <c r="WTR1010" s="182"/>
      <c r="WTS1010" s="182"/>
      <c r="WTT1010" s="182"/>
      <c r="WTU1010" s="182"/>
      <c r="WTV1010" s="182"/>
      <c r="WTW1010" s="182"/>
      <c r="WTX1010" s="182"/>
      <c r="WTY1010" s="182"/>
      <c r="WTZ1010" s="182"/>
      <c r="WUA1010" s="182"/>
      <c r="WUB1010" s="182"/>
      <c r="WUC1010" s="182"/>
      <c r="WUD1010" s="182"/>
      <c r="WUE1010" s="182"/>
      <c r="WUF1010" s="182"/>
      <c r="WUG1010" s="182"/>
      <c r="WUH1010" s="182"/>
      <c r="WUI1010" s="182"/>
      <c r="WUJ1010" s="182"/>
      <c r="WUK1010" s="182"/>
      <c r="WUL1010" s="182"/>
      <c r="WUM1010" s="182"/>
      <c r="WUN1010" s="182"/>
      <c r="WUO1010" s="182"/>
      <c r="WUP1010" s="182"/>
      <c r="WUQ1010" s="182"/>
      <c r="WUR1010" s="182"/>
      <c r="WUS1010" s="182"/>
      <c r="WUT1010" s="182"/>
      <c r="WUU1010" s="182"/>
      <c r="WUV1010" s="182"/>
      <c r="WUW1010" s="182"/>
      <c r="WUX1010" s="182"/>
      <c r="WUY1010" s="182"/>
      <c r="WUZ1010" s="182"/>
      <c r="WVA1010" s="182"/>
      <c r="WVB1010" s="182"/>
      <c r="WVC1010" s="182"/>
      <c r="WVD1010" s="182"/>
      <c r="WVE1010" s="182"/>
      <c r="WVF1010" s="182"/>
      <c r="WVG1010" s="182"/>
      <c r="WVH1010" s="182"/>
      <c r="WVI1010" s="182"/>
      <c r="WVJ1010" s="182"/>
      <c r="WVK1010" s="182"/>
      <c r="WVL1010" s="182"/>
      <c r="WVM1010" s="182"/>
      <c r="WVN1010" s="182"/>
      <c r="WVO1010" s="182"/>
      <c r="WVP1010" s="182"/>
      <c r="WVQ1010" s="182"/>
      <c r="WVR1010" s="182"/>
      <c r="WVS1010" s="182"/>
      <c r="WVT1010" s="182"/>
      <c r="WVU1010" s="182"/>
      <c r="WVV1010" s="182"/>
      <c r="WVW1010" s="182"/>
      <c r="WVX1010" s="182"/>
      <c r="WVY1010" s="182"/>
      <c r="WVZ1010" s="182"/>
      <c r="WWA1010" s="182"/>
      <c r="WWB1010" s="182"/>
      <c r="WWC1010" s="182"/>
      <c r="WWD1010" s="182"/>
      <c r="WWE1010" s="182"/>
      <c r="WWF1010" s="182"/>
      <c r="WWG1010" s="182"/>
      <c r="WWH1010" s="182"/>
      <c r="WWI1010" s="182"/>
      <c r="WWJ1010" s="182"/>
      <c r="WWK1010" s="182"/>
      <c r="WWL1010" s="182"/>
      <c r="WWM1010" s="182"/>
      <c r="WWN1010" s="182"/>
      <c r="WWO1010" s="182"/>
      <c r="WWP1010" s="182"/>
      <c r="WWQ1010" s="182"/>
      <c r="WWR1010" s="182"/>
      <c r="WWS1010" s="182"/>
      <c r="WWT1010" s="182"/>
      <c r="WWU1010" s="182"/>
      <c r="WWV1010" s="182"/>
      <c r="WWW1010" s="182"/>
      <c r="WWX1010" s="182"/>
      <c r="WWY1010" s="182"/>
      <c r="WWZ1010" s="182"/>
      <c r="WXA1010" s="182"/>
      <c r="WXB1010" s="182"/>
      <c r="WXC1010" s="182"/>
      <c r="WXD1010" s="182"/>
      <c r="WXE1010" s="182"/>
      <c r="WXF1010" s="182"/>
      <c r="WXG1010" s="182"/>
      <c r="WXH1010" s="182"/>
      <c r="WXI1010" s="182"/>
      <c r="WXJ1010" s="182"/>
      <c r="WXK1010" s="182"/>
      <c r="WXL1010" s="182"/>
      <c r="WXM1010" s="182"/>
      <c r="WXN1010" s="182"/>
      <c r="WXO1010" s="182"/>
      <c r="WXP1010" s="182"/>
      <c r="WXQ1010" s="182"/>
      <c r="WXR1010" s="182"/>
      <c r="WXS1010" s="182"/>
      <c r="WXT1010" s="182"/>
      <c r="WXU1010" s="182"/>
      <c r="WXV1010" s="182"/>
      <c r="WXW1010" s="182"/>
      <c r="WXX1010" s="182"/>
      <c r="WXY1010" s="182"/>
      <c r="WXZ1010" s="182"/>
      <c r="WYA1010" s="182"/>
      <c r="WYB1010" s="182"/>
      <c r="WYC1010" s="182"/>
      <c r="WYD1010" s="182"/>
      <c r="WYE1010" s="182"/>
      <c r="WYF1010" s="182"/>
      <c r="WYG1010" s="182"/>
      <c r="WYH1010" s="182"/>
      <c r="WYI1010" s="182"/>
      <c r="WYJ1010" s="182"/>
      <c r="WYK1010" s="182"/>
      <c r="WYL1010" s="182"/>
      <c r="WYM1010" s="182"/>
      <c r="WYN1010" s="182"/>
      <c r="WYO1010" s="182"/>
      <c r="WYP1010" s="182"/>
      <c r="WYQ1010" s="182"/>
      <c r="WYR1010" s="182"/>
      <c r="WYS1010" s="182"/>
      <c r="WYT1010" s="182"/>
      <c r="WYU1010" s="182"/>
      <c r="WYV1010" s="182"/>
      <c r="WYW1010" s="182"/>
      <c r="WYX1010" s="182"/>
      <c r="WYY1010" s="182"/>
      <c r="WYZ1010" s="182"/>
      <c r="WZA1010" s="182"/>
      <c r="WZB1010" s="182"/>
      <c r="WZC1010" s="182"/>
      <c r="WZD1010" s="182"/>
      <c r="WZE1010" s="182"/>
      <c r="WZF1010" s="182"/>
      <c r="WZG1010" s="182"/>
      <c r="WZH1010" s="182"/>
      <c r="WZI1010" s="182"/>
      <c r="WZJ1010" s="182"/>
      <c r="WZK1010" s="182"/>
      <c r="WZL1010" s="182"/>
      <c r="WZM1010" s="182"/>
      <c r="WZN1010" s="182"/>
      <c r="WZO1010" s="182"/>
      <c r="WZP1010" s="182"/>
      <c r="WZQ1010" s="182"/>
      <c r="WZR1010" s="182"/>
      <c r="WZS1010" s="182"/>
      <c r="WZT1010" s="182"/>
      <c r="WZU1010" s="182"/>
      <c r="WZV1010" s="182"/>
      <c r="WZW1010" s="182"/>
      <c r="WZX1010" s="182"/>
      <c r="WZY1010" s="182"/>
      <c r="WZZ1010" s="182"/>
      <c r="XAA1010" s="182"/>
      <c r="XAB1010" s="182"/>
      <c r="XAC1010" s="182"/>
      <c r="XAD1010" s="182"/>
      <c r="XAE1010" s="182"/>
      <c r="XAF1010" s="182"/>
      <c r="XAG1010" s="182"/>
      <c r="XAH1010" s="182"/>
      <c r="XAI1010" s="182"/>
      <c r="XAJ1010" s="182"/>
      <c r="XAK1010" s="182"/>
      <c r="XAL1010" s="182"/>
      <c r="XAM1010" s="182"/>
      <c r="XAN1010" s="182"/>
      <c r="XAO1010" s="182"/>
      <c r="XAP1010" s="182"/>
      <c r="XAQ1010" s="182"/>
      <c r="XAR1010" s="182"/>
      <c r="XAS1010" s="182"/>
      <c r="XAT1010" s="182"/>
      <c r="XAU1010" s="182"/>
      <c r="XAV1010" s="182"/>
      <c r="XAW1010" s="182"/>
      <c r="XAX1010" s="182"/>
      <c r="XAY1010" s="182"/>
      <c r="XAZ1010" s="182"/>
      <c r="XBA1010" s="182"/>
      <c r="XBB1010" s="182"/>
      <c r="XBC1010" s="182"/>
      <c r="XBD1010" s="182"/>
      <c r="XBE1010" s="182"/>
      <c r="XBF1010" s="182"/>
      <c r="XBG1010" s="182"/>
      <c r="XBH1010" s="182"/>
      <c r="XBI1010" s="182"/>
      <c r="XBJ1010" s="182"/>
      <c r="XBK1010" s="182"/>
      <c r="XBL1010" s="182"/>
      <c r="XBM1010" s="182"/>
      <c r="XBN1010" s="182"/>
      <c r="XBO1010" s="182"/>
      <c r="XBP1010" s="182"/>
      <c r="XBQ1010" s="182"/>
      <c r="XBR1010" s="182"/>
      <c r="XBS1010" s="182"/>
      <c r="XBT1010" s="182"/>
      <c r="XBU1010" s="182"/>
      <c r="XBV1010" s="182"/>
      <c r="XBW1010" s="182"/>
      <c r="XBX1010" s="182"/>
      <c r="XBY1010" s="182"/>
      <c r="XBZ1010" s="182"/>
      <c r="XCA1010" s="182"/>
      <c r="XCB1010" s="182"/>
      <c r="XCC1010" s="182"/>
      <c r="XCD1010" s="182"/>
      <c r="XCE1010" s="182"/>
      <c r="XCF1010" s="182"/>
      <c r="XCG1010" s="182"/>
      <c r="XCH1010" s="182"/>
      <c r="XCI1010" s="182"/>
      <c r="XCJ1010" s="182"/>
      <c r="XCK1010" s="182"/>
      <c r="XCL1010" s="182"/>
      <c r="XCM1010" s="182"/>
      <c r="XCN1010" s="182"/>
      <c r="XCO1010" s="182"/>
      <c r="XCP1010" s="182"/>
      <c r="XCQ1010" s="182"/>
      <c r="XCR1010" s="182"/>
      <c r="XCS1010" s="182"/>
      <c r="XCT1010" s="182"/>
      <c r="XCU1010" s="182"/>
      <c r="XCV1010" s="182"/>
      <c r="XCW1010" s="182"/>
      <c r="XCX1010" s="182"/>
      <c r="XCY1010" s="182"/>
      <c r="XCZ1010" s="182"/>
      <c r="XDA1010" s="182"/>
      <c r="XDB1010" s="182"/>
      <c r="XDC1010" s="182"/>
      <c r="XDD1010" s="182"/>
      <c r="XDE1010" s="182"/>
      <c r="XDF1010" s="182"/>
      <c r="XDG1010" s="182"/>
      <c r="XDH1010" s="182"/>
      <c r="XDI1010" s="182"/>
      <c r="XDJ1010" s="182"/>
      <c r="XDK1010" s="182"/>
      <c r="XDL1010" s="182"/>
      <c r="XDM1010" s="182"/>
      <c r="XDN1010" s="182"/>
      <c r="XDO1010" s="182"/>
      <c r="XDP1010" s="182"/>
      <c r="XDQ1010" s="182"/>
      <c r="XDR1010" s="182"/>
      <c r="XDS1010" s="182"/>
      <c r="XDT1010" s="182"/>
      <c r="XDU1010" s="182"/>
      <c r="XDV1010" s="182"/>
      <c r="XDW1010" s="182"/>
      <c r="XDX1010" s="182"/>
      <c r="XDY1010" s="182"/>
      <c r="XDZ1010" s="182"/>
      <c r="XEA1010" s="182"/>
      <c r="XEB1010" s="182"/>
      <c r="XEC1010" s="182"/>
      <c r="XED1010" s="182"/>
      <c r="XEE1010" s="182"/>
      <c r="XEF1010" s="182"/>
      <c r="XEG1010" s="182"/>
      <c r="XEH1010" s="182"/>
      <c r="XEI1010" s="182"/>
      <c r="XEJ1010" s="182"/>
      <c r="XEK1010" s="182"/>
      <c r="XEL1010" s="182"/>
      <c r="XEM1010" s="182"/>
      <c r="XEN1010" s="182"/>
      <c r="XEO1010" s="182"/>
      <c r="XEP1010" s="182"/>
      <c r="XEQ1010" s="182"/>
      <c r="XER1010" s="182"/>
      <c r="XES1010" s="182"/>
      <c r="XET1010" s="182"/>
      <c r="XEU1010" s="182"/>
      <c r="XEV1010" s="182"/>
      <c r="XEW1010" s="182"/>
      <c r="XEX1010" s="182"/>
      <c r="XEY1010" s="182"/>
      <c r="XEZ1010" s="182"/>
      <c r="XFA1010" s="182"/>
      <c r="XFB1010" s="182"/>
      <c r="XFC1010" s="182"/>
      <c r="XFD1010" s="271"/>
    </row>
    <row r="1011" spans="1:16384" s="212" customFormat="1" ht="24" x14ac:dyDescent="0.25">
      <c r="A1011" s="131"/>
      <c r="B1011" s="136">
        <v>1407043</v>
      </c>
      <c r="C1011" s="128" t="s">
        <v>934</v>
      </c>
      <c r="D1011" s="127" t="s">
        <v>2504</v>
      </c>
      <c r="E1011" s="147" t="s">
        <v>38</v>
      </c>
      <c r="F1011" s="129" t="s">
        <v>2505</v>
      </c>
      <c r="G1011" s="147" t="s">
        <v>1731</v>
      </c>
      <c r="H1011" s="191">
        <f t="shared" si="16"/>
        <v>5.4799999999999995</v>
      </c>
      <c r="I1011" s="222" t="s">
        <v>2506</v>
      </c>
      <c r="J1011" s="146">
        <v>30</v>
      </c>
      <c r="K1011" s="147">
        <v>9</v>
      </c>
      <c r="L1011" s="147">
        <v>1</v>
      </c>
      <c r="M1011" s="147">
        <v>10</v>
      </c>
      <c r="N1011" s="289">
        <v>1250</v>
      </c>
      <c r="O1011" s="174">
        <v>7.03</v>
      </c>
      <c r="P1011" s="180">
        <v>46038</v>
      </c>
      <c r="Q1011" s="174">
        <v>5.43</v>
      </c>
      <c r="R1011" s="174">
        <v>0.05</v>
      </c>
      <c r="S1011" s="147"/>
      <c r="T1011" s="129" t="s">
        <v>2091</v>
      </c>
      <c r="U1011" s="147" t="s">
        <v>37</v>
      </c>
      <c r="V1011" s="129"/>
      <c r="W1011" s="147" t="s">
        <v>2215</v>
      </c>
      <c r="X1011" s="215"/>
      <c r="Y1011" s="216"/>
      <c r="Z1011" s="216"/>
      <c r="AA1011" s="263"/>
      <c r="AB1011" s="305"/>
    </row>
    <row r="1012" spans="1:16384" s="212" customFormat="1" ht="24" x14ac:dyDescent="0.25">
      <c r="A1012" s="131"/>
      <c r="B1012" s="136">
        <v>1407044</v>
      </c>
      <c r="C1012" s="128" t="s">
        <v>934</v>
      </c>
      <c r="D1012" s="127" t="s">
        <v>2521</v>
      </c>
      <c r="E1012" s="147" t="s">
        <v>38</v>
      </c>
      <c r="F1012" s="129" t="s">
        <v>2546</v>
      </c>
      <c r="G1012" s="147" t="s">
        <v>1731</v>
      </c>
      <c r="H1012" s="191">
        <f t="shared" si="16"/>
        <v>4.08</v>
      </c>
      <c r="I1012" s="136" t="s">
        <v>2662</v>
      </c>
      <c r="J1012" s="146">
        <v>30</v>
      </c>
      <c r="K1012" s="147">
        <v>11</v>
      </c>
      <c r="L1012" s="147">
        <v>1</v>
      </c>
      <c r="M1012" s="147">
        <v>12</v>
      </c>
      <c r="N1012" s="289">
        <v>15000</v>
      </c>
      <c r="O1012" s="174">
        <v>4.4000000000000004</v>
      </c>
      <c r="P1012" s="180">
        <v>46062</v>
      </c>
      <c r="Q1012" s="174">
        <v>4.03</v>
      </c>
      <c r="R1012" s="174">
        <v>0.05</v>
      </c>
      <c r="S1012" s="147"/>
      <c r="T1012" s="129" t="s">
        <v>2091</v>
      </c>
      <c r="U1012" s="147" t="s">
        <v>37</v>
      </c>
      <c r="V1012" s="129"/>
      <c r="W1012" s="147" t="s">
        <v>2215</v>
      </c>
      <c r="X1012" s="215"/>
      <c r="Y1012" s="216"/>
      <c r="Z1012" s="216"/>
      <c r="AA1012" s="263"/>
      <c r="AB1012" s="305"/>
    </row>
    <row r="1013" spans="1:16384" s="212" customFormat="1" x14ac:dyDescent="0.25">
      <c r="A1013" s="131"/>
      <c r="B1013" s="136">
        <v>1407045</v>
      </c>
      <c r="C1013" s="128" t="s">
        <v>934</v>
      </c>
      <c r="D1013" s="127" t="s">
        <v>2528</v>
      </c>
      <c r="E1013" s="147" t="s">
        <v>38</v>
      </c>
      <c r="F1013" s="129" t="s">
        <v>2522</v>
      </c>
      <c r="G1013" s="147" t="s">
        <v>1731</v>
      </c>
      <c r="H1013" s="191">
        <f t="shared" si="16"/>
        <v>2.5</v>
      </c>
      <c r="I1013" s="136"/>
      <c r="J1013" s="146">
        <v>0</v>
      </c>
      <c r="K1013" s="147">
        <v>4</v>
      </c>
      <c r="L1013" s="147">
        <v>1</v>
      </c>
      <c r="M1013" s="147">
        <v>5</v>
      </c>
      <c r="N1013" s="289">
        <v>11000</v>
      </c>
      <c r="O1013" s="174"/>
      <c r="P1013" s="180">
        <v>46051</v>
      </c>
      <c r="Q1013" s="174">
        <v>2.5</v>
      </c>
      <c r="R1013" s="174">
        <v>0</v>
      </c>
      <c r="S1013" s="147"/>
      <c r="T1013" s="129" t="s">
        <v>102</v>
      </c>
      <c r="U1013" s="147" t="s">
        <v>35</v>
      </c>
      <c r="V1013" s="129"/>
      <c r="W1013" s="147" t="s">
        <v>2215</v>
      </c>
      <c r="X1013" s="215"/>
      <c r="Y1013" s="216"/>
      <c r="Z1013" s="216"/>
      <c r="AA1013" s="265" t="s">
        <v>2536</v>
      </c>
      <c r="AB1013" s="305"/>
    </row>
    <row r="1014" spans="1:16384" s="212" customFormat="1" ht="24" x14ac:dyDescent="0.25">
      <c r="A1014" s="131"/>
      <c r="B1014" s="136">
        <v>1407046</v>
      </c>
      <c r="C1014" s="128" t="s">
        <v>934</v>
      </c>
      <c r="D1014" s="127" t="s">
        <v>2590</v>
      </c>
      <c r="E1014" s="147" t="s">
        <v>38</v>
      </c>
      <c r="F1014" s="129" t="s">
        <v>2591</v>
      </c>
      <c r="G1014" s="147" t="s">
        <v>1731</v>
      </c>
      <c r="H1014" s="191">
        <f t="shared" si="16"/>
        <v>0.4</v>
      </c>
      <c r="I1014" s="136" t="s">
        <v>2594</v>
      </c>
      <c r="J1014" s="146"/>
      <c r="K1014" s="147">
        <v>22</v>
      </c>
      <c r="L1014" s="147">
        <v>8</v>
      </c>
      <c r="M1014" s="147">
        <f>150/5</f>
        <v>30</v>
      </c>
      <c r="N1014" s="289">
        <v>10000</v>
      </c>
      <c r="O1014" s="174">
        <v>0.27</v>
      </c>
      <c r="P1014" s="180">
        <v>46092</v>
      </c>
      <c r="Q1014" s="174">
        <f>0.27+0.08</f>
        <v>0.35000000000000003</v>
      </c>
      <c r="R1014" s="174">
        <v>0.05</v>
      </c>
      <c r="S1014" s="147"/>
      <c r="T1014" s="129" t="s">
        <v>2091</v>
      </c>
      <c r="U1014" s="147" t="s">
        <v>37</v>
      </c>
      <c r="V1014" s="129"/>
      <c r="W1014" s="147" t="s">
        <v>2215</v>
      </c>
      <c r="X1014" s="215" t="s">
        <v>1990</v>
      </c>
      <c r="Y1014" s="216"/>
      <c r="Z1014" s="216"/>
      <c r="AA1014" s="263"/>
      <c r="AB1014" s="305"/>
    </row>
    <row r="1015" spans="1:16384" s="212" customFormat="1" ht="24" x14ac:dyDescent="0.25">
      <c r="A1015" s="131"/>
      <c r="B1015" s="136">
        <v>1407047</v>
      </c>
      <c r="C1015" s="128" t="s">
        <v>934</v>
      </c>
      <c r="D1015" s="127" t="s">
        <v>2595</v>
      </c>
      <c r="E1015" s="147" t="s">
        <v>38</v>
      </c>
      <c r="F1015" s="129" t="s">
        <v>2596</v>
      </c>
      <c r="G1015" s="147" t="s">
        <v>1731</v>
      </c>
      <c r="H1015" s="191">
        <f t="shared" si="16"/>
        <v>3.65</v>
      </c>
      <c r="I1015" s="136" t="s">
        <v>2597</v>
      </c>
      <c r="J1015" s="146">
        <v>30</v>
      </c>
      <c r="K1015" s="147">
        <v>5</v>
      </c>
      <c r="L1015" s="147">
        <v>1</v>
      </c>
      <c r="M1015" s="147">
        <v>6</v>
      </c>
      <c r="N1015" s="289">
        <v>1000</v>
      </c>
      <c r="O1015" s="174">
        <v>3.62</v>
      </c>
      <c r="P1015" s="180">
        <v>46126</v>
      </c>
      <c r="Q1015" s="174">
        <v>3.65</v>
      </c>
      <c r="R1015" s="174"/>
      <c r="S1015" s="147"/>
      <c r="T1015" s="129" t="s">
        <v>2091</v>
      </c>
      <c r="U1015" s="147" t="s">
        <v>37</v>
      </c>
      <c r="V1015" s="129"/>
      <c r="W1015" s="147" t="s">
        <v>2215</v>
      </c>
      <c r="X1015" s="217" t="s">
        <v>1906</v>
      </c>
      <c r="Y1015" s="216"/>
      <c r="Z1015" s="216"/>
      <c r="AA1015" s="263"/>
      <c r="AB1015" s="305"/>
    </row>
    <row r="1016" spans="1:16384" s="212" customFormat="1" ht="48" x14ac:dyDescent="0.25">
      <c r="A1016" s="131"/>
      <c r="B1016" s="158">
        <v>1407048</v>
      </c>
      <c r="C1016" s="128" t="s">
        <v>934</v>
      </c>
      <c r="D1016" s="128" t="s">
        <v>2616</v>
      </c>
      <c r="E1016" s="147" t="s">
        <v>38</v>
      </c>
      <c r="F1016" s="129" t="s">
        <v>2615</v>
      </c>
      <c r="G1016" s="147" t="s">
        <v>1731</v>
      </c>
      <c r="H1016" s="191"/>
      <c r="I1016" s="136"/>
      <c r="J1016" s="146"/>
      <c r="K1016" s="147">
        <v>13</v>
      </c>
      <c r="L1016" s="147">
        <v>1</v>
      </c>
      <c r="M1016" s="147">
        <v>15</v>
      </c>
      <c r="N1016" s="289">
        <v>1000</v>
      </c>
      <c r="O1016" s="174"/>
      <c r="P1016" s="180">
        <v>46111</v>
      </c>
      <c r="Q1016" s="174">
        <f>250/1000</f>
        <v>0.25</v>
      </c>
      <c r="R1016" s="174"/>
      <c r="S1016" s="147" t="s">
        <v>37</v>
      </c>
      <c r="T1016" s="129" t="s">
        <v>2617</v>
      </c>
      <c r="U1016" s="147"/>
      <c r="V1016" s="129"/>
      <c r="W1016" s="147" t="s">
        <v>2215</v>
      </c>
      <c r="X1016" s="215"/>
      <c r="Y1016" s="216"/>
      <c r="Z1016" s="216"/>
      <c r="AA1016" s="263"/>
      <c r="AB1016" s="305"/>
    </row>
    <row r="1017" spans="1:16384" s="182" customFormat="1" hidden="1" x14ac:dyDescent="0.25">
      <c r="A1017" s="131">
        <v>1</v>
      </c>
      <c r="B1017" s="136">
        <v>1408001</v>
      </c>
      <c r="C1017" s="128" t="s">
        <v>934</v>
      </c>
      <c r="D1017" s="127" t="s">
        <v>1204</v>
      </c>
      <c r="E1017" s="147" t="s">
        <v>38</v>
      </c>
      <c r="F1017" s="129" t="s">
        <v>292</v>
      </c>
      <c r="G1017" s="147" t="s">
        <v>1731</v>
      </c>
      <c r="H1017" s="191">
        <f t="shared" ref="H1017:H1080" si="17">Q1017+R1017</f>
        <v>0</v>
      </c>
      <c r="I1017" s="225"/>
      <c r="J1017" s="149"/>
      <c r="K1017" s="147">
        <v>11</v>
      </c>
      <c r="L1017" s="147">
        <v>1</v>
      </c>
      <c r="M1017" s="147">
        <v>12</v>
      </c>
      <c r="N1017" s="289"/>
      <c r="O1017" s="196"/>
      <c r="P1017" s="180"/>
      <c r="Q1017" s="174"/>
      <c r="R1017" s="206">
        <v>0</v>
      </c>
      <c r="S1017" s="168"/>
      <c r="T1017" s="129" t="s">
        <v>292</v>
      </c>
      <c r="U1017" s="147" t="s">
        <v>37</v>
      </c>
      <c r="V1017" s="129"/>
      <c r="W1017" s="163" t="s">
        <v>54</v>
      </c>
      <c r="X1017" s="215"/>
      <c r="Y1017" s="216">
        <v>0</v>
      </c>
      <c r="Z1017" s="216">
        <v>0</v>
      </c>
      <c r="AA1017" s="263"/>
      <c r="AB1017" s="155"/>
      <c r="AC1017" s="212"/>
    </row>
    <row r="1018" spans="1:16384" s="182" customFormat="1" hidden="1" x14ac:dyDescent="0.25">
      <c r="A1018" s="131">
        <v>1</v>
      </c>
      <c r="B1018" s="136">
        <v>1408002</v>
      </c>
      <c r="C1018" s="128" t="s">
        <v>934</v>
      </c>
      <c r="D1018" s="127" t="s">
        <v>1205</v>
      </c>
      <c r="E1018" s="147" t="s">
        <v>38</v>
      </c>
      <c r="F1018" s="129" t="s">
        <v>966</v>
      </c>
      <c r="G1018" s="147" t="s">
        <v>1731</v>
      </c>
      <c r="H1018" s="191">
        <f t="shared" si="17"/>
        <v>0</v>
      </c>
      <c r="I1018" s="225"/>
      <c r="J1018" s="149"/>
      <c r="K1018" s="147">
        <v>11</v>
      </c>
      <c r="L1018" s="147">
        <v>1</v>
      </c>
      <c r="M1018" s="147">
        <v>12</v>
      </c>
      <c r="N1018" s="289"/>
      <c r="O1018" s="196"/>
      <c r="P1018" s="180"/>
      <c r="Q1018" s="174"/>
      <c r="R1018" s="206">
        <v>0</v>
      </c>
      <c r="S1018" s="168"/>
      <c r="T1018" s="129" t="s">
        <v>2210</v>
      </c>
      <c r="U1018" s="147" t="s">
        <v>37</v>
      </c>
      <c r="V1018" s="129"/>
      <c r="W1018" s="163" t="s">
        <v>2531</v>
      </c>
      <c r="X1018" s="215"/>
      <c r="Y1018" s="216">
        <v>0</v>
      </c>
      <c r="Z1018" s="216">
        <v>0</v>
      </c>
      <c r="AA1018" s="263"/>
      <c r="AB1018" s="155"/>
      <c r="AC1018" s="212"/>
    </row>
    <row r="1019" spans="1:16384" s="182" customFormat="1" hidden="1" x14ac:dyDescent="0.25">
      <c r="A1019" s="131">
        <v>1</v>
      </c>
      <c r="B1019" s="136">
        <v>1409001</v>
      </c>
      <c r="C1019" s="128" t="s">
        <v>934</v>
      </c>
      <c r="D1019" s="127" t="s">
        <v>1206</v>
      </c>
      <c r="E1019" s="147" t="s">
        <v>38</v>
      </c>
      <c r="F1019" s="129" t="s">
        <v>1043</v>
      </c>
      <c r="G1019" s="147" t="s">
        <v>1731</v>
      </c>
      <c r="H1019" s="191">
        <f t="shared" si="17"/>
        <v>0</v>
      </c>
      <c r="I1019" s="225"/>
      <c r="J1019" s="149"/>
      <c r="K1019" s="147">
        <v>11</v>
      </c>
      <c r="L1019" s="147">
        <v>1</v>
      </c>
      <c r="M1019" s="147">
        <v>12</v>
      </c>
      <c r="N1019" s="289"/>
      <c r="O1019" s="196"/>
      <c r="P1019" s="180"/>
      <c r="Q1019" s="174"/>
      <c r="R1019" s="206">
        <v>0</v>
      </c>
      <c r="S1019" s="168"/>
      <c r="T1019" s="129" t="s">
        <v>64</v>
      </c>
      <c r="U1019" s="147" t="s">
        <v>37</v>
      </c>
      <c r="V1019" s="129"/>
      <c r="W1019" s="163" t="s">
        <v>54</v>
      </c>
      <c r="X1019" s="215"/>
      <c r="Y1019" s="216">
        <v>0</v>
      </c>
      <c r="Z1019" s="216">
        <v>0</v>
      </c>
      <c r="AA1019" s="263"/>
      <c r="AB1019" s="155"/>
      <c r="AC1019" s="212"/>
    </row>
    <row r="1020" spans="1:16384" s="212" customFormat="1" hidden="1" x14ac:dyDescent="0.25">
      <c r="A1020" s="131">
        <v>1</v>
      </c>
      <c r="B1020" s="136">
        <v>1409002</v>
      </c>
      <c r="C1020" s="128" t="s">
        <v>934</v>
      </c>
      <c r="D1020" s="127" t="s">
        <v>1207</v>
      </c>
      <c r="E1020" s="147" t="s">
        <v>38</v>
      </c>
      <c r="F1020" s="129" t="s">
        <v>1043</v>
      </c>
      <c r="G1020" s="147" t="s">
        <v>1731</v>
      </c>
      <c r="H1020" s="191">
        <f t="shared" si="17"/>
        <v>0</v>
      </c>
      <c r="I1020" s="225"/>
      <c r="J1020" s="149"/>
      <c r="K1020" s="147">
        <v>11</v>
      </c>
      <c r="L1020" s="147">
        <v>1</v>
      </c>
      <c r="M1020" s="147">
        <v>12</v>
      </c>
      <c r="N1020" s="289"/>
      <c r="O1020" s="196"/>
      <c r="P1020" s="180"/>
      <c r="Q1020" s="174"/>
      <c r="R1020" s="206">
        <v>0</v>
      </c>
      <c r="S1020" s="168"/>
      <c r="T1020" s="129" t="s">
        <v>64</v>
      </c>
      <c r="U1020" s="147" t="s">
        <v>37</v>
      </c>
      <c r="V1020" s="129"/>
      <c r="W1020" s="163" t="s">
        <v>54</v>
      </c>
      <c r="X1020" s="215"/>
      <c r="Y1020" s="216">
        <v>0</v>
      </c>
      <c r="Z1020" s="216">
        <v>0</v>
      </c>
      <c r="AA1020" s="263"/>
      <c r="AB1020" s="155"/>
    </row>
    <row r="1021" spans="1:16384" s="182" customFormat="1" hidden="1" x14ac:dyDescent="0.25">
      <c r="A1021" s="131">
        <v>1</v>
      </c>
      <c r="B1021" s="136">
        <v>1409003</v>
      </c>
      <c r="C1021" s="128" t="s">
        <v>934</v>
      </c>
      <c r="D1021" s="129" t="s">
        <v>1208</v>
      </c>
      <c r="E1021" s="147" t="s">
        <v>38</v>
      </c>
      <c r="F1021" s="129" t="s">
        <v>1043</v>
      </c>
      <c r="G1021" s="147" t="s">
        <v>1731</v>
      </c>
      <c r="H1021" s="191">
        <f t="shared" si="17"/>
        <v>0</v>
      </c>
      <c r="I1021" s="225"/>
      <c r="J1021" s="149"/>
      <c r="K1021" s="147">
        <v>11</v>
      </c>
      <c r="L1021" s="147">
        <v>1</v>
      </c>
      <c r="M1021" s="147">
        <v>12</v>
      </c>
      <c r="N1021" s="289"/>
      <c r="O1021" s="196"/>
      <c r="P1021" s="180"/>
      <c r="Q1021" s="174"/>
      <c r="R1021" s="206">
        <v>0</v>
      </c>
      <c r="S1021" s="168"/>
      <c r="T1021" s="129" t="s">
        <v>64</v>
      </c>
      <c r="U1021" s="147" t="s">
        <v>37</v>
      </c>
      <c r="V1021" s="129"/>
      <c r="W1021" s="163" t="s">
        <v>54</v>
      </c>
      <c r="X1021" s="215"/>
      <c r="Y1021" s="216">
        <v>0</v>
      </c>
      <c r="Z1021" s="216">
        <v>0</v>
      </c>
      <c r="AA1021" s="263"/>
      <c r="AB1021" s="155"/>
      <c r="AC1021" s="212"/>
    </row>
    <row r="1022" spans="1:16384" s="212" customFormat="1" hidden="1" x14ac:dyDescent="0.25">
      <c r="A1022" s="131">
        <v>1</v>
      </c>
      <c r="B1022" s="136">
        <v>1409004</v>
      </c>
      <c r="C1022" s="128" t="s">
        <v>934</v>
      </c>
      <c r="D1022" s="129" t="s">
        <v>1209</v>
      </c>
      <c r="E1022" s="147" t="s">
        <v>38</v>
      </c>
      <c r="F1022" s="138" t="s">
        <v>57</v>
      </c>
      <c r="G1022" s="147" t="s">
        <v>1731</v>
      </c>
      <c r="H1022" s="191">
        <f t="shared" si="17"/>
        <v>0</v>
      </c>
      <c r="I1022" s="225"/>
      <c r="J1022" s="149"/>
      <c r="K1022" s="147">
        <v>12</v>
      </c>
      <c r="L1022" s="147">
        <v>1</v>
      </c>
      <c r="M1022" s="147">
        <v>13</v>
      </c>
      <c r="N1022" s="289"/>
      <c r="O1022" s="196"/>
      <c r="P1022" s="180"/>
      <c r="Q1022" s="174"/>
      <c r="R1022" s="206">
        <v>0</v>
      </c>
      <c r="S1022" s="168"/>
      <c r="T1022" s="138" t="s">
        <v>57</v>
      </c>
      <c r="U1022" s="147" t="s">
        <v>37</v>
      </c>
      <c r="V1022" s="129"/>
      <c r="W1022" s="163" t="s">
        <v>54</v>
      </c>
      <c r="X1022" s="215"/>
      <c r="Y1022" s="216">
        <v>0</v>
      </c>
      <c r="Z1022" s="216">
        <v>0</v>
      </c>
      <c r="AA1022" s="263"/>
      <c r="AB1022" s="155"/>
    </row>
    <row r="1023" spans="1:16384" s="212" customFormat="1" hidden="1" x14ac:dyDescent="0.25">
      <c r="A1023" s="131">
        <v>1</v>
      </c>
      <c r="B1023" s="136">
        <v>1409005</v>
      </c>
      <c r="C1023" s="128" t="s">
        <v>934</v>
      </c>
      <c r="D1023" s="129" t="s">
        <v>1210</v>
      </c>
      <c r="E1023" s="147" t="s">
        <v>38</v>
      </c>
      <c r="F1023" s="138" t="s">
        <v>57</v>
      </c>
      <c r="G1023" s="147" t="s">
        <v>1731</v>
      </c>
      <c r="H1023" s="191">
        <f t="shared" si="17"/>
        <v>0</v>
      </c>
      <c r="I1023" s="225"/>
      <c r="J1023" s="149"/>
      <c r="K1023" s="147">
        <v>12</v>
      </c>
      <c r="L1023" s="147">
        <v>1</v>
      </c>
      <c r="M1023" s="147">
        <v>13</v>
      </c>
      <c r="N1023" s="289"/>
      <c r="O1023" s="196"/>
      <c r="P1023" s="180"/>
      <c r="Q1023" s="174"/>
      <c r="R1023" s="206">
        <v>0</v>
      </c>
      <c r="S1023" s="168"/>
      <c r="T1023" s="138" t="s">
        <v>57</v>
      </c>
      <c r="U1023" s="147" t="s">
        <v>37</v>
      </c>
      <c r="V1023" s="129"/>
      <c r="W1023" s="163" t="s">
        <v>54</v>
      </c>
      <c r="X1023" s="215"/>
      <c r="Y1023" s="216">
        <v>0</v>
      </c>
      <c r="Z1023" s="216">
        <v>0</v>
      </c>
      <c r="AA1023" s="263"/>
      <c r="AB1023" s="155"/>
    </row>
    <row r="1024" spans="1:16384" s="212" customFormat="1" ht="24" x14ac:dyDescent="0.25">
      <c r="A1024" s="131">
        <v>1</v>
      </c>
      <c r="B1024" s="129">
        <v>1501001</v>
      </c>
      <c r="C1024" s="127" t="s">
        <v>2022</v>
      </c>
      <c r="D1024" s="127" t="s">
        <v>1212</v>
      </c>
      <c r="E1024" s="147" t="s">
        <v>38</v>
      </c>
      <c r="F1024" s="129" t="s">
        <v>2020</v>
      </c>
      <c r="G1024" s="147" t="s">
        <v>1731</v>
      </c>
      <c r="H1024" s="191">
        <f t="shared" si="17"/>
        <v>1.0386</v>
      </c>
      <c r="I1024" s="222" t="s">
        <v>2228</v>
      </c>
      <c r="J1024" s="146">
        <v>30</v>
      </c>
      <c r="K1024" s="147">
        <v>2</v>
      </c>
      <c r="L1024" s="147">
        <v>1</v>
      </c>
      <c r="M1024" s="147">
        <v>3</v>
      </c>
      <c r="N1024" s="289">
        <v>1500</v>
      </c>
      <c r="O1024" s="195">
        <v>1.1299999999999999</v>
      </c>
      <c r="P1024" s="180">
        <v>45639</v>
      </c>
      <c r="Q1024" s="174">
        <v>1.0386</v>
      </c>
      <c r="R1024" s="205">
        <v>0</v>
      </c>
      <c r="S1024" s="165"/>
      <c r="T1024" s="129" t="s">
        <v>1448</v>
      </c>
      <c r="U1024" s="147" t="s">
        <v>37</v>
      </c>
      <c r="V1024" s="129"/>
      <c r="W1024" s="147" t="s">
        <v>2213</v>
      </c>
      <c r="X1024" s="215" t="s">
        <v>1938</v>
      </c>
      <c r="Y1024" s="216">
        <v>13114.783268500001</v>
      </c>
      <c r="Z1024" s="216">
        <v>19672.174902750001</v>
      </c>
      <c r="AA1024" s="263"/>
      <c r="AB1024" s="305"/>
      <c r="AC1024" s="214"/>
    </row>
    <row r="1025" spans="1:29" ht="24" x14ac:dyDescent="0.25">
      <c r="A1025" s="131">
        <v>1</v>
      </c>
      <c r="B1025" s="129">
        <v>1501002</v>
      </c>
      <c r="C1025" s="127" t="s">
        <v>2022</v>
      </c>
      <c r="D1025" s="127" t="s">
        <v>1218</v>
      </c>
      <c r="E1025" s="147" t="s">
        <v>38</v>
      </c>
      <c r="F1025" s="129" t="s">
        <v>2020</v>
      </c>
      <c r="G1025" s="147" t="s">
        <v>1731</v>
      </c>
      <c r="H1025" s="191">
        <f t="shared" si="17"/>
        <v>0.12</v>
      </c>
      <c r="I1025" s="222" t="s">
        <v>2228</v>
      </c>
      <c r="J1025" s="146">
        <v>30</v>
      </c>
      <c r="K1025" s="147">
        <v>2</v>
      </c>
      <c r="L1025" s="147">
        <v>1</v>
      </c>
      <c r="M1025" s="147">
        <v>3</v>
      </c>
      <c r="N1025" s="289">
        <v>2500</v>
      </c>
      <c r="O1025" s="195">
        <v>0.14000000000000001</v>
      </c>
      <c r="P1025" s="180">
        <v>45639</v>
      </c>
      <c r="Q1025" s="174">
        <v>0.12</v>
      </c>
      <c r="R1025" s="205">
        <v>0</v>
      </c>
      <c r="S1025" s="165"/>
      <c r="T1025" s="129" t="s">
        <v>1448</v>
      </c>
      <c r="U1025" s="147" t="s">
        <v>37</v>
      </c>
      <c r="V1025" s="129"/>
      <c r="W1025" s="147" t="s">
        <v>2213</v>
      </c>
      <c r="X1025" s="215" t="s">
        <v>1938</v>
      </c>
      <c r="Y1025" s="216">
        <v>14411.629625999998</v>
      </c>
      <c r="Z1025" s="216">
        <v>21617.444438999995</v>
      </c>
      <c r="AA1025" s="263"/>
      <c r="AB1025" s="305"/>
    </row>
    <row r="1026" spans="1:29" hidden="1" x14ac:dyDescent="0.25">
      <c r="A1026" s="131">
        <v>1</v>
      </c>
      <c r="B1026" s="129">
        <v>1501003</v>
      </c>
      <c r="C1026" s="127" t="s">
        <v>2022</v>
      </c>
      <c r="D1026" s="127" t="s">
        <v>1219</v>
      </c>
      <c r="E1026" s="147" t="s">
        <v>38</v>
      </c>
      <c r="F1026" s="138" t="s">
        <v>57</v>
      </c>
      <c r="G1026" s="147" t="s">
        <v>1731</v>
      </c>
      <c r="H1026" s="191">
        <f t="shared" si="17"/>
        <v>0</v>
      </c>
      <c r="I1026" s="225"/>
      <c r="J1026" s="149"/>
      <c r="K1026" s="147">
        <v>12</v>
      </c>
      <c r="L1026" s="147">
        <v>1</v>
      </c>
      <c r="M1026" s="147">
        <v>13</v>
      </c>
      <c r="N1026" s="289"/>
      <c r="O1026" s="196"/>
      <c r="P1026" s="180"/>
      <c r="Q1026" s="174"/>
      <c r="R1026" s="206">
        <v>0</v>
      </c>
      <c r="S1026" s="168"/>
      <c r="T1026" s="138" t="s">
        <v>57</v>
      </c>
      <c r="U1026" s="147" t="s">
        <v>37</v>
      </c>
      <c r="V1026" s="129"/>
      <c r="W1026" s="163" t="s">
        <v>54</v>
      </c>
      <c r="X1026" s="215"/>
      <c r="Y1026" s="216">
        <v>0</v>
      </c>
      <c r="Z1026" s="216">
        <v>0</v>
      </c>
      <c r="AA1026" s="263"/>
      <c r="AB1026" s="155"/>
      <c r="AC1026" s="212"/>
    </row>
    <row r="1027" spans="1:29" hidden="1" x14ac:dyDescent="0.25">
      <c r="A1027" s="131">
        <v>1</v>
      </c>
      <c r="B1027" s="129">
        <v>1501004</v>
      </c>
      <c r="C1027" s="127" t="s">
        <v>2022</v>
      </c>
      <c r="D1027" s="127" t="s">
        <v>1220</v>
      </c>
      <c r="E1027" s="147" t="s">
        <v>38</v>
      </c>
      <c r="F1027" s="129" t="s">
        <v>1221</v>
      </c>
      <c r="G1027" s="147" t="s">
        <v>1731</v>
      </c>
      <c r="H1027" s="191">
        <f t="shared" si="17"/>
        <v>0</v>
      </c>
      <c r="I1027" s="225"/>
      <c r="J1027" s="149"/>
      <c r="K1027" s="147"/>
      <c r="L1027" s="147"/>
      <c r="M1027" s="147">
        <v>1</v>
      </c>
      <c r="N1027" s="289"/>
      <c r="O1027" s="196"/>
      <c r="P1027" s="180"/>
      <c r="Q1027" s="174"/>
      <c r="R1027" s="206">
        <v>0</v>
      </c>
      <c r="S1027" s="168"/>
      <c r="T1027" s="129" t="s">
        <v>55</v>
      </c>
      <c r="U1027" s="147" t="s">
        <v>37</v>
      </c>
      <c r="V1027" s="129"/>
      <c r="W1027" s="163" t="s">
        <v>54</v>
      </c>
      <c r="X1027" s="215"/>
      <c r="Y1027" s="216">
        <v>0</v>
      </c>
      <c r="Z1027" s="216">
        <v>0</v>
      </c>
      <c r="AA1027" s="263"/>
      <c r="AB1027" s="155"/>
      <c r="AC1027" s="212"/>
    </row>
    <row r="1028" spans="1:29" s="182" customFormat="1" hidden="1" x14ac:dyDescent="0.25">
      <c r="A1028" s="131">
        <v>1</v>
      </c>
      <c r="B1028" s="129">
        <v>1501005</v>
      </c>
      <c r="C1028" s="127" t="s">
        <v>2022</v>
      </c>
      <c r="D1028" s="127" t="s">
        <v>1222</v>
      </c>
      <c r="E1028" s="147" t="s">
        <v>38</v>
      </c>
      <c r="F1028" s="129" t="s">
        <v>1221</v>
      </c>
      <c r="G1028" s="147" t="s">
        <v>1731</v>
      </c>
      <c r="H1028" s="191">
        <f t="shared" si="17"/>
        <v>0</v>
      </c>
      <c r="I1028" s="225"/>
      <c r="J1028" s="149"/>
      <c r="K1028" s="147"/>
      <c r="L1028" s="147"/>
      <c r="M1028" s="147">
        <v>1</v>
      </c>
      <c r="N1028" s="289"/>
      <c r="O1028" s="196"/>
      <c r="P1028" s="180"/>
      <c r="Q1028" s="174"/>
      <c r="R1028" s="206">
        <v>0</v>
      </c>
      <c r="S1028" s="168"/>
      <c r="T1028" s="129" t="s">
        <v>55</v>
      </c>
      <c r="U1028" s="147" t="s">
        <v>37</v>
      </c>
      <c r="V1028" s="129"/>
      <c r="W1028" s="163" t="s">
        <v>54</v>
      </c>
      <c r="X1028" s="215"/>
      <c r="Y1028" s="216">
        <v>0</v>
      </c>
      <c r="Z1028" s="216">
        <v>0</v>
      </c>
      <c r="AA1028" s="263"/>
      <c r="AB1028" s="155"/>
      <c r="AC1028" s="212"/>
    </row>
    <row r="1029" spans="1:29" s="182" customFormat="1" hidden="1" x14ac:dyDescent="0.25">
      <c r="A1029" s="131">
        <v>1</v>
      </c>
      <c r="B1029" s="129">
        <v>1501006</v>
      </c>
      <c r="C1029" s="127" t="s">
        <v>2022</v>
      </c>
      <c r="D1029" s="127" t="s">
        <v>1223</v>
      </c>
      <c r="E1029" s="147" t="s">
        <v>38</v>
      </c>
      <c r="F1029" s="129" t="s">
        <v>1224</v>
      </c>
      <c r="G1029" s="147" t="s">
        <v>1731</v>
      </c>
      <c r="H1029" s="191">
        <f t="shared" si="17"/>
        <v>0</v>
      </c>
      <c r="I1029" s="225"/>
      <c r="J1029" s="149"/>
      <c r="K1029" s="147"/>
      <c r="L1029" s="147"/>
      <c r="M1029" s="147">
        <v>1</v>
      </c>
      <c r="N1029" s="289"/>
      <c r="O1029" s="196"/>
      <c r="P1029" s="180"/>
      <c r="Q1029" s="174"/>
      <c r="R1029" s="206">
        <v>0</v>
      </c>
      <c r="S1029" s="168"/>
      <c r="T1029" s="129" t="s">
        <v>382</v>
      </c>
      <c r="U1029" s="147" t="s">
        <v>37</v>
      </c>
      <c r="V1029" s="129"/>
      <c r="W1029" s="163" t="s">
        <v>54</v>
      </c>
      <c r="X1029" s="215"/>
      <c r="Y1029" s="216">
        <v>0</v>
      </c>
      <c r="Z1029" s="216">
        <v>0</v>
      </c>
      <c r="AA1029" s="263"/>
      <c r="AB1029" s="155"/>
      <c r="AC1029" s="212"/>
    </row>
    <row r="1030" spans="1:29" s="182" customFormat="1" hidden="1" x14ac:dyDescent="0.25">
      <c r="A1030" s="131">
        <v>1</v>
      </c>
      <c r="B1030" s="136">
        <v>1501007</v>
      </c>
      <c r="C1030" s="127" t="s">
        <v>2022</v>
      </c>
      <c r="D1030" s="127" t="s">
        <v>1228</v>
      </c>
      <c r="E1030" s="147" t="s">
        <v>38</v>
      </c>
      <c r="F1030" s="129" t="s">
        <v>1221</v>
      </c>
      <c r="G1030" s="147" t="s">
        <v>1731</v>
      </c>
      <c r="H1030" s="191">
        <f t="shared" si="17"/>
        <v>0</v>
      </c>
      <c r="I1030" s="225"/>
      <c r="J1030" s="149"/>
      <c r="K1030" s="147"/>
      <c r="L1030" s="147"/>
      <c r="M1030" s="147">
        <v>1</v>
      </c>
      <c r="N1030" s="289">
        <v>1500</v>
      </c>
      <c r="O1030" s="196"/>
      <c r="P1030" s="180"/>
      <c r="Q1030" s="174"/>
      <c r="R1030" s="206">
        <v>0</v>
      </c>
      <c r="S1030" s="168"/>
      <c r="T1030" s="129" t="s">
        <v>292</v>
      </c>
      <c r="U1030" s="147" t="s">
        <v>37</v>
      </c>
      <c r="V1030" s="129"/>
      <c r="W1030" s="163" t="s">
        <v>54</v>
      </c>
      <c r="X1030" s="215"/>
      <c r="Y1030" s="216">
        <v>0</v>
      </c>
      <c r="Z1030" s="216">
        <v>0</v>
      </c>
      <c r="AA1030" s="263"/>
      <c r="AB1030" s="155"/>
      <c r="AC1030" s="212"/>
    </row>
    <row r="1031" spans="1:29" s="182" customFormat="1" hidden="1" x14ac:dyDescent="0.25">
      <c r="A1031" s="131">
        <v>1</v>
      </c>
      <c r="B1031" s="136">
        <v>1501008</v>
      </c>
      <c r="C1031" s="127" t="s">
        <v>2022</v>
      </c>
      <c r="D1031" s="127" t="s">
        <v>1230</v>
      </c>
      <c r="E1031" s="147" t="s">
        <v>38</v>
      </c>
      <c r="F1031" s="129" t="s">
        <v>1231</v>
      </c>
      <c r="G1031" s="147" t="s">
        <v>1731</v>
      </c>
      <c r="H1031" s="191">
        <f t="shared" si="17"/>
        <v>1.3100000000000001E-2</v>
      </c>
      <c r="I1031" s="134" t="s">
        <v>2088</v>
      </c>
      <c r="J1031" s="146">
        <v>30</v>
      </c>
      <c r="K1031" s="147">
        <v>1</v>
      </c>
      <c r="L1031" s="147">
        <v>1</v>
      </c>
      <c r="M1031" s="147">
        <v>2</v>
      </c>
      <c r="N1031" s="289">
        <v>1000</v>
      </c>
      <c r="O1031" s="196"/>
      <c r="P1031" s="180"/>
      <c r="Q1031" s="174">
        <v>1.3100000000000001E-2</v>
      </c>
      <c r="R1031" s="205">
        <v>0</v>
      </c>
      <c r="S1031" s="168"/>
      <c r="T1031" s="129" t="s">
        <v>234</v>
      </c>
      <c r="U1031" s="147" t="s">
        <v>37</v>
      </c>
      <c r="V1031" s="129"/>
      <c r="W1031" s="163" t="s">
        <v>54</v>
      </c>
      <c r="X1031" s="215"/>
      <c r="Y1031" s="216">
        <v>0</v>
      </c>
      <c r="Z1031" s="216">
        <v>0</v>
      </c>
      <c r="AA1031" s="263"/>
      <c r="AB1031" s="155"/>
      <c r="AC1031" s="212"/>
    </row>
    <row r="1032" spans="1:29" s="182" customFormat="1" hidden="1" x14ac:dyDescent="0.25">
      <c r="A1032" s="131">
        <v>1</v>
      </c>
      <c r="B1032" s="136">
        <v>1501009</v>
      </c>
      <c r="C1032" s="127" t="s">
        <v>2022</v>
      </c>
      <c r="D1032" s="127" t="s">
        <v>1235</v>
      </c>
      <c r="E1032" s="147" t="s">
        <v>38</v>
      </c>
      <c r="F1032" s="129" t="s">
        <v>1221</v>
      </c>
      <c r="G1032" s="147" t="s">
        <v>1731</v>
      </c>
      <c r="H1032" s="191">
        <f t="shared" si="17"/>
        <v>0</v>
      </c>
      <c r="I1032" s="225"/>
      <c r="J1032" s="149"/>
      <c r="K1032" s="147">
        <v>12</v>
      </c>
      <c r="L1032" s="147">
        <v>1</v>
      </c>
      <c r="M1032" s="147">
        <v>13</v>
      </c>
      <c r="N1032" s="289"/>
      <c r="O1032" s="196"/>
      <c r="P1032" s="180"/>
      <c r="Q1032" s="174"/>
      <c r="R1032" s="206">
        <v>0</v>
      </c>
      <c r="S1032" s="168"/>
      <c r="T1032" s="129"/>
      <c r="U1032" s="147" t="s">
        <v>37</v>
      </c>
      <c r="V1032" s="129"/>
      <c r="W1032" s="163" t="s">
        <v>54</v>
      </c>
      <c r="X1032" s="215"/>
      <c r="Y1032" s="216">
        <v>0</v>
      </c>
      <c r="Z1032" s="216">
        <v>0</v>
      </c>
      <c r="AA1032" s="263"/>
      <c r="AB1032" s="155"/>
      <c r="AC1032" s="212"/>
    </row>
    <row r="1033" spans="1:29" s="182" customFormat="1" hidden="1" x14ac:dyDescent="0.25">
      <c r="A1033" s="131">
        <v>1</v>
      </c>
      <c r="B1033" s="129">
        <v>1501010</v>
      </c>
      <c r="C1033" s="127" t="s">
        <v>940</v>
      </c>
      <c r="D1033" s="127" t="s">
        <v>1237</v>
      </c>
      <c r="E1033" s="147" t="s">
        <v>38</v>
      </c>
      <c r="F1033" s="129" t="s">
        <v>946</v>
      </c>
      <c r="G1033" s="147" t="s">
        <v>1731</v>
      </c>
      <c r="H1033" s="191">
        <f t="shared" si="17"/>
        <v>6.9600000000000009E-2</v>
      </c>
      <c r="I1033" s="134"/>
      <c r="J1033" s="150"/>
      <c r="K1033" s="147"/>
      <c r="L1033" s="147"/>
      <c r="M1033" s="147">
        <v>4</v>
      </c>
      <c r="N1033" s="289">
        <v>25000</v>
      </c>
      <c r="O1033" s="196"/>
      <c r="P1033" s="180"/>
      <c r="Q1033" s="174">
        <v>6.6500000000000004E-2</v>
      </c>
      <c r="R1033" s="205">
        <v>3.0999999999999999E-3</v>
      </c>
      <c r="S1033" s="170"/>
      <c r="T1033" s="129" t="s">
        <v>36</v>
      </c>
      <c r="U1033" s="147" t="s">
        <v>37</v>
      </c>
      <c r="V1033" s="129"/>
      <c r="W1033" s="163" t="s">
        <v>54</v>
      </c>
      <c r="X1033" s="215"/>
      <c r="Y1033" s="216">
        <v>0</v>
      </c>
      <c r="Z1033" s="216">
        <v>0</v>
      </c>
      <c r="AA1033" s="263"/>
      <c r="AB1033" s="155"/>
      <c r="AC1033" s="212"/>
    </row>
    <row r="1034" spans="1:29" s="182" customFormat="1" hidden="1" x14ac:dyDescent="0.25">
      <c r="A1034" s="131">
        <v>1</v>
      </c>
      <c r="B1034" s="129">
        <v>1501012</v>
      </c>
      <c r="C1034" s="127" t="s">
        <v>940</v>
      </c>
      <c r="D1034" s="127" t="s">
        <v>1238</v>
      </c>
      <c r="E1034" s="147" t="s">
        <v>38</v>
      </c>
      <c r="F1034" s="129" t="s">
        <v>951</v>
      </c>
      <c r="G1034" s="147" t="s">
        <v>1731</v>
      </c>
      <c r="H1034" s="191">
        <f t="shared" si="17"/>
        <v>7.2059639999999994E-2</v>
      </c>
      <c r="I1034" s="134"/>
      <c r="J1034" s="150"/>
      <c r="K1034" s="147"/>
      <c r="L1034" s="147"/>
      <c r="M1034" s="147">
        <v>3</v>
      </c>
      <c r="N1034" s="289">
        <v>14000</v>
      </c>
      <c r="O1034" s="196"/>
      <c r="P1034" s="180"/>
      <c r="Q1034" s="174">
        <v>7.1499999999999994E-2</v>
      </c>
      <c r="R1034" s="205">
        <v>5.5964000000000003E-4</v>
      </c>
      <c r="S1034" s="170"/>
      <c r="T1034" s="129" t="s">
        <v>36</v>
      </c>
      <c r="U1034" s="147" t="s">
        <v>37</v>
      </c>
      <c r="V1034" s="129"/>
      <c r="W1034" s="163" t="s">
        <v>54</v>
      </c>
      <c r="X1034" s="215"/>
      <c r="Y1034" s="216">
        <v>0</v>
      </c>
      <c r="Z1034" s="216">
        <v>0</v>
      </c>
      <c r="AA1034" s="263"/>
      <c r="AB1034" s="155"/>
      <c r="AC1034" s="212"/>
    </row>
    <row r="1035" spans="1:29" s="182" customFormat="1" hidden="1" x14ac:dyDescent="0.25">
      <c r="A1035" s="131">
        <v>1</v>
      </c>
      <c r="B1035" s="129">
        <v>1501015</v>
      </c>
      <c r="C1035" s="127" t="s">
        <v>940</v>
      </c>
      <c r="D1035" s="127" t="s">
        <v>1242</v>
      </c>
      <c r="E1035" s="147" t="s">
        <v>38</v>
      </c>
      <c r="F1035" s="129" t="s">
        <v>946</v>
      </c>
      <c r="G1035" s="147" t="s">
        <v>1731</v>
      </c>
      <c r="H1035" s="191">
        <f t="shared" si="17"/>
        <v>0</v>
      </c>
      <c r="I1035" s="225"/>
      <c r="J1035" s="149"/>
      <c r="K1035" s="147"/>
      <c r="L1035" s="147"/>
      <c r="M1035" s="147">
        <v>5</v>
      </c>
      <c r="N1035" s="289">
        <v>100000</v>
      </c>
      <c r="O1035" s="196"/>
      <c r="P1035" s="180"/>
      <c r="Q1035" s="174"/>
      <c r="R1035" s="206">
        <v>0</v>
      </c>
      <c r="S1035" s="170"/>
      <c r="T1035" s="129" t="s">
        <v>36</v>
      </c>
      <c r="U1035" s="147" t="s">
        <v>37</v>
      </c>
      <c r="V1035" s="129"/>
      <c r="W1035" s="163" t="s">
        <v>54</v>
      </c>
      <c r="X1035" s="215"/>
      <c r="Y1035" s="216">
        <v>0</v>
      </c>
      <c r="Z1035" s="216">
        <v>0</v>
      </c>
      <c r="AA1035" s="263"/>
      <c r="AB1035" s="155"/>
      <c r="AC1035" s="212"/>
    </row>
    <row r="1036" spans="1:29" s="182" customFormat="1" hidden="1" x14ac:dyDescent="0.25">
      <c r="A1036" s="131">
        <v>1</v>
      </c>
      <c r="B1036" s="129">
        <v>1501018</v>
      </c>
      <c r="C1036" s="127" t="s">
        <v>940</v>
      </c>
      <c r="D1036" s="127" t="s">
        <v>1243</v>
      </c>
      <c r="E1036" s="147" t="s">
        <v>38</v>
      </c>
      <c r="F1036" s="129" t="s">
        <v>1244</v>
      </c>
      <c r="G1036" s="147" t="s">
        <v>1731</v>
      </c>
      <c r="H1036" s="191">
        <f t="shared" si="17"/>
        <v>22.85055964</v>
      </c>
      <c r="I1036" s="134"/>
      <c r="J1036" s="146">
        <v>0</v>
      </c>
      <c r="K1036" s="147"/>
      <c r="L1036" s="147"/>
      <c r="M1036" s="147">
        <v>2</v>
      </c>
      <c r="N1036" s="289" t="s">
        <v>1674</v>
      </c>
      <c r="O1036" s="196">
        <v>5.5999999999999999E-3</v>
      </c>
      <c r="P1036" s="180">
        <v>44616</v>
      </c>
      <c r="Q1036" s="174">
        <v>22.85</v>
      </c>
      <c r="R1036" s="205">
        <v>5.5964000000000003E-4</v>
      </c>
      <c r="S1036" s="165"/>
      <c r="T1036" s="129" t="s">
        <v>36</v>
      </c>
      <c r="U1036" s="147" t="s">
        <v>37</v>
      </c>
      <c r="V1036" s="129"/>
      <c r="W1036" s="163" t="s">
        <v>54</v>
      </c>
      <c r="X1036" s="215"/>
      <c r="Y1036" s="216">
        <v>0</v>
      </c>
      <c r="Z1036" s="216">
        <v>0</v>
      </c>
      <c r="AA1036" s="263"/>
      <c r="AB1036" s="155"/>
      <c r="AC1036" s="212"/>
    </row>
    <row r="1037" spans="1:29" s="182" customFormat="1" hidden="1" x14ac:dyDescent="0.25">
      <c r="A1037" s="131">
        <v>1</v>
      </c>
      <c r="B1037" s="129">
        <v>1501019</v>
      </c>
      <c r="C1037" s="127" t="s">
        <v>940</v>
      </c>
      <c r="D1037" s="127" t="s">
        <v>1248</v>
      </c>
      <c r="E1037" s="147" t="s">
        <v>38</v>
      </c>
      <c r="F1037" s="129" t="s">
        <v>946</v>
      </c>
      <c r="G1037" s="147" t="s">
        <v>1731</v>
      </c>
      <c r="H1037" s="191">
        <f t="shared" si="17"/>
        <v>0</v>
      </c>
      <c r="I1037" s="225"/>
      <c r="J1037" s="149"/>
      <c r="K1037" s="147"/>
      <c r="L1037" s="147"/>
      <c r="M1037" s="147">
        <v>4</v>
      </c>
      <c r="N1037" s="289">
        <v>100000</v>
      </c>
      <c r="O1037" s="196"/>
      <c r="P1037" s="180"/>
      <c r="Q1037" s="174"/>
      <c r="R1037" s="206">
        <v>0</v>
      </c>
      <c r="S1037" s="170"/>
      <c r="T1037" s="129" t="s">
        <v>36</v>
      </c>
      <c r="U1037" s="147" t="s">
        <v>37</v>
      </c>
      <c r="V1037" s="129"/>
      <c r="W1037" s="163" t="s">
        <v>54</v>
      </c>
      <c r="X1037" s="215"/>
      <c r="Y1037" s="216">
        <v>0</v>
      </c>
      <c r="Z1037" s="216">
        <v>0</v>
      </c>
      <c r="AA1037" s="263"/>
      <c r="AB1037" s="155"/>
      <c r="AC1037" s="212"/>
    </row>
    <row r="1038" spans="1:29" s="182" customFormat="1" hidden="1" x14ac:dyDescent="0.25">
      <c r="A1038" s="131">
        <v>1</v>
      </c>
      <c r="B1038" s="129">
        <v>1501020</v>
      </c>
      <c r="C1038" s="127" t="s">
        <v>940</v>
      </c>
      <c r="D1038" s="127" t="s">
        <v>1249</v>
      </c>
      <c r="E1038" s="147" t="s">
        <v>38</v>
      </c>
      <c r="F1038" s="129" t="s">
        <v>946</v>
      </c>
      <c r="G1038" s="147" t="s">
        <v>1731</v>
      </c>
      <c r="H1038" s="191">
        <f t="shared" si="17"/>
        <v>6.9600000000000009E-2</v>
      </c>
      <c r="I1038" s="134"/>
      <c r="J1038" s="150"/>
      <c r="K1038" s="147"/>
      <c r="L1038" s="147"/>
      <c r="M1038" s="147">
        <v>4</v>
      </c>
      <c r="N1038" s="289">
        <v>25000</v>
      </c>
      <c r="O1038" s="196"/>
      <c r="P1038" s="180"/>
      <c r="Q1038" s="174">
        <v>6.6500000000000004E-2</v>
      </c>
      <c r="R1038" s="205">
        <v>3.0999999999999999E-3</v>
      </c>
      <c r="S1038" s="170"/>
      <c r="T1038" s="129" t="s">
        <v>36</v>
      </c>
      <c r="U1038" s="147" t="s">
        <v>37</v>
      </c>
      <c r="V1038" s="129"/>
      <c r="W1038" s="163" t="s">
        <v>54</v>
      </c>
      <c r="X1038" s="215"/>
      <c r="Y1038" s="216">
        <v>0</v>
      </c>
      <c r="Z1038" s="216">
        <v>0</v>
      </c>
      <c r="AA1038" s="263"/>
      <c r="AB1038" s="155"/>
      <c r="AC1038" s="212"/>
    </row>
    <row r="1039" spans="1:29" s="182" customFormat="1" hidden="1" x14ac:dyDescent="0.25">
      <c r="A1039" s="131">
        <v>1</v>
      </c>
      <c r="B1039" s="129">
        <v>1501021</v>
      </c>
      <c r="C1039" s="127" t="s">
        <v>2022</v>
      </c>
      <c r="D1039" s="127" t="s">
        <v>1250</v>
      </c>
      <c r="E1039" s="147" t="s">
        <v>38</v>
      </c>
      <c r="F1039" s="129" t="s">
        <v>1224</v>
      </c>
      <c r="G1039" s="147" t="s">
        <v>1731</v>
      </c>
      <c r="H1039" s="191">
        <f t="shared" si="17"/>
        <v>0</v>
      </c>
      <c r="I1039" s="225"/>
      <c r="J1039" s="149"/>
      <c r="K1039" s="147">
        <v>2</v>
      </c>
      <c r="L1039" s="147">
        <v>1</v>
      </c>
      <c r="M1039" s="147">
        <v>3</v>
      </c>
      <c r="N1039" s="289"/>
      <c r="O1039" s="196"/>
      <c r="P1039" s="180"/>
      <c r="Q1039" s="174"/>
      <c r="R1039" s="206">
        <v>0</v>
      </c>
      <c r="S1039" s="168"/>
      <c r="T1039" s="129" t="s">
        <v>1251</v>
      </c>
      <c r="U1039" s="147" t="s">
        <v>37</v>
      </c>
      <c r="V1039" s="129"/>
      <c r="W1039" s="163" t="s">
        <v>54</v>
      </c>
      <c r="X1039" s="215"/>
      <c r="Y1039" s="216">
        <v>0</v>
      </c>
      <c r="Z1039" s="216">
        <v>0</v>
      </c>
      <c r="AA1039" s="263"/>
      <c r="AB1039" s="155"/>
      <c r="AC1039" s="212"/>
    </row>
    <row r="1040" spans="1:29" s="182" customFormat="1" hidden="1" x14ac:dyDescent="0.25">
      <c r="A1040" s="131">
        <v>1</v>
      </c>
      <c r="B1040" s="129">
        <v>1501022</v>
      </c>
      <c r="C1040" s="127" t="s">
        <v>2022</v>
      </c>
      <c r="D1040" s="127" t="s">
        <v>1252</v>
      </c>
      <c r="E1040" s="147" t="s">
        <v>38</v>
      </c>
      <c r="F1040" s="129" t="s">
        <v>1224</v>
      </c>
      <c r="G1040" s="147" t="s">
        <v>1731</v>
      </c>
      <c r="H1040" s="191">
        <f t="shared" si="17"/>
        <v>0</v>
      </c>
      <c r="I1040" s="225"/>
      <c r="J1040" s="149"/>
      <c r="K1040" s="147">
        <v>2</v>
      </c>
      <c r="L1040" s="147">
        <v>1</v>
      </c>
      <c r="M1040" s="147">
        <v>3</v>
      </c>
      <c r="N1040" s="289"/>
      <c r="O1040" s="196"/>
      <c r="P1040" s="180"/>
      <c r="Q1040" s="174"/>
      <c r="R1040" s="206">
        <v>0</v>
      </c>
      <c r="S1040" s="168"/>
      <c r="T1040" s="129" t="s">
        <v>1251</v>
      </c>
      <c r="U1040" s="147" t="s">
        <v>37</v>
      </c>
      <c r="V1040" s="129"/>
      <c r="W1040" s="163" t="s">
        <v>54</v>
      </c>
      <c r="X1040" s="215"/>
      <c r="Y1040" s="216">
        <v>0</v>
      </c>
      <c r="Z1040" s="216">
        <v>0</v>
      </c>
      <c r="AA1040" s="263"/>
      <c r="AB1040" s="155"/>
      <c r="AC1040" s="212"/>
    </row>
    <row r="1041" spans="1:29" s="182" customFormat="1" hidden="1" x14ac:dyDescent="0.25">
      <c r="A1041" s="131">
        <v>1</v>
      </c>
      <c r="B1041" s="129">
        <v>1501023</v>
      </c>
      <c r="C1041" s="127" t="s">
        <v>2022</v>
      </c>
      <c r="D1041" s="127" t="s">
        <v>1253</v>
      </c>
      <c r="E1041" s="147" t="s">
        <v>38</v>
      </c>
      <c r="F1041" s="129" t="s">
        <v>1224</v>
      </c>
      <c r="G1041" s="147" t="s">
        <v>1731</v>
      </c>
      <c r="H1041" s="191">
        <f t="shared" si="17"/>
        <v>0</v>
      </c>
      <c r="I1041" s="225"/>
      <c r="J1041" s="149"/>
      <c r="K1041" s="147">
        <v>2</v>
      </c>
      <c r="L1041" s="147">
        <v>1</v>
      </c>
      <c r="M1041" s="147">
        <v>3</v>
      </c>
      <c r="N1041" s="289"/>
      <c r="O1041" s="196"/>
      <c r="P1041" s="180"/>
      <c r="Q1041" s="174"/>
      <c r="R1041" s="206">
        <v>0</v>
      </c>
      <c r="S1041" s="168"/>
      <c r="T1041" s="129" t="s">
        <v>64</v>
      </c>
      <c r="U1041" s="147" t="s">
        <v>37</v>
      </c>
      <c r="V1041" s="129"/>
      <c r="W1041" s="163" t="s">
        <v>54</v>
      </c>
      <c r="X1041" s="215"/>
      <c r="Y1041" s="216">
        <v>0</v>
      </c>
      <c r="Z1041" s="216">
        <v>0</v>
      </c>
      <c r="AA1041" s="263"/>
      <c r="AB1041" s="155"/>
      <c r="AC1041" s="212"/>
    </row>
    <row r="1042" spans="1:29" s="182" customFormat="1" hidden="1" x14ac:dyDescent="0.25">
      <c r="A1042" s="131">
        <v>1</v>
      </c>
      <c r="B1042" s="129">
        <v>1501024</v>
      </c>
      <c r="C1042" s="127" t="s">
        <v>2022</v>
      </c>
      <c r="D1042" s="127" t="s">
        <v>1254</v>
      </c>
      <c r="E1042" s="147" t="s">
        <v>38</v>
      </c>
      <c r="F1042" s="129" t="s">
        <v>1224</v>
      </c>
      <c r="G1042" s="147" t="s">
        <v>1731</v>
      </c>
      <c r="H1042" s="191">
        <f t="shared" si="17"/>
        <v>0</v>
      </c>
      <c r="I1042" s="225"/>
      <c r="J1042" s="149"/>
      <c r="K1042" s="147">
        <v>2</v>
      </c>
      <c r="L1042" s="147">
        <v>1</v>
      </c>
      <c r="M1042" s="147">
        <v>3</v>
      </c>
      <c r="N1042" s="289"/>
      <c r="O1042" s="196"/>
      <c r="P1042" s="180"/>
      <c r="Q1042" s="174"/>
      <c r="R1042" s="206">
        <v>0</v>
      </c>
      <c r="S1042" s="168"/>
      <c r="T1042" s="129" t="s">
        <v>1251</v>
      </c>
      <c r="U1042" s="147" t="s">
        <v>37</v>
      </c>
      <c r="V1042" s="129"/>
      <c r="W1042" s="163" t="s">
        <v>54</v>
      </c>
      <c r="X1042" s="215"/>
      <c r="Y1042" s="216">
        <v>0</v>
      </c>
      <c r="Z1042" s="216">
        <v>0</v>
      </c>
      <c r="AA1042" s="263"/>
      <c r="AB1042" s="155"/>
      <c r="AC1042" s="212"/>
    </row>
    <row r="1043" spans="1:29" s="182" customFormat="1" ht="24" x14ac:dyDescent="0.25">
      <c r="A1043" s="131">
        <v>1</v>
      </c>
      <c r="B1043" s="129">
        <v>1501025</v>
      </c>
      <c r="C1043" s="127" t="s">
        <v>2022</v>
      </c>
      <c r="D1043" s="127" t="s">
        <v>1255</v>
      </c>
      <c r="E1043" s="147" t="s">
        <v>38</v>
      </c>
      <c r="F1043" s="129" t="s">
        <v>2020</v>
      </c>
      <c r="G1043" s="147" t="s">
        <v>1731</v>
      </c>
      <c r="H1043" s="191">
        <f t="shared" si="17"/>
        <v>1.5307999999999999</v>
      </c>
      <c r="I1043" s="222" t="s">
        <v>2228</v>
      </c>
      <c r="J1043" s="146">
        <v>30</v>
      </c>
      <c r="K1043" s="147">
        <v>2</v>
      </c>
      <c r="L1043" s="147">
        <v>1</v>
      </c>
      <c r="M1043" s="147">
        <v>3</v>
      </c>
      <c r="N1043" s="289">
        <v>200</v>
      </c>
      <c r="O1043" s="195">
        <v>2.5299999999999998</v>
      </c>
      <c r="P1043" s="180">
        <v>45639</v>
      </c>
      <c r="Q1043" s="174">
        <v>1.5307999999999999</v>
      </c>
      <c r="R1043" s="205">
        <v>0</v>
      </c>
      <c r="S1043" s="165"/>
      <c r="T1043" s="129" t="s">
        <v>1448</v>
      </c>
      <c r="U1043" s="147" t="s">
        <v>37</v>
      </c>
      <c r="V1043" s="129"/>
      <c r="W1043" s="147" t="s">
        <v>2213</v>
      </c>
      <c r="X1043" s="215" t="s">
        <v>1938</v>
      </c>
      <c r="Y1043" s="216">
        <v>1422.1707356249992</v>
      </c>
      <c r="Z1043" s="216">
        <v>2133.256103437499</v>
      </c>
      <c r="AA1043" s="263"/>
      <c r="AB1043" s="305"/>
      <c r="AC1043" s="214"/>
    </row>
    <row r="1044" spans="1:29" s="182" customFormat="1" hidden="1" x14ac:dyDescent="0.25">
      <c r="A1044" s="131">
        <v>1</v>
      </c>
      <c r="B1044" s="129">
        <v>1501026</v>
      </c>
      <c r="C1044" s="127" t="s">
        <v>2022</v>
      </c>
      <c r="D1044" s="127" t="s">
        <v>1256</v>
      </c>
      <c r="E1044" s="147" t="s">
        <v>38</v>
      </c>
      <c r="F1044" s="129" t="s">
        <v>1221</v>
      </c>
      <c r="G1044" s="147" t="s">
        <v>1731</v>
      </c>
      <c r="H1044" s="191">
        <f t="shared" si="17"/>
        <v>0</v>
      </c>
      <c r="I1044" s="225"/>
      <c r="J1044" s="149"/>
      <c r="K1044" s="147">
        <v>12</v>
      </c>
      <c r="L1044" s="147">
        <v>1</v>
      </c>
      <c r="M1044" s="147">
        <v>13</v>
      </c>
      <c r="N1044" s="289"/>
      <c r="O1044" s="196"/>
      <c r="P1044" s="180"/>
      <c r="Q1044" s="174"/>
      <c r="R1044" s="206">
        <v>0</v>
      </c>
      <c r="S1044" s="168"/>
      <c r="T1044" s="129" t="s">
        <v>1257</v>
      </c>
      <c r="U1044" s="147" t="s">
        <v>37</v>
      </c>
      <c r="V1044" s="129"/>
      <c r="W1044" s="163" t="s">
        <v>54</v>
      </c>
      <c r="X1044" s="215"/>
      <c r="Y1044" s="216">
        <v>0</v>
      </c>
      <c r="Z1044" s="216">
        <v>0</v>
      </c>
      <c r="AA1044" s="263"/>
      <c r="AB1044" s="155"/>
      <c r="AC1044" s="212"/>
    </row>
    <row r="1045" spans="1:29" s="182" customFormat="1" hidden="1" x14ac:dyDescent="0.25">
      <c r="A1045" s="182">
        <v>1</v>
      </c>
      <c r="B1045" s="129">
        <v>1501027</v>
      </c>
      <c r="C1045" s="127" t="s">
        <v>2022</v>
      </c>
      <c r="D1045" s="127" t="s">
        <v>1256</v>
      </c>
      <c r="E1045" s="147" t="s">
        <v>38</v>
      </c>
      <c r="F1045" s="129" t="s">
        <v>1258</v>
      </c>
      <c r="G1045" s="147" t="s">
        <v>1731</v>
      </c>
      <c r="H1045" s="191">
        <f t="shared" si="17"/>
        <v>0</v>
      </c>
      <c r="I1045" s="181" t="s">
        <v>2088</v>
      </c>
      <c r="J1045" s="148">
        <v>30</v>
      </c>
      <c r="K1045" s="147">
        <v>1</v>
      </c>
      <c r="L1045" s="147">
        <v>1</v>
      </c>
      <c r="M1045" s="147">
        <v>2</v>
      </c>
      <c r="N1045" s="289"/>
      <c r="O1045" s="196"/>
      <c r="P1045" s="180"/>
      <c r="Q1045" s="174"/>
      <c r="R1045" s="206">
        <v>0</v>
      </c>
      <c r="S1045" s="168"/>
      <c r="T1045" s="129" t="s">
        <v>1448</v>
      </c>
      <c r="U1045" s="147" t="s">
        <v>37</v>
      </c>
      <c r="V1045" s="129"/>
      <c r="W1045" s="163" t="s">
        <v>54</v>
      </c>
      <c r="X1045" s="215"/>
      <c r="Y1045" s="216">
        <v>0</v>
      </c>
      <c r="Z1045" s="216">
        <v>0</v>
      </c>
      <c r="AA1045" s="263"/>
      <c r="AB1045" s="155"/>
      <c r="AC1045" s="212"/>
    </row>
    <row r="1046" spans="1:29" s="182" customFormat="1" ht="24" x14ac:dyDescent="0.25">
      <c r="A1046" s="155">
        <v>1</v>
      </c>
      <c r="B1046" s="129">
        <v>1501028</v>
      </c>
      <c r="C1046" s="127" t="s">
        <v>2022</v>
      </c>
      <c r="D1046" s="127" t="s">
        <v>1259</v>
      </c>
      <c r="E1046" s="147" t="s">
        <v>38</v>
      </c>
      <c r="F1046" s="129" t="s">
        <v>2020</v>
      </c>
      <c r="G1046" s="147" t="s">
        <v>1731</v>
      </c>
      <c r="H1046" s="191">
        <f t="shared" si="17"/>
        <v>0.19</v>
      </c>
      <c r="I1046" s="222" t="s">
        <v>2228</v>
      </c>
      <c r="J1046" s="146">
        <v>30</v>
      </c>
      <c r="K1046" s="147">
        <v>2</v>
      </c>
      <c r="L1046" s="147">
        <v>1</v>
      </c>
      <c r="M1046" s="147">
        <v>3</v>
      </c>
      <c r="N1046" s="289">
        <v>1500</v>
      </c>
      <c r="O1046" s="195">
        <v>0.15</v>
      </c>
      <c r="P1046" s="180">
        <v>45639</v>
      </c>
      <c r="Q1046" s="174">
        <v>0.19</v>
      </c>
      <c r="R1046" s="205">
        <v>0</v>
      </c>
      <c r="S1046" s="165"/>
      <c r="T1046" s="129" t="s">
        <v>1448</v>
      </c>
      <c r="U1046" s="147" t="s">
        <v>37</v>
      </c>
      <c r="V1046" s="129"/>
      <c r="W1046" s="147" t="s">
        <v>2213</v>
      </c>
      <c r="X1046" s="215" t="s">
        <v>1938</v>
      </c>
      <c r="Y1046" s="216">
        <v>8845.6363471250042</v>
      </c>
      <c r="Z1046" s="216">
        <v>13268.454520687506</v>
      </c>
      <c r="AA1046" s="263"/>
      <c r="AB1046" s="305"/>
      <c r="AC1046" s="214"/>
    </row>
    <row r="1047" spans="1:29" s="182" customFormat="1" hidden="1" x14ac:dyDescent="0.25">
      <c r="A1047" s="155">
        <v>1</v>
      </c>
      <c r="B1047" s="129">
        <v>1501029</v>
      </c>
      <c r="C1047" s="127" t="s">
        <v>2022</v>
      </c>
      <c r="D1047" s="127" t="s">
        <v>1260</v>
      </c>
      <c r="E1047" s="147" t="s">
        <v>38</v>
      </c>
      <c r="F1047" s="129" t="s">
        <v>1261</v>
      </c>
      <c r="G1047" s="147" t="s">
        <v>1731</v>
      </c>
      <c r="H1047" s="191">
        <f t="shared" si="17"/>
        <v>0</v>
      </c>
      <c r="I1047" s="225"/>
      <c r="J1047" s="149"/>
      <c r="K1047" s="147">
        <v>11</v>
      </c>
      <c r="L1047" s="147">
        <v>1</v>
      </c>
      <c r="M1047" s="147">
        <v>12</v>
      </c>
      <c r="N1047" s="289"/>
      <c r="O1047" s="196"/>
      <c r="P1047" s="180"/>
      <c r="Q1047" s="174"/>
      <c r="R1047" s="206">
        <v>0</v>
      </c>
      <c r="S1047" s="168"/>
      <c r="T1047" s="129" t="s">
        <v>1262</v>
      </c>
      <c r="U1047" s="147" t="s">
        <v>37</v>
      </c>
      <c r="V1047" s="129"/>
      <c r="W1047" s="163" t="s">
        <v>54</v>
      </c>
      <c r="X1047" s="215"/>
      <c r="Y1047" s="216">
        <v>0</v>
      </c>
      <c r="Z1047" s="216">
        <v>0</v>
      </c>
      <c r="AA1047" s="263"/>
      <c r="AB1047" s="155"/>
      <c r="AC1047" s="212"/>
    </row>
    <row r="1048" spans="1:29" s="182" customFormat="1" hidden="1" x14ac:dyDescent="0.25">
      <c r="A1048" s="155">
        <v>1</v>
      </c>
      <c r="B1048" s="129">
        <v>1501030</v>
      </c>
      <c r="C1048" s="127" t="s">
        <v>2022</v>
      </c>
      <c r="D1048" s="127" t="s">
        <v>1263</v>
      </c>
      <c r="E1048" s="147" t="s">
        <v>38</v>
      </c>
      <c r="F1048" s="129" t="s">
        <v>116</v>
      </c>
      <c r="G1048" s="147" t="s">
        <v>1731</v>
      </c>
      <c r="H1048" s="191">
        <f t="shared" si="17"/>
        <v>0</v>
      </c>
      <c r="I1048" s="225"/>
      <c r="J1048" s="149"/>
      <c r="K1048" s="147">
        <v>11</v>
      </c>
      <c r="L1048" s="147">
        <v>1</v>
      </c>
      <c r="M1048" s="147">
        <v>12</v>
      </c>
      <c r="N1048" s="289"/>
      <c r="O1048" s="196"/>
      <c r="P1048" s="180"/>
      <c r="Q1048" s="174"/>
      <c r="R1048" s="206">
        <v>0</v>
      </c>
      <c r="S1048" s="165"/>
      <c r="T1048" s="129" t="s">
        <v>162</v>
      </c>
      <c r="U1048" s="147" t="s">
        <v>35</v>
      </c>
      <c r="V1048" s="129"/>
      <c r="W1048" s="177" t="s">
        <v>2531</v>
      </c>
      <c r="X1048" s="215"/>
      <c r="Y1048" s="216">
        <v>0</v>
      </c>
      <c r="Z1048" s="216">
        <v>0</v>
      </c>
      <c r="AA1048" s="263"/>
      <c r="AB1048" s="155"/>
      <c r="AC1048" s="212"/>
    </row>
    <row r="1049" spans="1:29" s="182" customFormat="1" hidden="1" x14ac:dyDescent="0.25">
      <c r="A1049" s="155">
        <v>1</v>
      </c>
      <c r="B1049" s="129">
        <v>1501031</v>
      </c>
      <c r="C1049" s="127" t="s">
        <v>2022</v>
      </c>
      <c r="D1049" s="127" t="s">
        <v>1266</v>
      </c>
      <c r="E1049" s="147" t="s">
        <v>38</v>
      </c>
      <c r="F1049" s="129" t="s">
        <v>1275</v>
      </c>
      <c r="G1049" s="147" t="s">
        <v>1731</v>
      </c>
      <c r="H1049" s="191">
        <f t="shared" si="17"/>
        <v>2.08</v>
      </c>
      <c r="I1049" s="134"/>
      <c r="J1049" s="146">
        <v>60</v>
      </c>
      <c r="K1049" s="147"/>
      <c r="L1049" s="147"/>
      <c r="M1049" s="147">
        <v>2</v>
      </c>
      <c r="N1049" s="289"/>
      <c r="O1049" s="196"/>
      <c r="P1049" s="180"/>
      <c r="Q1049" s="174">
        <v>2.08</v>
      </c>
      <c r="R1049" s="205">
        <v>0</v>
      </c>
      <c r="S1049" s="165"/>
      <c r="T1049" s="129" t="s">
        <v>365</v>
      </c>
      <c r="U1049" s="147" t="s">
        <v>35</v>
      </c>
      <c r="V1049" s="129"/>
      <c r="W1049" s="163" t="s">
        <v>54</v>
      </c>
      <c r="X1049" s="215"/>
      <c r="Y1049" s="216">
        <v>0</v>
      </c>
      <c r="Z1049" s="216">
        <v>0</v>
      </c>
      <c r="AA1049" s="263"/>
      <c r="AB1049" s="155"/>
      <c r="AC1049" s="212"/>
    </row>
    <row r="1050" spans="1:29" s="182" customFormat="1" hidden="1" x14ac:dyDescent="0.25">
      <c r="A1050" s="155">
        <v>1</v>
      </c>
      <c r="B1050" s="129">
        <v>1501032</v>
      </c>
      <c r="C1050" s="127" t="s">
        <v>2022</v>
      </c>
      <c r="D1050" s="127" t="s">
        <v>1271</v>
      </c>
      <c r="E1050" s="147" t="s">
        <v>38</v>
      </c>
      <c r="F1050" s="129" t="s">
        <v>1275</v>
      </c>
      <c r="G1050" s="147" t="s">
        <v>1731</v>
      </c>
      <c r="H1050" s="191">
        <f t="shared" si="17"/>
        <v>0.24</v>
      </c>
      <c r="I1050" s="134"/>
      <c r="J1050" s="146">
        <v>60</v>
      </c>
      <c r="K1050" s="147"/>
      <c r="L1050" s="147"/>
      <c r="M1050" s="147">
        <v>2</v>
      </c>
      <c r="N1050" s="289"/>
      <c r="O1050" s="196"/>
      <c r="P1050" s="180"/>
      <c r="Q1050" s="174">
        <v>0.24</v>
      </c>
      <c r="R1050" s="205">
        <v>0</v>
      </c>
      <c r="S1050" s="165"/>
      <c r="T1050" s="129" t="s">
        <v>365</v>
      </c>
      <c r="U1050" s="147" t="s">
        <v>35</v>
      </c>
      <c r="V1050" s="129"/>
      <c r="W1050" s="163" t="s">
        <v>54</v>
      </c>
      <c r="X1050" s="215"/>
      <c r="Y1050" s="216">
        <v>0</v>
      </c>
      <c r="Z1050" s="216">
        <v>0</v>
      </c>
      <c r="AA1050" s="263"/>
      <c r="AB1050" s="155"/>
      <c r="AC1050" s="212"/>
    </row>
    <row r="1051" spans="1:29" s="182" customFormat="1" hidden="1" x14ac:dyDescent="0.25">
      <c r="A1051" s="155">
        <v>1</v>
      </c>
      <c r="B1051" s="129">
        <v>1501033</v>
      </c>
      <c r="C1051" s="127" t="s">
        <v>2022</v>
      </c>
      <c r="D1051" s="127" t="s">
        <v>1272</v>
      </c>
      <c r="E1051" s="147" t="s">
        <v>38</v>
      </c>
      <c r="F1051" s="129" t="s">
        <v>1267</v>
      </c>
      <c r="G1051" s="147" t="s">
        <v>1731</v>
      </c>
      <c r="H1051" s="191">
        <f t="shared" si="17"/>
        <v>3.26</v>
      </c>
      <c r="I1051" s="134"/>
      <c r="J1051" s="150"/>
      <c r="K1051" s="147"/>
      <c r="L1051" s="147"/>
      <c r="M1051" s="147">
        <v>2</v>
      </c>
      <c r="N1051" s="289"/>
      <c r="O1051" s="196"/>
      <c r="P1051" s="180"/>
      <c r="Q1051" s="174">
        <v>3.26</v>
      </c>
      <c r="R1051" s="205">
        <v>0</v>
      </c>
      <c r="S1051" s="165"/>
      <c r="T1051" s="129" t="s">
        <v>365</v>
      </c>
      <c r="U1051" s="147" t="s">
        <v>35</v>
      </c>
      <c r="V1051" s="129"/>
      <c r="W1051" s="163" t="s">
        <v>54</v>
      </c>
      <c r="X1051" s="215"/>
      <c r="Y1051" s="216">
        <v>0</v>
      </c>
      <c r="Z1051" s="216">
        <v>0</v>
      </c>
      <c r="AA1051" s="263"/>
      <c r="AB1051" s="155"/>
      <c r="AC1051" s="212"/>
    </row>
    <row r="1052" spans="1:29" s="182" customFormat="1" hidden="1" x14ac:dyDescent="0.25">
      <c r="A1052" s="155">
        <v>1</v>
      </c>
      <c r="B1052" s="129">
        <v>1501034</v>
      </c>
      <c r="C1052" s="127" t="s">
        <v>2022</v>
      </c>
      <c r="D1052" s="127" t="s">
        <v>1273</v>
      </c>
      <c r="E1052" s="147" t="s">
        <v>38</v>
      </c>
      <c r="F1052" s="129" t="s">
        <v>1231</v>
      </c>
      <c r="G1052" s="147" t="s">
        <v>1731</v>
      </c>
      <c r="H1052" s="191">
        <f t="shared" si="17"/>
        <v>5.8</v>
      </c>
      <c r="I1052" s="134" t="s">
        <v>2088</v>
      </c>
      <c r="J1052" s="146">
        <v>30</v>
      </c>
      <c r="K1052" s="147">
        <v>1</v>
      </c>
      <c r="L1052" s="147">
        <v>1</v>
      </c>
      <c r="M1052" s="147">
        <v>2</v>
      </c>
      <c r="N1052" s="289"/>
      <c r="O1052" s="196"/>
      <c r="P1052" s="180"/>
      <c r="Q1052" s="174">
        <v>5.8</v>
      </c>
      <c r="R1052" s="205">
        <v>0</v>
      </c>
      <c r="S1052" s="168"/>
      <c r="T1052" s="129" t="s">
        <v>263</v>
      </c>
      <c r="U1052" s="147" t="s">
        <v>37</v>
      </c>
      <c r="V1052" s="129"/>
      <c r="W1052" s="163" t="s">
        <v>54</v>
      </c>
      <c r="X1052" s="215"/>
      <c r="Y1052" s="216">
        <v>0</v>
      </c>
      <c r="Z1052" s="216">
        <v>0</v>
      </c>
      <c r="AA1052" s="263"/>
      <c r="AB1052" s="155"/>
      <c r="AC1052" s="212"/>
    </row>
    <row r="1053" spans="1:29" s="182" customFormat="1" hidden="1" x14ac:dyDescent="0.25">
      <c r="A1053" s="155">
        <v>1</v>
      </c>
      <c r="B1053" s="129">
        <v>1501035</v>
      </c>
      <c r="C1053" s="127" t="s">
        <v>2022</v>
      </c>
      <c r="D1053" s="127" t="s">
        <v>1274</v>
      </c>
      <c r="E1053" s="147" t="s">
        <v>38</v>
      </c>
      <c r="F1053" s="129" t="s">
        <v>1275</v>
      </c>
      <c r="G1053" s="147" t="s">
        <v>1731</v>
      </c>
      <c r="H1053" s="191">
        <f t="shared" si="17"/>
        <v>1.76</v>
      </c>
      <c r="I1053" s="134"/>
      <c r="J1053" s="146">
        <v>60</v>
      </c>
      <c r="K1053" s="147"/>
      <c r="L1053" s="147"/>
      <c r="M1053" s="147">
        <v>2</v>
      </c>
      <c r="N1053" s="289"/>
      <c r="O1053" s="196"/>
      <c r="P1053" s="180"/>
      <c r="Q1053" s="174">
        <v>1.76</v>
      </c>
      <c r="R1053" s="205">
        <v>0</v>
      </c>
      <c r="S1053" s="165"/>
      <c r="T1053" s="129" t="s">
        <v>263</v>
      </c>
      <c r="U1053" s="147" t="s">
        <v>37</v>
      </c>
      <c r="V1053" s="129"/>
      <c r="W1053" s="163" t="s">
        <v>54</v>
      </c>
      <c r="X1053" s="215"/>
      <c r="Y1053" s="216">
        <v>0</v>
      </c>
      <c r="Z1053" s="216">
        <v>0</v>
      </c>
      <c r="AA1053" s="263"/>
      <c r="AB1053" s="155"/>
      <c r="AC1053" s="212"/>
    </row>
    <row r="1054" spans="1:29" s="182" customFormat="1" hidden="1" x14ac:dyDescent="0.25">
      <c r="A1054" s="155">
        <v>1</v>
      </c>
      <c r="B1054" s="129">
        <v>1501036</v>
      </c>
      <c r="C1054" s="127" t="s">
        <v>2022</v>
      </c>
      <c r="D1054" s="127" t="s">
        <v>1279</v>
      </c>
      <c r="E1054" s="147" t="s">
        <v>38</v>
      </c>
      <c r="F1054" s="129" t="s">
        <v>1275</v>
      </c>
      <c r="G1054" s="147" t="s">
        <v>1731</v>
      </c>
      <c r="H1054" s="191">
        <f t="shared" si="17"/>
        <v>0.56000000000000005</v>
      </c>
      <c r="I1054" s="134"/>
      <c r="J1054" s="146">
        <v>60</v>
      </c>
      <c r="K1054" s="147"/>
      <c r="L1054" s="147"/>
      <c r="M1054" s="147">
        <v>2</v>
      </c>
      <c r="N1054" s="289"/>
      <c r="O1054" s="196"/>
      <c r="P1054" s="180"/>
      <c r="Q1054" s="174">
        <v>0.56000000000000005</v>
      </c>
      <c r="R1054" s="205">
        <v>0</v>
      </c>
      <c r="S1054" s="165"/>
      <c r="T1054" s="129" t="s">
        <v>263</v>
      </c>
      <c r="U1054" s="147" t="s">
        <v>37</v>
      </c>
      <c r="V1054" s="129"/>
      <c r="W1054" s="163" t="s">
        <v>54</v>
      </c>
      <c r="X1054" s="215"/>
      <c r="Y1054" s="216">
        <v>0</v>
      </c>
      <c r="Z1054" s="216">
        <v>0</v>
      </c>
      <c r="AA1054" s="263"/>
      <c r="AB1054" s="155"/>
      <c r="AC1054" s="212"/>
    </row>
    <row r="1055" spans="1:29" s="182" customFormat="1" hidden="1" x14ac:dyDescent="0.25">
      <c r="A1055" s="155">
        <v>1</v>
      </c>
      <c r="B1055" s="129">
        <v>1501037</v>
      </c>
      <c r="C1055" s="127" t="s">
        <v>2022</v>
      </c>
      <c r="D1055" s="127" t="s">
        <v>1280</v>
      </c>
      <c r="E1055" s="147" t="s">
        <v>38</v>
      </c>
      <c r="F1055" s="129" t="s">
        <v>1275</v>
      </c>
      <c r="G1055" s="147" t="s">
        <v>1731</v>
      </c>
      <c r="H1055" s="191">
        <f t="shared" si="17"/>
        <v>0.36</v>
      </c>
      <c r="I1055" s="134"/>
      <c r="J1055" s="146">
        <v>60</v>
      </c>
      <c r="K1055" s="147"/>
      <c r="L1055" s="147"/>
      <c r="M1055" s="147">
        <v>2</v>
      </c>
      <c r="N1055" s="289"/>
      <c r="O1055" s="196"/>
      <c r="P1055" s="180"/>
      <c r="Q1055" s="174">
        <v>0.36</v>
      </c>
      <c r="R1055" s="205">
        <v>0</v>
      </c>
      <c r="S1055" s="165"/>
      <c r="T1055" s="129" t="s">
        <v>263</v>
      </c>
      <c r="U1055" s="147" t="s">
        <v>37</v>
      </c>
      <c r="V1055" s="129"/>
      <c r="W1055" s="163" t="s">
        <v>54</v>
      </c>
      <c r="X1055" s="215"/>
      <c r="Y1055" s="216">
        <v>0</v>
      </c>
      <c r="Z1055" s="216">
        <v>0</v>
      </c>
      <c r="AA1055" s="263"/>
      <c r="AB1055" s="155"/>
      <c r="AC1055" s="212"/>
    </row>
    <row r="1056" spans="1:29" s="182" customFormat="1" hidden="1" x14ac:dyDescent="0.25">
      <c r="A1056" s="155">
        <v>1</v>
      </c>
      <c r="B1056" s="129">
        <v>1501038</v>
      </c>
      <c r="C1056" s="127" t="s">
        <v>2022</v>
      </c>
      <c r="D1056" s="127" t="s">
        <v>1281</v>
      </c>
      <c r="E1056" s="147" t="s">
        <v>38</v>
      </c>
      <c r="F1056" s="129" t="s">
        <v>1275</v>
      </c>
      <c r="G1056" s="147" t="s">
        <v>1731</v>
      </c>
      <c r="H1056" s="191">
        <f t="shared" si="17"/>
        <v>2.99</v>
      </c>
      <c r="I1056" s="134"/>
      <c r="J1056" s="146">
        <v>60</v>
      </c>
      <c r="K1056" s="147"/>
      <c r="L1056" s="147"/>
      <c r="M1056" s="147">
        <v>2</v>
      </c>
      <c r="N1056" s="289"/>
      <c r="O1056" s="196"/>
      <c r="P1056" s="180"/>
      <c r="Q1056" s="174">
        <v>2.99</v>
      </c>
      <c r="R1056" s="205">
        <v>0</v>
      </c>
      <c r="S1056" s="165"/>
      <c r="T1056" s="129" t="s">
        <v>263</v>
      </c>
      <c r="U1056" s="147" t="s">
        <v>37</v>
      </c>
      <c r="V1056" s="129"/>
      <c r="W1056" s="163" t="s">
        <v>54</v>
      </c>
      <c r="X1056" s="215"/>
      <c r="Y1056" s="216">
        <v>0</v>
      </c>
      <c r="Z1056" s="216">
        <v>0</v>
      </c>
      <c r="AA1056" s="263"/>
      <c r="AB1056" s="155"/>
      <c r="AC1056" s="212"/>
    </row>
    <row r="1057" spans="1:29" s="182" customFormat="1" hidden="1" x14ac:dyDescent="0.25">
      <c r="A1057" s="155">
        <v>1</v>
      </c>
      <c r="B1057" s="129">
        <v>1501039</v>
      </c>
      <c r="C1057" s="127" t="s">
        <v>2022</v>
      </c>
      <c r="D1057" s="127" t="s">
        <v>1282</v>
      </c>
      <c r="E1057" s="147" t="s">
        <v>38</v>
      </c>
      <c r="F1057" s="129" t="s">
        <v>1275</v>
      </c>
      <c r="G1057" s="147" t="s">
        <v>1731</v>
      </c>
      <c r="H1057" s="191">
        <f t="shared" si="17"/>
        <v>0.26</v>
      </c>
      <c r="I1057" s="134"/>
      <c r="J1057" s="146">
        <v>60</v>
      </c>
      <c r="K1057" s="147"/>
      <c r="L1057" s="147"/>
      <c r="M1057" s="147">
        <v>2</v>
      </c>
      <c r="N1057" s="289"/>
      <c r="O1057" s="196"/>
      <c r="P1057" s="180"/>
      <c r="Q1057" s="174">
        <v>0.26</v>
      </c>
      <c r="R1057" s="205">
        <v>0</v>
      </c>
      <c r="S1057" s="165"/>
      <c r="T1057" s="129" t="s">
        <v>263</v>
      </c>
      <c r="U1057" s="147" t="s">
        <v>37</v>
      </c>
      <c r="V1057" s="129"/>
      <c r="W1057" s="163" t="s">
        <v>54</v>
      </c>
      <c r="X1057" s="215"/>
      <c r="Y1057" s="216">
        <v>0</v>
      </c>
      <c r="Z1057" s="216">
        <v>0</v>
      </c>
      <c r="AA1057" s="263"/>
      <c r="AB1057" s="155"/>
      <c r="AC1057" s="212"/>
    </row>
    <row r="1058" spans="1:29" s="182" customFormat="1" hidden="1" x14ac:dyDescent="0.25">
      <c r="A1058" s="155">
        <v>1</v>
      </c>
      <c r="B1058" s="129">
        <v>1501040</v>
      </c>
      <c r="C1058" s="127" t="s">
        <v>2022</v>
      </c>
      <c r="D1058" s="127" t="s">
        <v>1283</v>
      </c>
      <c r="E1058" s="147" t="s">
        <v>38</v>
      </c>
      <c r="F1058" s="129" t="s">
        <v>1275</v>
      </c>
      <c r="G1058" s="147" t="s">
        <v>1731</v>
      </c>
      <c r="H1058" s="191">
        <f t="shared" si="17"/>
        <v>0</v>
      </c>
      <c r="I1058" s="134"/>
      <c r="J1058" s="146">
        <v>60</v>
      </c>
      <c r="K1058" s="147"/>
      <c r="L1058" s="147"/>
      <c r="M1058" s="147">
        <v>2</v>
      </c>
      <c r="N1058" s="289"/>
      <c r="O1058" s="196"/>
      <c r="P1058" s="180"/>
      <c r="Q1058" s="174"/>
      <c r="R1058" s="205">
        <v>0</v>
      </c>
      <c r="S1058" s="165"/>
      <c r="T1058" s="129" t="s">
        <v>263</v>
      </c>
      <c r="U1058" s="147" t="s">
        <v>37</v>
      </c>
      <c r="V1058" s="129"/>
      <c r="W1058" s="163" t="s">
        <v>54</v>
      </c>
      <c r="X1058" s="215"/>
      <c r="Y1058" s="216">
        <v>0</v>
      </c>
      <c r="Z1058" s="216">
        <v>0</v>
      </c>
      <c r="AA1058" s="263"/>
      <c r="AB1058" s="155"/>
      <c r="AC1058" s="212"/>
    </row>
    <row r="1059" spans="1:29" s="182" customFormat="1" ht="24" x14ac:dyDescent="0.25">
      <c r="A1059" s="155">
        <v>1</v>
      </c>
      <c r="B1059" s="129">
        <v>1501041</v>
      </c>
      <c r="C1059" s="127" t="s">
        <v>2022</v>
      </c>
      <c r="D1059" s="127" t="s">
        <v>1284</v>
      </c>
      <c r="E1059" s="147" t="s">
        <v>38</v>
      </c>
      <c r="F1059" s="129" t="s">
        <v>2020</v>
      </c>
      <c r="G1059" s="147" t="s">
        <v>1731</v>
      </c>
      <c r="H1059" s="191">
        <f t="shared" si="17"/>
        <v>0.57999999999999996</v>
      </c>
      <c r="I1059" s="222" t="s">
        <v>2228</v>
      </c>
      <c r="J1059" s="146">
        <v>30</v>
      </c>
      <c r="K1059" s="147">
        <v>2</v>
      </c>
      <c r="L1059" s="147">
        <v>1</v>
      </c>
      <c r="M1059" s="147">
        <v>3</v>
      </c>
      <c r="N1059" s="289">
        <v>300</v>
      </c>
      <c r="O1059" s="195">
        <v>0.65</v>
      </c>
      <c r="P1059" s="180">
        <v>45639</v>
      </c>
      <c r="Q1059" s="174">
        <v>0.57999999999999996</v>
      </c>
      <c r="R1059" s="205">
        <v>0</v>
      </c>
      <c r="S1059" s="165"/>
      <c r="T1059" s="129" t="s">
        <v>36</v>
      </c>
      <c r="U1059" s="147" t="s">
        <v>37</v>
      </c>
      <c r="V1059" s="129"/>
      <c r="W1059" s="147" t="s">
        <v>2213</v>
      </c>
      <c r="X1059" s="215" t="s">
        <v>1938</v>
      </c>
      <c r="Y1059" s="216">
        <v>214.75911250000007</v>
      </c>
      <c r="Z1059" s="216">
        <v>322.13866875000014</v>
      </c>
      <c r="AA1059" s="263"/>
      <c r="AB1059" s="305"/>
      <c r="AC1059" s="214"/>
    </row>
    <row r="1060" spans="1:29" s="182" customFormat="1" hidden="1" x14ac:dyDescent="0.25">
      <c r="A1060" s="155">
        <v>1</v>
      </c>
      <c r="B1060" s="129">
        <v>1501042</v>
      </c>
      <c r="C1060" s="127" t="s">
        <v>2022</v>
      </c>
      <c r="D1060" s="127" t="s">
        <v>1529</v>
      </c>
      <c r="E1060" s="147" t="s">
        <v>38</v>
      </c>
      <c r="F1060" s="129" t="s">
        <v>1275</v>
      </c>
      <c r="G1060" s="147" t="s">
        <v>1731</v>
      </c>
      <c r="H1060" s="191">
        <f t="shared" si="17"/>
        <v>1.77</v>
      </c>
      <c r="I1060" s="134"/>
      <c r="J1060" s="146">
        <v>60</v>
      </c>
      <c r="K1060" s="147"/>
      <c r="L1060" s="147"/>
      <c r="M1060" s="147">
        <v>2</v>
      </c>
      <c r="N1060" s="289">
        <v>180</v>
      </c>
      <c r="O1060" s="196"/>
      <c r="P1060" s="180"/>
      <c r="Q1060" s="174">
        <v>1.77</v>
      </c>
      <c r="R1060" s="205">
        <v>0</v>
      </c>
      <c r="S1060" s="165"/>
      <c r="T1060" s="129" t="s">
        <v>102</v>
      </c>
      <c r="U1060" s="147" t="s">
        <v>35</v>
      </c>
      <c r="V1060" s="129"/>
      <c r="W1060" s="163" t="s">
        <v>54</v>
      </c>
      <c r="X1060" s="215"/>
      <c r="Y1060" s="216">
        <v>0</v>
      </c>
      <c r="Z1060" s="216">
        <v>0</v>
      </c>
      <c r="AA1060" s="263"/>
      <c r="AB1060" s="155"/>
      <c r="AC1060" s="212"/>
    </row>
    <row r="1061" spans="1:29" s="182" customFormat="1" ht="24" x14ac:dyDescent="0.25">
      <c r="A1061" s="155">
        <v>1</v>
      </c>
      <c r="B1061" s="129">
        <v>1501043</v>
      </c>
      <c r="C1061" s="127" t="s">
        <v>2022</v>
      </c>
      <c r="D1061" s="127" t="s">
        <v>1528</v>
      </c>
      <c r="E1061" s="147" t="s">
        <v>38</v>
      </c>
      <c r="F1061" s="129" t="s">
        <v>2020</v>
      </c>
      <c r="G1061" s="147" t="s">
        <v>1731</v>
      </c>
      <c r="H1061" s="191">
        <f t="shared" si="17"/>
        <v>0.46</v>
      </c>
      <c r="I1061" s="222" t="s">
        <v>2228</v>
      </c>
      <c r="J1061" s="146">
        <v>30</v>
      </c>
      <c r="K1061" s="147">
        <v>2</v>
      </c>
      <c r="L1061" s="147">
        <v>1</v>
      </c>
      <c r="M1061" s="147">
        <v>3</v>
      </c>
      <c r="N1061" s="289">
        <v>10000</v>
      </c>
      <c r="O1061" s="174">
        <v>0.32</v>
      </c>
      <c r="P1061" s="180">
        <v>45639</v>
      </c>
      <c r="Q1061" s="174">
        <v>0.46</v>
      </c>
      <c r="R1061" s="205">
        <v>0</v>
      </c>
      <c r="S1061" s="165"/>
      <c r="T1061" s="129" t="s">
        <v>2211</v>
      </c>
      <c r="U1061" s="147" t="s">
        <v>35</v>
      </c>
      <c r="V1061" s="129"/>
      <c r="W1061" s="147" t="s">
        <v>2213</v>
      </c>
      <c r="X1061" s="215" t="s">
        <v>1938</v>
      </c>
      <c r="Y1061" s="216">
        <v>0</v>
      </c>
      <c r="Z1061" s="216">
        <v>0</v>
      </c>
      <c r="AA1061" s="263"/>
      <c r="AB1061" s="305"/>
      <c r="AC1061" s="214"/>
    </row>
    <row r="1062" spans="1:29" s="182" customFormat="1" hidden="1" x14ac:dyDescent="0.25">
      <c r="A1062" s="155">
        <v>1</v>
      </c>
      <c r="B1062" s="129">
        <v>1501044</v>
      </c>
      <c r="C1062" s="127" t="s">
        <v>2022</v>
      </c>
      <c r="D1062" s="127" t="s">
        <v>1554</v>
      </c>
      <c r="E1062" s="147" t="s">
        <v>38</v>
      </c>
      <c r="F1062" s="129" t="s">
        <v>102</v>
      </c>
      <c r="G1062" s="147" t="s">
        <v>1731</v>
      </c>
      <c r="H1062" s="191">
        <f t="shared" si="17"/>
        <v>0</v>
      </c>
      <c r="I1062" s="181" t="s">
        <v>2218</v>
      </c>
      <c r="J1062" s="150"/>
      <c r="K1062" s="147">
        <v>1</v>
      </c>
      <c r="L1062" s="147">
        <v>1</v>
      </c>
      <c r="M1062" s="147">
        <v>2</v>
      </c>
      <c r="N1062" s="289"/>
      <c r="O1062" s="196"/>
      <c r="P1062" s="180"/>
      <c r="Q1062" s="174"/>
      <c r="R1062" s="205">
        <v>0</v>
      </c>
      <c r="S1062" s="165"/>
      <c r="T1062" s="129" t="s">
        <v>102</v>
      </c>
      <c r="U1062" s="147" t="s">
        <v>35</v>
      </c>
      <c r="V1062" s="129"/>
      <c r="W1062" s="177" t="s">
        <v>2531</v>
      </c>
      <c r="X1062" s="215"/>
      <c r="Y1062" s="216">
        <v>0</v>
      </c>
      <c r="Z1062" s="216">
        <v>0</v>
      </c>
      <c r="AA1062" s="263"/>
      <c r="AB1062" s="155"/>
      <c r="AC1062" s="212"/>
    </row>
    <row r="1063" spans="1:29" s="182" customFormat="1" hidden="1" x14ac:dyDescent="0.25">
      <c r="A1063" s="155">
        <v>1</v>
      </c>
      <c r="B1063" s="129">
        <v>1501045</v>
      </c>
      <c r="C1063" s="127" t="s">
        <v>2022</v>
      </c>
      <c r="D1063" s="127" t="s">
        <v>1579</v>
      </c>
      <c r="E1063" s="147" t="s">
        <v>38</v>
      </c>
      <c r="F1063" s="129" t="s">
        <v>102</v>
      </c>
      <c r="G1063" s="147" t="s">
        <v>1731</v>
      </c>
      <c r="H1063" s="191">
        <f t="shared" si="17"/>
        <v>0.41</v>
      </c>
      <c r="I1063" s="181" t="s">
        <v>2218</v>
      </c>
      <c r="J1063" s="150"/>
      <c r="K1063" s="147"/>
      <c r="L1063" s="147"/>
      <c r="M1063" s="147">
        <v>2</v>
      </c>
      <c r="N1063" s="289"/>
      <c r="O1063" s="196"/>
      <c r="P1063" s="180"/>
      <c r="Q1063" s="174">
        <v>0.41</v>
      </c>
      <c r="R1063" s="205">
        <v>0</v>
      </c>
      <c r="S1063" s="165"/>
      <c r="T1063" s="129" t="s">
        <v>102</v>
      </c>
      <c r="U1063" s="147" t="s">
        <v>35</v>
      </c>
      <c r="V1063" s="129"/>
      <c r="W1063" s="177" t="s">
        <v>2531</v>
      </c>
      <c r="X1063" s="215"/>
      <c r="Y1063" s="216">
        <v>0</v>
      </c>
      <c r="Z1063" s="216">
        <v>0</v>
      </c>
      <c r="AA1063" s="263"/>
      <c r="AB1063" s="155"/>
      <c r="AC1063" s="212"/>
    </row>
    <row r="1064" spans="1:29" s="182" customFormat="1" hidden="1" x14ac:dyDescent="0.25">
      <c r="A1064" s="155"/>
      <c r="B1064" s="129">
        <v>1501046</v>
      </c>
      <c r="C1064" s="127" t="s">
        <v>2022</v>
      </c>
      <c r="D1064" s="127" t="s">
        <v>1780</v>
      </c>
      <c r="E1064" s="147" t="s">
        <v>38</v>
      </c>
      <c r="F1064" s="129" t="s">
        <v>1738</v>
      </c>
      <c r="G1064" s="147" t="s">
        <v>1731</v>
      </c>
      <c r="H1064" s="191">
        <f t="shared" si="17"/>
        <v>0.2782</v>
      </c>
      <c r="I1064" s="181" t="s">
        <v>2218</v>
      </c>
      <c r="J1064" s="150"/>
      <c r="K1064" s="147">
        <v>2</v>
      </c>
      <c r="L1064" s="147">
        <v>1</v>
      </c>
      <c r="M1064" s="147">
        <v>3</v>
      </c>
      <c r="N1064" s="289"/>
      <c r="O1064" s="195"/>
      <c r="P1064" s="180">
        <v>45215</v>
      </c>
      <c r="Q1064" s="174">
        <v>0.22819999999999999</v>
      </c>
      <c r="R1064" s="205">
        <v>0.05</v>
      </c>
      <c r="S1064" s="165"/>
      <c r="T1064" s="129" t="s">
        <v>1738</v>
      </c>
      <c r="U1064" s="147" t="s">
        <v>37</v>
      </c>
      <c r="V1064" s="129"/>
      <c r="W1064" s="177" t="s">
        <v>2531</v>
      </c>
      <c r="X1064" s="215" t="s">
        <v>1009</v>
      </c>
      <c r="Y1064" s="216">
        <v>0</v>
      </c>
      <c r="Z1064" s="216">
        <v>0</v>
      </c>
      <c r="AA1064" s="263"/>
      <c r="AB1064" s="155"/>
      <c r="AC1064" s="212"/>
    </row>
    <row r="1065" spans="1:29" hidden="1" x14ac:dyDescent="0.25">
      <c r="A1065" s="155"/>
      <c r="B1065" s="129">
        <v>1501047</v>
      </c>
      <c r="C1065" s="127" t="s">
        <v>2022</v>
      </c>
      <c r="D1065" s="127" t="s">
        <v>1778</v>
      </c>
      <c r="E1065" s="147" t="s">
        <v>38</v>
      </c>
      <c r="F1065" s="129" t="s">
        <v>1738</v>
      </c>
      <c r="G1065" s="147" t="s">
        <v>1731</v>
      </c>
      <c r="H1065" s="191">
        <f t="shared" si="17"/>
        <v>0.11270000000000001</v>
      </c>
      <c r="I1065" s="181" t="s">
        <v>2218</v>
      </c>
      <c r="J1065" s="150"/>
      <c r="K1065" s="147">
        <v>2</v>
      </c>
      <c r="L1065" s="147">
        <v>1</v>
      </c>
      <c r="M1065" s="147">
        <v>3</v>
      </c>
      <c r="N1065" s="289"/>
      <c r="O1065" s="195"/>
      <c r="P1065" s="180">
        <v>45147</v>
      </c>
      <c r="Q1065" s="174">
        <v>6.2700000000000006E-2</v>
      </c>
      <c r="R1065" s="205">
        <v>0.05</v>
      </c>
      <c r="S1065" s="165"/>
      <c r="T1065" s="129" t="s">
        <v>1738</v>
      </c>
      <c r="U1065" s="147" t="s">
        <v>37</v>
      </c>
      <c r="V1065" s="129"/>
      <c r="W1065" s="177" t="s">
        <v>2531</v>
      </c>
      <c r="X1065" s="215" t="s">
        <v>1009</v>
      </c>
      <c r="Y1065" s="216">
        <v>0</v>
      </c>
      <c r="Z1065" s="216">
        <v>0</v>
      </c>
      <c r="AA1065" s="263"/>
      <c r="AB1065" s="155"/>
      <c r="AC1065" s="212"/>
    </row>
    <row r="1066" spans="1:29" hidden="1" x14ac:dyDescent="0.25">
      <c r="A1066" s="155"/>
      <c r="B1066" s="129">
        <v>1501048</v>
      </c>
      <c r="C1066" s="127" t="s">
        <v>2022</v>
      </c>
      <c r="D1066" s="127" t="s">
        <v>1781</v>
      </c>
      <c r="E1066" s="147" t="s">
        <v>38</v>
      </c>
      <c r="F1066" s="129" t="s">
        <v>1738</v>
      </c>
      <c r="G1066" s="147" t="s">
        <v>1731</v>
      </c>
      <c r="H1066" s="191">
        <f t="shared" si="17"/>
        <v>0.67190000000000005</v>
      </c>
      <c r="I1066" s="181" t="s">
        <v>2218</v>
      </c>
      <c r="J1066" s="150"/>
      <c r="K1066" s="147">
        <v>2</v>
      </c>
      <c r="L1066" s="147">
        <v>1</v>
      </c>
      <c r="M1066" s="147">
        <v>3</v>
      </c>
      <c r="N1066" s="289"/>
      <c r="O1066" s="195"/>
      <c r="P1066" s="180">
        <v>45215</v>
      </c>
      <c r="Q1066" s="174">
        <v>0.62190000000000001</v>
      </c>
      <c r="R1066" s="205">
        <v>0.05</v>
      </c>
      <c r="S1066" s="165"/>
      <c r="T1066" s="129" t="s">
        <v>1738</v>
      </c>
      <c r="U1066" s="147" t="s">
        <v>37</v>
      </c>
      <c r="V1066" s="129"/>
      <c r="W1066" s="177" t="s">
        <v>2531</v>
      </c>
      <c r="X1066" s="215" t="s">
        <v>1009</v>
      </c>
      <c r="Y1066" s="216">
        <v>0</v>
      </c>
      <c r="Z1066" s="216">
        <v>0</v>
      </c>
      <c r="AA1066" s="263"/>
      <c r="AB1066" s="155"/>
      <c r="AC1066" s="212"/>
    </row>
    <row r="1067" spans="1:29" hidden="1" x14ac:dyDescent="0.25">
      <c r="A1067" s="155"/>
      <c r="B1067" s="129">
        <v>1501049</v>
      </c>
      <c r="C1067" s="127" t="s">
        <v>2022</v>
      </c>
      <c r="D1067" s="127" t="s">
        <v>1779</v>
      </c>
      <c r="E1067" s="147" t="s">
        <v>38</v>
      </c>
      <c r="F1067" s="129" t="s">
        <v>1738</v>
      </c>
      <c r="G1067" s="147" t="s">
        <v>1731</v>
      </c>
      <c r="H1067" s="191">
        <f t="shared" si="17"/>
        <v>1.5206</v>
      </c>
      <c r="I1067" s="181" t="s">
        <v>2218</v>
      </c>
      <c r="J1067" s="150"/>
      <c r="K1067" s="147">
        <v>2</v>
      </c>
      <c r="L1067" s="147">
        <v>1</v>
      </c>
      <c r="M1067" s="147">
        <v>3</v>
      </c>
      <c r="N1067" s="289"/>
      <c r="O1067" s="195"/>
      <c r="P1067" s="180">
        <v>45147</v>
      </c>
      <c r="Q1067" s="174">
        <v>1.4705999999999999</v>
      </c>
      <c r="R1067" s="205">
        <v>0.05</v>
      </c>
      <c r="S1067" s="165"/>
      <c r="T1067" s="129" t="s">
        <v>1738</v>
      </c>
      <c r="U1067" s="147" t="s">
        <v>37</v>
      </c>
      <c r="V1067" s="129"/>
      <c r="W1067" s="177" t="s">
        <v>2531</v>
      </c>
      <c r="X1067" s="215" t="s">
        <v>1009</v>
      </c>
      <c r="Y1067" s="216">
        <v>0</v>
      </c>
      <c r="Z1067" s="216">
        <v>0</v>
      </c>
      <c r="AA1067" s="263"/>
      <c r="AB1067" s="155"/>
      <c r="AC1067" s="212"/>
    </row>
    <row r="1068" spans="1:29" hidden="1" x14ac:dyDescent="0.25">
      <c r="A1068" s="155"/>
      <c r="B1068" s="129">
        <v>1501050</v>
      </c>
      <c r="C1068" s="127" t="s">
        <v>2022</v>
      </c>
      <c r="D1068" s="129" t="s">
        <v>1860</v>
      </c>
      <c r="E1068" s="147" t="s">
        <v>38</v>
      </c>
      <c r="F1068" s="129" t="s">
        <v>1649</v>
      </c>
      <c r="G1068" s="147" t="s">
        <v>1731</v>
      </c>
      <c r="H1068" s="191">
        <f t="shared" si="17"/>
        <v>3.5611999999999999</v>
      </c>
      <c r="I1068" s="134" t="s">
        <v>2084</v>
      </c>
      <c r="J1068" s="146">
        <v>30</v>
      </c>
      <c r="K1068" s="147">
        <v>2</v>
      </c>
      <c r="L1068" s="147">
        <v>1</v>
      </c>
      <c r="M1068" s="147">
        <v>3</v>
      </c>
      <c r="N1068" s="289">
        <v>200</v>
      </c>
      <c r="O1068" s="198"/>
      <c r="P1068" s="180">
        <v>45398</v>
      </c>
      <c r="Q1068" s="176">
        <v>3.07</v>
      </c>
      <c r="R1068" s="205">
        <v>0.49119999999999997</v>
      </c>
      <c r="S1068" s="165"/>
      <c r="T1068" s="129" t="s">
        <v>1908</v>
      </c>
      <c r="U1068" s="147" t="s">
        <v>37</v>
      </c>
      <c r="V1068" s="129"/>
      <c r="W1068" s="147" t="s">
        <v>2214</v>
      </c>
      <c r="X1068" s="215" t="s">
        <v>1938</v>
      </c>
      <c r="Y1068" s="216">
        <v>0</v>
      </c>
      <c r="Z1068" s="216">
        <v>0</v>
      </c>
      <c r="AA1068" s="263"/>
      <c r="AB1068" s="155"/>
      <c r="AC1068" s="212"/>
    </row>
    <row r="1069" spans="1:29" s="182" customFormat="1" hidden="1" x14ac:dyDescent="0.25">
      <c r="A1069" s="155"/>
      <c r="B1069" s="129">
        <v>1501051</v>
      </c>
      <c r="C1069" s="127" t="s">
        <v>2022</v>
      </c>
      <c r="D1069" s="129" t="s">
        <v>1859</v>
      </c>
      <c r="E1069" s="147" t="s">
        <v>38</v>
      </c>
      <c r="F1069" s="129" t="s">
        <v>1649</v>
      </c>
      <c r="G1069" s="147" t="s">
        <v>1731</v>
      </c>
      <c r="H1069" s="191">
        <f t="shared" si="17"/>
        <v>0.64960000000000007</v>
      </c>
      <c r="I1069" s="134" t="s">
        <v>2084</v>
      </c>
      <c r="J1069" s="146">
        <v>30</v>
      </c>
      <c r="K1069" s="147">
        <v>2</v>
      </c>
      <c r="L1069" s="147">
        <v>1</v>
      </c>
      <c r="M1069" s="147">
        <v>3</v>
      </c>
      <c r="N1069" s="289">
        <v>200</v>
      </c>
      <c r="O1069" s="198"/>
      <c r="P1069" s="180">
        <v>45398</v>
      </c>
      <c r="Q1069" s="176">
        <v>0.56000000000000005</v>
      </c>
      <c r="R1069" s="205">
        <v>8.9600000000000013E-2</v>
      </c>
      <c r="S1069" s="165"/>
      <c r="T1069" s="129" t="s">
        <v>1908</v>
      </c>
      <c r="U1069" s="147" t="s">
        <v>37</v>
      </c>
      <c r="V1069" s="129"/>
      <c r="W1069" s="147" t="s">
        <v>2214</v>
      </c>
      <c r="X1069" s="215" t="s">
        <v>1938</v>
      </c>
      <c r="Y1069" s="216">
        <v>0</v>
      </c>
      <c r="Z1069" s="216">
        <v>0</v>
      </c>
      <c r="AA1069" s="263"/>
      <c r="AB1069" s="155"/>
      <c r="AC1069" s="212"/>
    </row>
    <row r="1070" spans="1:29" s="182" customFormat="1" ht="24" x14ac:dyDescent="0.25">
      <c r="A1070" s="155"/>
      <c r="B1070" s="129">
        <v>1501052</v>
      </c>
      <c r="C1070" s="127" t="s">
        <v>2022</v>
      </c>
      <c r="D1070" s="129" t="s">
        <v>1889</v>
      </c>
      <c r="E1070" s="147" t="s">
        <v>38</v>
      </c>
      <c r="F1070" s="129" t="s">
        <v>2020</v>
      </c>
      <c r="G1070" s="147" t="s">
        <v>1731</v>
      </c>
      <c r="H1070" s="191">
        <f t="shared" si="17"/>
        <v>1.1011</v>
      </c>
      <c r="I1070" s="222" t="s">
        <v>2228</v>
      </c>
      <c r="J1070" s="146">
        <v>30</v>
      </c>
      <c r="K1070" s="147">
        <v>2</v>
      </c>
      <c r="L1070" s="147">
        <v>1</v>
      </c>
      <c r="M1070" s="147">
        <v>3</v>
      </c>
      <c r="N1070" s="289">
        <v>200</v>
      </c>
      <c r="O1070" s="198"/>
      <c r="P1070" s="180">
        <v>45639</v>
      </c>
      <c r="Q1070" s="176">
        <v>1.1011</v>
      </c>
      <c r="R1070" s="205">
        <v>0</v>
      </c>
      <c r="S1070" s="165"/>
      <c r="T1070" s="129" t="s">
        <v>1848</v>
      </c>
      <c r="U1070" s="147" t="s">
        <v>35</v>
      </c>
      <c r="V1070" s="129"/>
      <c r="W1070" s="147" t="s">
        <v>2213</v>
      </c>
      <c r="X1070" s="215" t="s">
        <v>1938</v>
      </c>
      <c r="Y1070" s="216">
        <v>246.33750000000009</v>
      </c>
      <c r="Z1070" s="216">
        <v>369.50625000000014</v>
      </c>
      <c r="AA1070" s="263"/>
      <c r="AB1070" s="305"/>
      <c r="AC1070" s="214"/>
    </row>
    <row r="1071" spans="1:29" s="182" customFormat="1" ht="24" x14ac:dyDescent="0.25">
      <c r="A1071" s="155"/>
      <c r="B1071" s="129">
        <v>1501053</v>
      </c>
      <c r="C1071" s="127" t="s">
        <v>2022</v>
      </c>
      <c r="D1071" s="129" t="s">
        <v>1890</v>
      </c>
      <c r="E1071" s="147" t="s">
        <v>38</v>
      </c>
      <c r="F1071" s="129" t="s">
        <v>2020</v>
      </c>
      <c r="G1071" s="147" t="s">
        <v>1731</v>
      </c>
      <c r="H1071" s="191">
        <f t="shared" si="17"/>
        <v>1.1331</v>
      </c>
      <c r="I1071" s="222" t="s">
        <v>2228</v>
      </c>
      <c r="J1071" s="146">
        <v>30</v>
      </c>
      <c r="K1071" s="147">
        <v>2</v>
      </c>
      <c r="L1071" s="147">
        <v>1</v>
      </c>
      <c r="M1071" s="147">
        <v>3</v>
      </c>
      <c r="N1071" s="289">
        <v>200</v>
      </c>
      <c r="O1071" s="198"/>
      <c r="P1071" s="180">
        <v>45639</v>
      </c>
      <c r="Q1071" s="176">
        <v>1.1331</v>
      </c>
      <c r="R1071" s="205">
        <v>0</v>
      </c>
      <c r="S1071" s="165"/>
      <c r="T1071" s="129" t="s">
        <v>1848</v>
      </c>
      <c r="U1071" s="147" t="s">
        <v>35</v>
      </c>
      <c r="V1071" s="129"/>
      <c r="W1071" s="147" t="s">
        <v>2213</v>
      </c>
      <c r="X1071" s="215" t="s">
        <v>1938</v>
      </c>
      <c r="Y1071" s="216">
        <v>246.33750000000009</v>
      </c>
      <c r="Z1071" s="216">
        <v>369.50625000000014</v>
      </c>
      <c r="AA1071" s="263"/>
      <c r="AB1071" s="305"/>
      <c r="AC1071" s="214"/>
    </row>
    <row r="1072" spans="1:29" s="182" customFormat="1" ht="24" x14ac:dyDescent="0.25">
      <c r="A1072" s="155"/>
      <c r="B1072" s="129">
        <v>1501054</v>
      </c>
      <c r="C1072" s="127" t="s">
        <v>2022</v>
      </c>
      <c r="D1072" s="129" t="s">
        <v>1895</v>
      </c>
      <c r="E1072" s="147" t="s">
        <v>38</v>
      </c>
      <c r="F1072" s="129" t="s">
        <v>2020</v>
      </c>
      <c r="G1072" s="147" t="s">
        <v>1731</v>
      </c>
      <c r="H1072" s="191">
        <f t="shared" si="17"/>
        <v>1.2427999999999999</v>
      </c>
      <c r="I1072" s="222" t="s">
        <v>2228</v>
      </c>
      <c r="J1072" s="146">
        <v>30</v>
      </c>
      <c r="K1072" s="147">
        <v>2</v>
      </c>
      <c r="L1072" s="147">
        <v>1</v>
      </c>
      <c r="M1072" s="147">
        <v>3</v>
      </c>
      <c r="N1072" s="289">
        <v>200</v>
      </c>
      <c r="O1072" s="195">
        <v>2.19</v>
      </c>
      <c r="P1072" s="180">
        <v>45639</v>
      </c>
      <c r="Q1072" s="176">
        <v>1.2427999999999999</v>
      </c>
      <c r="R1072" s="205">
        <v>0</v>
      </c>
      <c r="S1072" s="165"/>
      <c r="T1072" s="129" t="s">
        <v>1908</v>
      </c>
      <c r="U1072" s="147" t="s">
        <v>37</v>
      </c>
      <c r="V1072" s="129"/>
      <c r="W1072" s="147" t="s">
        <v>2213</v>
      </c>
      <c r="X1072" s="215" t="s">
        <v>1938</v>
      </c>
      <c r="Y1072" s="216">
        <v>296.6801999999999</v>
      </c>
      <c r="Z1072" s="216">
        <v>445.02029999999985</v>
      </c>
      <c r="AA1072" s="263"/>
      <c r="AB1072" s="305"/>
      <c r="AC1072" s="214"/>
    </row>
    <row r="1073" spans="1:29" s="182" customFormat="1" ht="24" x14ac:dyDescent="0.25">
      <c r="A1073" s="155"/>
      <c r="B1073" s="129">
        <v>1501055</v>
      </c>
      <c r="C1073" s="127" t="s">
        <v>2022</v>
      </c>
      <c r="D1073" s="129" t="s">
        <v>1896</v>
      </c>
      <c r="E1073" s="147" t="s">
        <v>38</v>
      </c>
      <c r="F1073" s="129" t="s">
        <v>2020</v>
      </c>
      <c r="G1073" s="147" t="s">
        <v>1731</v>
      </c>
      <c r="H1073" s="191">
        <f t="shared" si="17"/>
        <v>0.2399</v>
      </c>
      <c r="I1073" s="222" t="s">
        <v>2228</v>
      </c>
      <c r="J1073" s="146">
        <v>30</v>
      </c>
      <c r="K1073" s="147">
        <v>2</v>
      </c>
      <c r="L1073" s="147">
        <v>1</v>
      </c>
      <c r="M1073" s="147">
        <v>3</v>
      </c>
      <c r="N1073" s="289">
        <v>200</v>
      </c>
      <c r="O1073" s="195">
        <v>0.43</v>
      </c>
      <c r="P1073" s="180">
        <v>45639</v>
      </c>
      <c r="Q1073" s="176">
        <v>0.2399</v>
      </c>
      <c r="R1073" s="205">
        <v>0</v>
      </c>
      <c r="S1073" s="165"/>
      <c r="T1073" s="129" t="s">
        <v>1908</v>
      </c>
      <c r="U1073" s="147" t="s">
        <v>37</v>
      </c>
      <c r="V1073" s="129"/>
      <c r="W1073" s="147" t="s">
        <v>2213</v>
      </c>
      <c r="X1073" s="215" t="s">
        <v>1938</v>
      </c>
      <c r="Y1073" s="216">
        <v>296.6801999999999</v>
      </c>
      <c r="Z1073" s="216">
        <v>445.02029999999985</v>
      </c>
      <c r="AA1073" s="263"/>
      <c r="AB1073" s="305"/>
      <c r="AC1073" s="214"/>
    </row>
    <row r="1074" spans="1:29" s="182" customFormat="1" hidden="1" x14ac:dyDescent="0.25">
      <c r="A1074" s="155">
        <v>1</v>
      </c>
      <c r="B1074" s="129">
        <v>1501101</v>
      </c>
      <c r="C1074" s="127" t="s">
        <v>2022</v>
      </c>
      <c r="D1074" s="127" t="s">
        <v>1285</v>
      </c>
      <c r="E1074" s="147" t="s">
        <v>38</v>
      </c>
      <c r="F1074" s="129" t="s">
        <v>74</v>
      </c>
      <c r="G1074" s="147" t="s">
        <v>1731</v>
      </c>
      <c r="H1074" s="191">
        <f t="shared" si="17"/>
        <v>0</v>
      </c>
      <c r="I1074" s="225"/>
      <c r="J1074" s="149"/>
      <c r="K1074" s="147">
        <v>12</v>
      </c>
      <c r="L1074" s="147">
        <v>1</v>
      </c>
      <c r="M1074" s="147">
        <v>13</v>
      </c>
      <c r="N1074" s="289"/>
      <c r="O1074" s="196"/>
      <c r="P1074" s="180"/>
      <c r="Q1074" s="174"/>
      <c r="R1074" s="206">
        <v>0</v>
      </c>
      <c r="S1074" s="168"/>
      <c r="T1074" s="129"/>
      <c r="U1074" s="147" t="s">
        <v>37</v>
      </c>
      <c r="V1074" s="129"/>
      <c r="W1074" s="163" t="s">
        <v>54</v>
      </c>
      <c r="X1074" s="215"/>
      <c r="Y1074" s="216">
        <v>0</v>
      </c>
      <c r="Z1074" s="216">
        <v>0</v>
      </c>
      <c r="AA1074" s="263"/>
      <c r="AB1074" s="155"/>
      <c r="AC1074" s="212"/>
    </row>
    <row r="1075" spans="1:29" hidden="1" x14ac:dyDescent="0.25">
      <c r="A1075" s="155">
        <v>1</v>
      </c>
      <c r="B1075" s="129">
        <v>1501102</v>
      </c>
      <c r="C1075" s="127" t="s">
        <v>2022</v>
      </c>
      <c r="D1075" s="127" t="s">
        <v>1287</v>
      </c>
      <c r="E1075" s="147" t="s">
        <v>38</v>
      </c>
      <c r="F1075" s="129" t="s">
        <v>74</v>
      </c>
      <c r="G1075" s="147" t="s">
        <v>1731</v>
      </c>
      <c r="H1075" s="191">
        <f t="shared" si="17"/>
        <v>0</v>
      </c>
      <c r="I1075" s="225"/>
      <c r="J1075" s="149"/>
      <c r="K1075" s="147">
        <v>12</v>
      </c>
      <c r="L1075" s="147">
        <v>1</v>
      </c>
      <c r="M1075" s="147">
        <v>13</v>
      </c>
      <c r="N1075" s="289"/>
      <c r="O1075" s="196"/>
      <c r="P1075" s="180"/>
      <c r="Q1075" s="174"/>
      <c r="R1075" s="206">
        <v>0</v>
      </c>
      <c r="S1075" s="168"/>
      <c r="T1075" s="129"/>
      <c r="U1075" s="147" t="s">
        <v>37</v>
      </c>
      <c r="V1075" s="129"/>
      <c r="W1075" s="163" t="s">
        <v>54</v>
      </c>
      <c r="X1075" s="215"/>
      <c r="Y1075" s="216">
        <v>0</v>
      </c>
      <c r="Z1075" s="216">
        <v>0</v>
      </c>
      <c r="AA1075" s="263"/>
      <c r="AB1075" s="155"/>
      <c r="AC1075" s="212"/>
    </row>
    <row r="1076" spans="1:29" hidden="1" x14ac:dyDescent="0.25">
      <c r="A1076" s="155">
        <v>1</v>
      </c>
      <c r="B1076" s="129">
        <v>1501103</v>
      </c>
      <c r="C1076" s="127" t="s">
        <v>2022</v>
      </c>
      <c r="D1076" s="127" t="s">
        <v>1289</v>
      </c>
      <c r="E1076" s="147" t="s">
        <v>38</v>
      </c>
      <c r="F1076" s="129" t="s">
        <v>74</v>
      </c>
      <c r="G1076" s="147" t="s">
        <v>1731</v>
      </c>
      <c r="H1076" s="191">
        <f t="shared" si="17"/>
        <v>0</v>
      </c>
      <c r="I1076" s="225"/>
      <c r="J1076" s="149"/>
      <c r="K1076" s="147">
        <v>12</v>
      </c>
      <c r="L1076" s="147">
        <v>1</v>
      </c>
      <c r="M1076" s="147">
        <v>13</v>
      </c>
      <c r="N1076" s="289"/>
      <c r="O1076" s="196"/>
      <c r="P1076" s="180"/>
      <c r="Q1076" s="174"/>
      <c r="R1076" s="206">
        <v>0</v>
      </c>
      <c r="S1076" s="168"/>
      <c r="T1076" s="129"/>
      <c r="U1076" s="147" t="s">
        <v>37</v>
      </c>
      <c r="V1076" s="129"/>
      <c r="W1076" s="163" t="s">
        <v>54</v>
      </c>
      <c r="X1076" s="215"/>
      <c r="Y1076" s="216">
        <v>0</v>
      </c>
      <c r="Z1076" s="216">
        <v>0</v>
      </c>
      <c r="AA1076" s="263"/>
      <c r="AB1076" s="155"/>
      <c r="AC1076" s="212"/>
    </row>
    <row r="1077" spans="1:29" hidden="1" x14ac:dyDescent="0.25">
      <c r="A1077" s="155">
        <v>1</v>
      </c>
      <c r="B1077" s="129">
        <v>1501104</v>
      </c>
      <c r="C1077" s="127" t="s">
        <v>2022</v>
      </c>
      <c r="D1077" s="127" t="s">
        <v>1291</v>
      </c>
      <c r="E1077" s="147" t="s">
        <v>38</v>
      </c>
      <c r="F1077" s="129" t="s">
        <v>74</v>
      </c>
      <c r="G1077" s="147" t="s">
        <v>1731</v>
      </c>
      <c r="H1077" s="191">
        <f t="shared" si="17"/>
        <v>0</v>
      </c>
      <c r="I1077" s="225"/>
      <c r="J1077" s="149"/>
      <c r="K1077" s="147">
        <v>12</v>
      </c>
      <c r="L1077" s="147">
        <v>1</v>
      </c>
      <c r="M1077" s="147">
        <v>13</v>
      </c>
      <c r="N1077" s="289"/>
      <c r="O1077" s="196"/>
      <c r="P1077" s="180"/>
      <c r="Q1077" s="174"/>
      <c r="R1077" s="206">
        <v>0</v>
      </c>
      <c r="S1077" s="168"/>
      <c r="T1077" s="129"/>
      <c r="U1077" s="147" t="s">
        <v>37</v>
      </c>
      <c r="V1077" s="129"/>
      <c r="W1077" s="163" t="s">
        <v>54</v>
      </c>
      <c r="X1077" s="215"/>
      <c r="Y1077" s="216">
        <v>0</v>
      </c>
      <c r="Z1077" s="216">
        <v>0</v>
      </c>
      <c r="AA1077" s="263"/>
      <c r="AB1077" s="155"/>
      <c r="AC1077" s="212"/>
    </row>
    <row r="1078" spans="1:29" hidden="1" x14ac:dyDescent="0.25">
      <c r="A1078" s="155">
        <v>1</v>
      </c>
      <c r="B1078" s="129">
        <v>1501105</v>
      </c>
      <c r="C1078" s="127" t="s">
        <v>2022</v>
      </c>
      <c r="D1078" s="127" t="s">
        <v>1294</v>
      </c>
      <c r="E1078" s="147" t="s">
        <v>38</v>
      </c>
      <c r="F1078" s="129" t="s">
        <v>74</v>
      </c>
      <c r="G1078" s="147" t="s">
        <v>1731</v>
      </c>
      <c r="H1078" s="191">
        <f t="shared" si="17"/>
        <v>0</v>
      </c>
      <c r="I1078" s="225"/>
      <c r="J1078" s="149"/>
      <c r="K1078" s="147">
        <v>12</v>
      </c>
      <c r="L1078" s="147">
        <v>1</v>
      </c>
      <c r="M1078" s="147">
        <v>13</v>
      </c>
      <c r="N1078" s="289"/>
      <c r="O1078" s="196"/>
      <c r="P1078" s="180"/>
      <c r="Q1078" s="174"/>
      <c r="R1078" s="206">
        <v>0</v>
      </c>
      <c r="S1078" s="168"/>
      <c r="T1078" s="129"/>
      <c r="U1078" s="147" t="s">
        <v>37</v>
      </c>
      <c r="V1078" s="129"/>
      <c r="W1078" s="163" t="s">
        <v>54</v>
      </c>
      <c r="X1078" s="215"/>
      <c r="Y1078" s="216">
        <v>0</v>
      </c>
      <c r="Z1078" s="216">
        <v>0</v>
      </c>
      <c r="AA1078" s="263"/>
      <c r="AB1078" s="155"/>
      <c r="AC1078" s="212"/>
    </row>
    <row r="1079" spans="1:29" hidden="1" x14ac:dyDescent="0.25">
      <c r="A1079" s="155">
        <v>1</v>
      </c>
      <c r="B1079" s="129">
        <v>1501106</v>
      </c>
      <c r="C1079" s="127" t="s">
        <v>2022</v>
      </c>
      <c r="D1079" s="127" t="s">
        <v>1296</v>
      </c>
      <c r="E1079" s="147" t="s">
        <v>38</v>
      </c>
      <c r="F1079" s="129" t="s">
        <v>1231</v>
      </c>
      <c r="G1079" s="147" t="s">
        <v>1731</v>
      </c>
      <c r="H1079" s="191">
        <f t="shared" si="17"/>
        <v>0.22600000000000001</v>
      </c>
      <c r="I1079" s="134" t="s">
        <v>2088</v>
      </c>
      <c r="J1079" s="146">
        <v>30</v>
      </c>
      <c r="K1079" s="147">
        <v>1</v>
      </c>
      <c r="L1079" s="147">
        <v>1</v>
      </c>
      <c r="M1079" s="147">
        <v>2</v>
      </c>
      <c r="N1079" s="289"/>
      <c r="O1079" s="196"/>
      <c r="P1079" s="180"/>
      <c r="Q1079" s="174">
        <v>0.22600000000000001</v>
      </c>
      <c r="R1079" s="205">
        <v>0</v>
      </c>
      <c r="S1079" s="168"/>
      <c r="T1079" s="129" t="s">
        <v>263</v>
      </c>
      <c r="U1079" s="147" t="s">
        <v>37</v>
      </c>
      <c r="V1079" s="129"/>
      <c r="W1079" s="163" t="s">
        <v>54</v>
      </c>
      <c r="X1079" s="215"/>
      <c r="Y1079" s="216">
        <v>0</v>
      </c>
      <c r="Z1079" s="216">
        <v>0</v>
      </c>
      <c r="AA1079" s="263"/>
      <c r="AB1079" s="155"/>
      <c r="AC1079" s="212"/>
    </row>
    <row r="1080" spans="1:29" s="182" customFormat="1" hidden="1" x14ac:dyDescent="0.25">
      <c r="A1080" s="155">
        <v>1</v>
      </c>
      <c r="B1080" s="129">
        <v>1501107</v>
      </c>
      <c r="C1080" s="127" t="s">
        <v>2022</v>
      </c>
      <c r="D1080" s="127" t="s">
        <v>1635</v>
      </c>
      <c r="E1080" s="147" t="s">
        <v>38</v>
      </c>
      <c r="F1080" s="129" t="s">
        <v>1625</v>
      </c>
      <c r="G1080" s="147" t="s">
        <v>1731</v>
      </c>
      <c r="H1080" s="191">
        <f t="shared" si="17"/>
        <v>0</v>
      </c>
      <c r="I1080" s="181" t="s">
        <v>2218</v>
      </c>
      <c r="J1080" s="150"/>
      <c r="K1080" s="147">
        <v>11</v>
      </c>
      <c r="L1080" s="147">
        <v>1</v>
      </c>
      <c r="M1080" s="147">
        <v>12</v>
      </c>
      <c r="N1080" s="289"/>
      <c r="O1080" s="196"/>
      <c r="P1080" s="180"/>
      <c r="Q1080" s="174"/>
      <c r="R1080" s="205"/>
      <c r="S1080" s="168"/>
      <c r="T1080" s="129" t="s">
        <v>1625</v>
      </c>
      <c r="U1080" s="147" t="s">
        <v>37</v>
      </c>
      <c r="V1080" s="129"/>
      <c r="W1080" s="163" t="s">
        <v>2531</v>
      </c>
      <c r="X1080" s="215"/>
      <c r="Y1080" s="216">
        <v>0</v>
      </c>
      <c r="Z1080" s="216">
        <v>0</v>
      </c>
      <c r="AA1080" s="263"/>
      <c r="AB1080" s="155"/>
      <c r="AC1080" s="212"/>
    </row>
    <row r="1081" spans="1:29" s="182" customFormat="1" ht="24" hidden="1" x14ac:dyDescent="0.25">
      <c r="A1081" s="155">
        <v>1</v>
      </c>
      <c r="B1081" s="129">
        <v>1501108</v>
      </c>
      <c r="C1081" s="127" t="s">
        <v>2022</v>
      </c>
      <c r="D1081" s="127" t="s">
        <v>1651</v>
      </c>
      <c r="E1081" s="147" t="s">
        <v>38</v>
      </c>
      <c r="F1081" s="129" t="s">
        <v>2020</v>
      </c>
      <c r="G1081" s="147" t="s">
        <v>1731</v>
      </c>
      <c r="H1081" s="191">
        <f t="shared" ref="H1081:H1144" si="18">Q1081+R1081</f>
        <v>0</v>
      </c>
      <c r="I1081" s="222" t="s">
        <v>2228</v>
      </c>
      <c r="J1081" s="146">
        <v>30</v>
      </c>
      <c r="K1081" s="147">
        <v>1</v>
      </c>
      <c r="L1081" s="147">
        <v>1</v>
      </c>
      <c r="M1081" s="147">
        <v>2</v>
      </c>
      <c r="N1081" s="289">
        <v>200</v>
      </c>
      <c r="O1081" s="195">
        <v>0.51</v>
      </c>
      <c r="P1081" s="180">
        <v>45639</v>
      </c>
      <c r="Q1081" s="174"/>
      <c r="R1081" s="205"/>
      <c r="S1081" s="168"/>
      <c r="T1081" s="129"/>
      <c r="U1081" s="147" t="s">
        <v>37</v>
      </c>
      <c r="V1081" s="129"/>
      <c r="W1081" s="147" t="s">
        <v>2214</v>
      </c>
      <c r="X1081" s="215" t="s">
        <v>1938</v>
      </c>
      <c r="Y1081" s="216">
        <v>0</v>
      </c>
      <c r="Z1081" s="216">
        <v>0</v>
      </c>
      <c r="AA1081" s="263"/>
      <c r="AB1081" s="305"/>
      <c r="AC1081" s="214"/>
    </row>
    <row r="1082" spans="1:29" s="182" customFormat="1" ht="24" x14ac:dyDescent="0.25">
      <c r="A1082" s="155">
        <v>1</v>
      </c>
      <c r="B1082" s="129">
        <v>1501109</v>
      </c>
      <c r="C1082" s="127" t="s">
        <v>2022</v>
      </c>
      <c r="D1082" s="127" t="s">
        <v>1652</v>
      </c>
      <c r="E1082" s="147" t="s">
        <v>38</v>
      </c>
      <c r="F1082" s="129" t="s">
        <v>2020</v>
      </c>
      <c r="G1082" s="147" t="s">
        <v>1731</v>
      </c>
      <c r="H1082" s="191">
        <f t="shared" si="18"/>
        <v>0.75270000000000004</v>
      </c>
      <c r="I1082" s="222" t="s">
        <v>2228</v>
      </c>
      <c r="J1082" s="146">
        <v>30</v>
      </c>
      <c r="K1082" s="147">
        <v>2</v>
      </c>
      <c r="L1082" s="147">
        <v>1</v>
      </c>
      <c r="M1082" s="147">
        <v>3</v>
      </c>
      <c r="N1082" s="289">
        <v>200</v>
      </c>
      <c r="O1082" s="195">
        <v>0.96</v>
      </c>
      <c r="P1082" s="180">
        <v>45639</v>
      </c>
      <c r="Q1082" s="174">
        <v>0.75270000000000004</v>
      </c>
      <c r="R1082" s="205">
        <v>0</v>
      </c>
      <c r="S1082" s="165"/>
      <c r="T1082" s="129" t="s">
        <v>2602</v>
      </c>
      <c r="U1082" s="147" t="s">
        <v>37</v>
      </c>
      <c r="V1082" s="129"/>
      <c r="W1082" s="147" t="s">
        <v>2213</v>
      </c>
      <c r="X1082" s="215" t="s">
        <v>1938</v>
      </c>
      <c r="Y1082" s="216">
        <v>6.65</v>
      </c>
      <c r="Z1082" s="216">
        <v>9.9750000000000014</v>
      </c>
      <c r="AA1082" s="263"/>
      <c r="AB1082" s="305"/>
      <c r="AC1082" s="214"/>
    </row>
    <row r="1083" spans="1:29" s="182" customFormat="1" ht="24" x14ac:dyDescent="0.25">
      <c r="A1083" s="155">
        <v>1</v>
      </c>
      <c r="B1083" s="129">
        <v>1501110</v>
      </c>
      <c r="C1083" s="127" t="s">
        <v>2022</v>
      </c>
      <c r="D1083" s="127" t="s">
        <v>1653</v>
      </c>
      <c r="E1083" s="147" t="s">
        <v>38</v>
      </c>
      <c r="F1083" s="129" t="s">
        <v>2020</v>
      </c>
      <c r="G1083" s="147" t="s">
        <v>1731</v>
      </c>
      <c r="H1083" s="191">
        <f t="shared" si="18"/>
        <v>0.45579999999999998</v>
      </c>
      <c r="I1083" s="222" t="s">
        <v>2228</v>
      </c>
      <c r="J1083" s="146">
        <v>30</v>
      </c>
      <c r="K1083" s="147">
        <v>2</v>
      </c>
      <c r="L1083" s="147">
        <v>1</v>
      </c>
      <c r="M1083" s="147">
        <v>3</v>
      </c>
      <c r="N1083" s="289">
        <v>200</v>
      </c>
      <c r="O1083" s="195">
        <v>0.53</v>
      </c>
      <c r="P1083" s="180">
        <v>45639</v>
      </c>
      <c r="Q1083" s="174">
        <v>0.45579999999999998</v>
      </c>
      <c r="R1083" s="205">
        <v>0</v>
      </c>
      <c r="S1083" s="165"/>
      <c r="T1083" s="129" t="s">
        <v>36</v>
      </c>
      <c r="U1083" s="147" t="s">
        <v>37</v>
      </c>
      <c r="V1083" s="129"/>
      <c r="W1083" s="147" t="s">
        <v>2213</v>
      </c>
      <c r="X1083" s="215" t="s">
        <v>1938</v>
      </c>
      <c r="Y1083" s="216">
        <v>10.6073</v>
      </c>
      <c r="Z1083" s="216">
        <v>15.910950000000001</v>
      </c>
      <c r="AA1083" s="263"/>
      <c r="AB1083" s="305"/>
      <c r="AC1083" s="214"/>
    </row>
    <row r="1084" spans="1:29" s="182" customFormat="1" hidden="1" x14ac:dyDescent="0.25">
      <c r="A1084" s="155">
        <v>1</v>
      </c>
      <c r="B1084" s="129">
        <v>1501111</v>
      </c>
      <c r="C1084" s="127" t="s">
        <v>2022</v>
      </c>
      <c r="D1084" s="127" t="s">
        <v>1654</v>
      </c>
      <c r="E1084" s="147" t="s">
        <v>38</v>
      </c>
      <c r="F1084" s="129" t="s">
        <v>1649</v>
      </c>
      <c r="G1084" s="147" t="s">
        <v>1731</v>
      </c>
      <c r="H1084" s="191">
        <f t="shared" si="18"/>
        <v>0</v>
      </c>
      <c r="I1084" s="134" t="s">
        <v>2084</v>
      </c>
      <c r="J1084" s="146">
        <v>30</v>
      </c>
      <c r="K1084" s="147">
        <v>1</v>
      </c>
      <c r="L1084" s="147">
        <v>1</v>
      </c>
      <c r="M1084" s="147">
        <v>2</v>
      </c>
      <c r="N1084" s="289"/>
      <c r="O1084" s="196"/>
      <c r="P1084" s="180">
        <v>44719</v>
      </c>
      <c r="Q1084" s="174"/>
      <c r="R1084" s="205"/>
      <c r="S1084" s="165"/>
      <c r="T1084" s="129" t="s">
        <v>1650</v>
      </c>
      <c r="U1084" s="147" t="s">
        <v>37</v>
      </c>
      <c r="V1084" s="129"/>
      <c r="W1084" s="177" t="s">
        <v>54</v>
      </c>
      <c r="X1084" s="215"/>
      <c r="Y1084" s="216">
        <v>0</v>
      </c>
      <c r="Z1084" s="216">
        <v>0</v>
      </c>
      <c r="AA1084" s="263"/>
      <c r="AB1084" s="155"/>
      <c r="AC1084" s="212"/>
    </row>
    <row r="1085" spans="1:29" s="182" customFormat="1" hidden="1" x14ac:dyDescent="0.25">
      <c r="A1085" s="155">
        <v>1</v>
      </c>
      <c r="B1085" s="129">
        <v>1501112</v>
      </c>
      <c r="C1085" s="127" t="s">
        <v>2022</v>
      </c>
      <c r="D1085" s="127" t="s">
        <v>1655</v>
      </c>
      <c r="E1085" s="147" t="s">
        <v>38</v>
      </c>
      <c r="F1085" s="129" t="s">
        <v>1649</v>
      </c>
      <c r="G1085" s="147" t="s">
        <v>1731</v>
      </c>
      <c r="H1085" s="191">
        <f t="shared" si="18"/>
        <v>0</v>
      </c>
      <c r="I1085" s="134" t="s">
        <v>2084</v>
      </c>
      <c r="J1085" s="146">
        <v>30</v>
      </c>
      <c r="K1085" s="147">
        <v>1</v>
      </c>
      <c r="L1085" s="147">
        <v>1</v>
      </c>
      <c r="M1085" s="147">
        <v>2</v>
      </c>
      <c r="N1085" s="289"/>
      <c r="O1085" s="196"/>
      <c r="P1085" s="180">
        <v>44719</v>
      </c>
      <c r="Q1085" s="174"/>
      <c r="R1085" s="205"/>
      <c r="S1085" s="165"/>
      <c r="T1085" s="129" t="s">
        <v>1650</v>
      </c>
      <c r="U1085" s="147" t="s">
        <v>37</v>
      </c>
      <c r="V1085" s="129"/>
      <c r="W1085" s="177" t="s">
        <v>54</v>
      </c>
      <c r="X1085" s="215"/>
      <c r="Y1085" s="216">
        <v>0</v>
      </c>
      <c r="Z1085" s="216">
        <v>0</v>
      </c>
      <c r="AA1085" s="263"/>
      <c r="AB1085" s="155"/>
      <c r="AC1085" s="212"/>
    </row>
    <row r="1086" spans="1:29" s="182" customFormat="1" ht="24" hidden="1" x14ac:dyDescent="0.25">
      <c r="A1086" s="155"/>
      <c r="B1086" s="129">
        <v>1501113</v>
      </c>
      <c r="C1086" s="127" t="s">
        <v>2022</v>
      </c>
      <c r="D1086" s="127" t="s">
        <v>1804</v>
      </c>
      <c r="E1086" s="147" t="s">
        <v>38</v>
      </c>
      <c r="F1086" s="129" t="s">
        <v>2020</v>
      </c>
      <c r="G1086" s="147" t="s">
        <v>1731</v>
      </c>
      <c r="H1086" s="191">
        <f t="shared" si="18"/>
        <v>0</v>
      </c>
      <c r="I1086" s="222" t="s">
        <v>2228</v>
      </c>
      <c r="J1086" s="146">
        <v>30</v>
      </c>
      <c r="K1086" s="147">
        <v>1</v>
      </c>
      <c r="L1086" s="147">
        <v>1</v>
      </c>
      <c r="M1086" s="147">
        <v>2</v>
      </c>
      <c r="N1086" s="289">
        <v>500</v>
      </c>
      <c r="O1086" s="195">
        <v>0</v>
      </c>
      <c r="P1086" s="180">
        <v>45639</v>
      </c>
      <c r="Q1086" s="174"/>
      <c r="R1086" s="205"/>
      <c r="S1086" s="165"/>
      <c r="T1086" s="129" t="s">
        <v>1711</v>
      </c>
      <c r="U1086" s="147" t="s">
        <v>37</v>
      </c>
      <c r="V1086" s="129"/>
      <c r="W1086" s="147" t="s">
        <v>2214</v>
      </c>
      <c r="X1086" s="215" t="s">
        <v>1938</v>
      </c>
      <c r="Y1086" s="216">
        <v>0</v>
      </c>
      <c r="Z1086" s="216">
        <v>0</v>
      </c>
      <c r="AA1086" s="263"/>
      <c r="AB1086" s="305"/>
      <c r="AC1086" s="214"/>
    </row>
    <row r="1087" spans="1:29" s="182" customFormat="1" hidden="1" x14ac:dyDescent="0.25">
      <c r="A1087" s="155">
        <v>1</v>
      </c>
      <c r="B1087" s="129">
        <v>1502001</v>
      </c>
      <c r="C1087" s="127" t="s">
        <v>2022</v>
      </c>
      <c r="D1087" s="127" t="s">
        <v>1297</v>
      </c>
      <c r="E1087" s="147" t="s">
        <v>38</v>
      </c>
      <c r="F1087" s="129" t="s">
        <v>1267</v>
      </c>
      <c r="G1087" s="147" t="s">
        <v>1731</v>
      </c>
      <c r="H1087" s="191">
        <f t="shared" si="18"/>
        <v>0</v>
      </c>
      <c r="I1087" s="225"/>
      <c r="J1087" s="149"/>
      <c r="K1087" s="147">
        <v>11</v>
      </c>
      <c r="L1087" s="147">
        <v>1</v>
      </c>
      <c r="M1087" s="147">
        <v>12</v>
      </c>
      <c r="N1087" s="289"/>
      <c r="O1087" s="196"/>
      <c r="P1087" s="180"/>
      <c r="Q1087" s="174"/>
      <c r="R1087" s="206">
        <v>0</v>
      </c>
      <c r="S1087" s="165"/>
      <c r="T1087" s="129" t="s">
        <v>277</v>
      </c>
      <c r="U1087" s="147" t="s">
        <v>35</v>
      </c>
      <c r="V1087" s="129"/>
      <c r="W1087" s="163" t="s">
        <v>54</v>
      </c>
      <c r="X1087" s="215"/>
      <c r="Y1087" s="216">
        <v>0</v>
      </c>
      <c r="Z1087" s="216">
        <v>0</v>
      </c>
      <c r="AA1087" s="263"/>
      <c r="AB1087" s="155"/>
      <c r="AC1087" s="212"/>
    </row>
    <row r="1088" spans="1:29" s="182" customFormat="1" hidden="1" x14ac:dyDescent="0.25">
      <c r="A1088" s="155">
        <v>1</v>
      </c>
      <c r="B1088" s="129">
        <v>1502002</v>
      </c>
      <c r="C1088" s="127" t="s">
        <v>2022</v>
      </c>
      <c r="D1088" s="127" t="s">
        <v>1298</v>
      </c>
      <c r="E1088" s="147" t="s">
        <v>38</v>
      </c>
      <c r="F1088" s="129" t="s">
        <v>1267</v>
      </c>
      <c r="G1088" s="147" t="s">
        <v>1731</v>
      </c>
      <c r="H1088" s="191">
        <f t="shared" si="18"/>
        <v>0</v>
      </c>
      <c r="I1088" s="225"/>
      <c r="J1088" s="149"/>
      <c r="K1088" s="147">
        <v>11</v>
      </c>
      <c r="L1088" s="147">
        <v>1</v>
      </c>
      <c r="M1088" s="147">
        <v>12</v>
      </c>
      <c r="N1088" s="289"/>
      <c r="O1088" s="196"/>
      <c r="P1088" s="180"/>
      <c r="Q1088" s="174"/>
      <c r="R1088" s="206">
        <v>0</v>
      </c>
      <c r="S1088" s="165"/>
      <c r="T1088" s="129" t="s">
        <v>277</v>
      </c>
      <c r="U1088" s="147" t="s">
        <v>35</v>
      </c>
      <c r="V1088" s="129"/>
      <c r="W1088" s="163" t="s">
        <v>54</v>
      </c>
      <c r="X1088" s="215"/>
      <c r="Y1088" s="216">
        <v>0</v>
      </c>
      <c r="Z1088" s="216">
        <v>0</v>
      </c>
      <c r="AA1088" s="263"/>
      <c r="AB1088" s="155"/>
      <c r="AC1088" s="212"/>
    </row>
    <row r="1089" spans="1:29" hidden="1" x14ac:dyDescent="0.25">
      <c r="A1089" s="155">
        <v>1</v>
      </c>
      <c r="B1089" s="129">
        <v>1502003</v>
      </c>
      <c r="C1089" s="127" t="s">
        <v>2022</v>
      </c>
      <c r="D1089" s="127" t="s">
        <v>1302</v>
      </c>
      <c r="E1089" s="147" t="s">
        <v>38</v>
      </c>
      <c r="F1089" s="129" t="s">
        <v>1267</v>
      </c>
      <c r="G1089" s="147" t="s">
        <v>1731</v>
      </c>
      <c r="H1089" s="191">
        <f t="shared" si="18"/>
        <v>0</v>
      </c>
      <c r="I1089" s="225"/>
      <c r="J1089" s="149"/>
      <c r="K1089" s="147">
        <v>11</v>
      </c>
      <c r="L1089" s="147">
        <v>1</v>
      </c>
      <c r="M1089" s="147">
        <v>12</v>
      </c>
      <c r="N1089" s="289"/>
      <c r="O1089" s="196"/>
      <c r="P1089" s="180"/>
      <c r="Q1089" s="174"/>
      <c r="R1089" s="206">
        <v>0</v>
      </c>
      <c r="S1089" s="165"/>
      <c r="T1089" s="129" t="s">
        <v>277</v>
      </c>
      <c r="U1089" s="147" t="s">
        <v>35</v>
      </c>
      <c r="V1089" s="129"/>
      <c r="W1089" s="163" t="s">
        <v>54</v>
      </c>
      <c r="X1089" s="215"/>
      <c r="Y1089" s="216">
        <v>0</v>
      </c>
      <c r="Z1089" s="216">
        <v>0</v>
      </c>
      <c r="AA1089" s="263"/>
      <c r="AB1089" s="155"/>
      <c r="AC1089" s="212"/>
    </row>
    <row r="1090" spans="1:29" hidden="1" x14ac:dyDescent="0.25">
      <c r="A1090" s="155">
        <v>1</v>
      </c>
      <c r="B1090" s="129">
        <v>1502004</v>
      </c>
      <c r="C1090" s="127" t="s">
        <v>2022</v>
      </c>
      <c r="D1090" s="127" t="s">
        <v>1303</v>
      </c>
      <c r="E1090" s="147" t="s">
        <v>38</v>
      </c>
      <c r="F1090" s="129" t="s">
        <v>1267</v>
      </c>
      <c r="G1090" s="147" t="s">
        <v>1731</v>
      </c>
      <c r="H1090" s="191">
        <f t="shared" si="18"/>
        <v>0</v>
      </c>
      <c r="I1090" s="225"/>
      <c r="J1090" s="149"/>
      <c r="K1090" s="147">
        <v>11</v>
      </c>
      <c r="L1090" s="147">
        <v>1</v>
      </c>
      <c r="M1090" s="147">
        <v>12</v>
      </c>
      <c r="N1090" s="289"/>
      <c r="O1090" s="196"/>
      <c r="P1090" s="180"/>
      <c r="Q1090" s="174"/>
      <c r="R1090" s="206">
        <v>0</v>
      </c>
      <c r="S1090" s="165"/>
      <c r="T1090" s="129" t="s">
        <v>277</v>
      </c>
      <c r="U1090" s="147" t="s">
        <v>35</v>
      </c>
      <c r="V1090" s="129"/>
      <c r="W1090" s="163" t="s">
        <v>54</v>
      </c>
      <c r="X1090" s="215"/>
      <c r="Y1090" s="216">
        <v>0</v>
      </c>
      <c r="Z1090" s="216">
        <v>0</v>
      </c>
      <c r="AA1090" s="263"/>
      <c r="AB1090" s="155"/>
      <c r="AC1090" s="212"/>
    </row>
    <row r="1091" spans="1:29" s="182" customFormat="1" hidden="1" x14ac:dyDescent="0.25">
      <c r="A1091" s="155">
        <v>1</v>
      </c>
      <c r="B1091" s="129">
        <v>1502005</v>
      </c>
      <c r="C1091" s="127" t="s">
        <v>2022</v>
      </c>
      <c r="D1091" s="127" t="s">
        <v>1304</v>
      </c>
      <c r="E1091" s="147" t="s">
        <v>38</v>
      </c>
      <c r="F1091" s="129" t="s">
        <v>1267</v>
      </c>
      <c r="G1091" s="147" t="s">
        <v>1731</v>
      </c>
      <c r="H1091" s="191">
        <f t="shared" si="18"/>
        <v>0</v>
      </c>
      <c r="I1091" s="225"/>
      <c r="J1091" s="149"/>
      <c r="K1091" s="147">
        <v>11</v>
      </c>
      <c r="L1091" s="147">
        <v>1</v>
      </c>
      <c r="M1091" s="147">
        <v>12</v>
      </c>
      <c r="N1091" s="289"/>
      <c r="O1091" s="196"/>
      <c r="P1091" s="180"/>
      <c r="Q1091" s="174"/>
      <c r="R1091" s="206">
        <v>0</v>
      </c>
      <c r="S1091" s="165"/>
      <c r="T1091" s="129" t="s">
        <v>277</v>
      </c>
      <c r="U1091" s="147" t="s">
        <v>35</v>
      </c>
      <c r="V1091" s="129"/>
      <c r="W1091" s="163" t="s">
        <v>54</v>
      </c>
      <c r="X1091" s="215"/>
      <c r="Y1091" s="216">
        <v>0</v>
      </c>
      <c r="Z1091" s="216">
        <v>0</v>
      </c>
      <c r="AA1091" s="263"/>
      <c r="AB1091" s="155"/>
      <c r="AC1091" s="212"/>
    </row>
    <row r="1092" spans="1:29" hidden="1" x14ac:dyDescent="0.25">
      <c r="A1092" s="155">
        <v>1</v>
      </c>
      <c r="B1092" s="129">
        <v>1502010</v>
      </c>
      <c r="C1092" s="127" t="s">
        <v>2022</v>
      </c>
      <c r="D1092" s="127" t="s">
        <v>1305</v>
      </c>
      <c r="E1092" s="147" t="s">
        <v>38</v>
      </c>
      <c r="F1092" s="129" t="s">
        <v>116</v>
      </c>
      <c r="G1092" s="147" t="s">
        <v>1731</v>
      </c>
      <c r="H1092" s="191">
        <f t="shared" si="18"/>
        <v>0</v>
      </c>
      <c r="I1092" s="225"/>
      <c r="J1092" s="149"/>
      <c r="K1092" s="147">
        <v>11</v>
      </c>
      <c r="L1092" s="147">
        <v>1</v>
      </c>
      <c r="M1092" s="147">
        <v>12</v>
      </c>
      <c r="N1092" s="289"/>
      <c r="O1092" s="196"/>
      <c r="P1092" s="180"/>
      <c r="Q1092" s="174"/>
      <c r="R1092" s="206">
        <v>0</v>
      </c>
      <c r="S1092" s="165"/>
      <c r="T1092" s="129" t="s">
        <v>277</v>
      </c>
      <c r="U1092" s="147" t="s">
        <v>35</v>
      </c>
      <c r="V1092" s="129"/>
      <c r="W1092" s="177" t="s">
        <v>2531</v>
      </c>
      <c r="X1092" s="215"/>
      <c r="Y1092" s="216">
        <v>0</v>
      </c>
      <c r="Z1092" s="216">
        <v>0</v>
      </c>
      <c r="AA1092" s="263"/>
      <c r="AB1092" s="155"/>
      <c r="AC1092" s="212"/>
    </row>
    <row r="1093" spans="1:29" hidden="1" x14ac:dyDescent="0.25">
      <c r="A1093" s="155">
        <v>1</v>
      </c>
      <c r="B1093" s="129">
        <v>1502011</v>
      </c>
      <c r="C1093" s="127" t="s">
        <v>2022</v>
      </c>
      <c r="D1093" s="127" t="s">
        <v>1306</v>
      </c>
      <c r="E1093" s="147" t="s">
        <v>38</v>
      </c>
      <c r="F1093" s="129" t="s">
        <v>116</v>
      </c>
      <c r="G1093" s="147" t="s">
        <v>1731</v>
      </c>
      <c r="H1093" s="191">
        <f t="shared" si="18"/>
        <v>0</v>
      </c>
      <c r="I1093" s="225"/>
      <c r="J1093" s="149"/>
      <c r="K1093" s="147">
        <v>11</v>
      </c>
      <c r="L1093" s="147">
        <v>1</v>
      </c>
      <c r="M1093" s="147">
        <v>12</v>
      </c>
      <c r="N1093" s="289"/>
      <c r="O1093" s="196"/>
      <c r="P1093" s="180"/>
      <c r="Q1093" s="174"/>
      <c r="R1093" s="206">
        <v>0</v>
      </c>
      <c r="S1093" s="165"/>
      <c r="T1093" s="129" t="s">
        <v>277</v>
      </c>
      <c r="U1093" s="147" t="s">
        <v>35</v>
      </c>
      <c r="V1093" s="129"/>
      <c r="W1093" s="177" t="s">
        <v>2531</v>
      </c>
      <c r="X1093" s="215"/>
      <c r="Y1093" s="216">
        <v>0</v>
      </c>
      <c r="Z1093" s="216">
        <v>0</v>
      </c>
      <c r="AA1093" s="263"/>
      <c r="AB1093" s="155"/>
      <c r="AC1093" s="212"/>
    </row>
    <row r="1094" spans="1:29" hidden="1" x14ac:dyDescent="0.25">
      <c r="A1094" s="155">
        <v>1</v>
      </c>
      <c r="B1094" s="129">
        <v>1502012</v>
      </c>
      <c r="C1094" s="127" t="s">
        <v>2022</v>
      </c>
      <c r="D1094" s="127" t="s">
        <v>1307</v>
      </c>
      <c r="E1094" s="147" t="s">
        <v>38</v>
      </c>
      <c r="F1094" s="129" t="s">
        <v>116</v>
      </c>
      <c r="G1094" s="147" t="s">
        <v>1731</v>
      </c>
      <c r="H1094" s="191">
        <f t="shared" si="18"/>
        <v>0</v>
      </c>
      <c r="I1094" s="225"/>
      <c r="J1094" s="149"/>
      <c r="K1094" s="147">
        <v>11</v>
      </c>
      <c r="L1094" s="147">
        <v>1</v>
      </c>
      <c r="M1094" s="147">
        <v>12</v>
      </c>
      <c r="N1094" s="289"/>
      <c r="O1094" s="196"/>
      <c r="P1094" s="180"/>
      <c r="Q1094" s="174"/>
      <c r="R1094" s="206">
        <v>0</v>
      </c>
      <c r="S1094" s="165"/>
      <c r="T1094" s="129" t="s">
        <v>277</v>
      </c>
      <c r="U1094" s="147" t="s">
        <v>35</v>
      </c>
      <c r="V1094" s="129"/>
      <c r="W1094" s="177" t="s">
        <v>2531</v>
      </c>
      <c r="X1094" s="215"/>
      <c r="Y1094" s="216">
        <v>0</v>
      </c>
      <c r="Z1094" s="216">
        <v>0</v>
      </c>
      <c r="AA1094" s="263"/>
      <c r="AB1094" s="155"/>
      <c r="AC1094" s="212"/>
    </row>
    <row r="1095" spans="1:29" s="182" customFormat="1" hidden="1" x14ac:dyDescent="0.25">
      <c r="A1095" s="155">
        <v>1</v>
      </c>
      <c r="B1095" s="129">
        <v>1502013</v>
      </c>
      <c r="C1095" s="127" t="s">
        <v>2022</v>
      </c>
      <c r="D1095" s="127" t="s">
        <v>1308</v>
      </c>
      <c r="E1095" s="147" t="s">
        <v>38</v>
      </c>
      <c r="F1095" s="129" t="s">
        <v>116</v>
      </c>
      <c r="G1095" s="147" t="s">
        <v>1731</v>
      </c>
      <c r="H1095" s="191">
        <f t="shared" si="18"/>
        <v>0</v>
      </c>
      <c r="I1095" s="225"/>
      <c r="J1095" s="149"/>
      <c r="K1095" s="147">
        <v>11</v>
      </c>
      <c r="L1095" s="147">
        <v>1</v>
      </c>
      <c r="M1095" s="147">
        <v>12</v>
      </c>
      <c r="N1095" s="289"/>
      <c r="O1095" s="196"/>
      <c r="P1095" s="180"/>
      <c r="Q1095" s="174"/>
      <c r="R1095" s="206">
        <v>0</v>
      </c>
      <c r="S1095" s="165"/>
      <c r="T1095" s="129" t="s">
        <v>277</v>
      </c>
      <c r="U1095" s="147" t="s">
        <v>35</v>
      </c>
      <c r="V1095" s="129"/>
      <c r="W1095" s="177" t="s">
        <v>2531</v>
      </c>
      <c r="X1095" s="215"/>
      <c r="Y1095" s="216">
        <v>0</v>
      </c>
      <c r="Z1095" s="216">
        <v>0</v>
      </c>
      <c r="AA1095" s="263"/>
      <c r="AB1095" s="155"/>
      <c r="AC1095" s="212"/>
    </row>
    <row r="1096" spans="1:29" s="182" customFormat="1" hidden="1" x14ac:dyDescent="0.25">
      <c r="A1096" s="155">
        <v>1</v>
      </c>
      <c r="B1096" s="129">
        <v>1502014</v>
      </c>
      <c r="C1096" s="127" t="s">
        <v>2022</v>
      </c>
      <c r="D1096" s="127" t="s">
        <v>1309</v>
      </c>
      <c r="E1096" s="147" t="s">
        <v>38</v>
      </c>
      <c r="F1096" s="129" t="s">
        <v>116</v>
      </c>
      <c r="G1096" s="147" t="s">
        <v>1731</v>
      </c>
      <c r="H1096" s="191">
        <f t="shared" si="18"/>
        <v>0</v>
      </c>
      <c r="I1096" s="225"/>
      <c r="J1096" s="149"/>
      <c r="K1096" s="147">
        <v>11</v>
      </c>
      <c r="L1096" s="147">
        <v>1</v>
      </c>
      <c r="M1096" s="147">
        <v>12</v>
      </c>
      <c r="N1096" s="289"/>
      <c r="O1096" s="196"/>
      <c r="P1096" s="180"/>
      <c r="Q1096" s="174"/>
      <c r="R1096" s="206">
        <v>0</v>
      </c>
      <c r="S1096" s="165"/>
      <c r="T1096" s="129" t="s">
        <v>277</v>
      </c>
      <c r="U1096" s="147" t="s">
        <v>35</v>
      </c>
      <c r="V1096" s="129"/>
      <c r="W1096" s="177" t="s">
        <v>2531</v>
      </c>
      <c r="X1096" s="215"/>
      <c r="Y1096" s="216">
        <v>0</v>
      </c>
      <c r="Z1096" s="216">
        <v>0</v>
      </c>
      <c r="AA1096" s="263"/>
      <c r="AB1096" s="155"/>
      <c r="AC1096" s="212"/>
    </row>
    <row r="1097" spans="1:29" hidden="1" x14ac:dyDescent="0.25">
      <c r="A1097" s="155">
        <v>1</v>
      </c>
      <c r="B1097" s="129">
        <v>1502015</v>
      </c>
      <c r="C1097" s="127" t="s">
        <v>2022</v>
      </c>
      <c r="D1097" s="127" t="s">
        <v>1310</v>
      </c>
      <c r="E1097" s="147" t="s">
        <v>38</v>
      </c>
      <c r="F1097" s="129" t="s">
        <v>1311</v>
      </c>
      <c r="G1097" s="147" t="s">
        <v>1731</v>
      </c>
      <c r="H1097" s="191">
        <f t="shared" si="18"/>
        <v>0</v>
      </c>
      <c r="I1097" s="225"/>
      <c r="J1097" s="149"/>
      <c r="K1097" s="147"/>
      <c r="L1097" s="147"/>
      <c r="M1097" s="147">
        <v>1</v>
      </c>
      <c r="N1097" s="289"/>
      <c r="O1097" s="196"/>
      <c r="P1097" s="180"/>
      <c r="Q1097" s="174"/>
      <c r="R1097" s="206">
        <v>0</v>
      </c>
      <c r="S1097" s="165"/>
      <c r="T1097" s="129" t="s">
        <v>36</v>
      </c>
      <c r="U1097" s="147" t="s">
        <v>37</v>
      </c>
      <c r="V1097" s="129"/>
      <c r="W1097" s="163" t="s">
        <v>54</v>
      </c>
      <c r="X1097" s="215"/>
      <c r="Y1097" s="216">
        <v>0</v>
      </c>
      <c r="Z1097" s="216">
        <v>0</v>
      </c>
      <c r="AA1097" s="263"/>
      <c r="AB1097" s="155"/>
      <c r="AC1097" s="212"/>
    </row>
    <row r="1098" spans="1:29" s="182" customFormat="1" hidden="1" x14ac:dyDescent="0.25">
      <c r="A1098" s="155">
        <v>1</v>
      </c>
      <c r="B1098" s="129">
        <v>1502016</v>
      </c>
      <c r="C1098" s="127" t="s">
        <v>2022</v>
      </c>
      <c r="D1098" s="129" t="s">
        <v>1315</v>
      </c>
      <c r="E1098" s="147" t="s">
        <v>38</v>
      </c>
      <c r="F1098" s="129" t="s">
        <v>189</v>
      </c>
      <c r="G1098" s="147" t="s">
        <v>1731</v>
      </c>
      <c r="H1098" s="191">
        <f t="shared" si="18"/>
        <v>0</v>
      </c>
      <c r="I1098" s="233"/>
      <c r="J1098" s="161"/>
      <c r="K1098" s="147">
        <v>12</v>
      </c>
      <c r="L1098" s="147">
        <v>1</v>
      </c>
      <c r="M1098" s="147">
        <v>13</v>
      </c>
      <c r="N1098" s="289"/>
      <c r="O1098" s="196"/>
      <c r="P1098" s="180"/>
      <c r="Q1098" s="174"/>
      <c r="R1098" s="205">
        <v>0</v>
      </c>
      <c r="S1098" s="165"/>
      <c r="T1098" s="129" t="s">
        <v>189</v>
      </c>
      <c r="U1098" s="147" t="s">
        <v>35</v>
      </c>
      <c r="V1098" s="129"/>
      <c r="W1098" s="177" t="s">
        <v>2531</v>
      </c>
      <c r="X1098" s="215"/>
      <c r="Y1098" s="216">
        <v>0</v>
      </c>
      <c r="Z1098" s="216">
        <v>0</v>
      </c>
      <c r="AA1098" s="263"/>
      <c r="AB1098" s="155"/>
      <c r="AC1098" s="212"/>
    </row>
    <row r="1099" spans="1:29" hidden="1" x14ac:dyDescent="0.25">
      <c r="A1099" s="155">
        <v>1</v>
      </c>
      <c r="B1099" s="129">
        <v>1502017</v>
      </c>
      <c r="C1099" s="127" t="s">
        <v>2022</v>
      </c>
      <c r="D1099" s="129" t="s">
        <v>1317</v>
      </c>
      <c r="E1099" s="147" t="s">
        <v>38</v>
      </c>
      <c r="F1099" s="129" t="s">
        <v>189</v>
      </c>
      <c r="G1099" s="147" t="s">
        <v>1731</v>
      </c>
      <c r="H1099" s="191">
        <f t="shared" si="18"/>
        <v>0</v>
      </c>
      <c r="I1099" s="233"/>
      <c r="J1099" s="161"/>
      <c r="K1099" s="147">
        <v>12</v>
      </c>
      <c r="L1099" s="147">
        <v>1</v>
      </c>
      <c r="M1099" s="147">
        <v>13</v>
      </c>
      <c r="N1099" s="289"/>
      <c r="O1099" s="196"/>
      <c r="P1099" s="180"/>
      <c r="Q1099" s="174"/>
      <c r="R1099" s="205"/>
      <c r="S1099" s="165"/>
      <c r="T1099" s="129" t="s">
        <v>189</v>
      </c>
      <c r="U1099" s="147" t="s">
        <v>37</v>
      </c>
      <c r="V1099" s="129"/>
      <c r="W1099" s="177" t="s">
        <v>2531</v>
      </c>
      <c r="X1099" s="215"/>
      <c r="Y1099" s="216">
        <v>0</v>
      </c>
      <c r="Z1099" s="216">
        <v>0</v>
      </c>
      <c r="AA1099" s="263"/>
      <c r="AB1099" s="155"/>
      <c r="AC1099" s="212"/>
    </row>
    <row r="1100" spans="1:29" hidden="1" x14ac:dyDescent="0.25">
      <c r="A1100" s="155">
        <v>1</v>
      </c>
      <c r="B1100" s="129">
        <v>1502018</v>
      </c>
      <c r="C1100" s="127" t="s">
        <v>2022</v>
      </c>
      <c r="D1100" s="129" t="s">
        <v>1318</v>
      </c>
      <c r="E1100" s="147" t="s">
        <v>38</v>
      </c>
      <c r="F1100" s="129" t="s">
        <v>1319</v>
      </c>
      <c r="G1100" s="147" t="s">
        <v>1731</v>
      </c>
      <c r="H1100" s="191">
        <f t="shared" si="18"/>
        <v>9.1656999999999993</v>
      </c>
      <c r="I1100" s="134"/>
      <c r="J1100" s="150"/>
      <c r="K1100" s="147"/>
      <c r="L1100" s="147"/>
      <c r="M1100" s="147">
        <v>2</v>
      </c>
      <c r="N1100" s="289"/>
      <c r="O1100" s="196"/>
      <c r="P1100" s="180"/>
      <c r="Q1100" s="174">
        <v>7.2157</v>
      </c>
      <c r="R1100" s="205">
        <v>1.95</v>
      </c>
      <c r="S1100" s="165"/>
      <c r="T1100" s="129" t="s">
        <v>272</v>
      </c>
      <c r="U1100" s="147" t="s">
        <v>37</v>
      </c>
      <c r="V1100" s="129"/>
      <c r="W1100" s="147" t="s">
        <v>2464</v>
      </c>
      <c r="X1100" s="215"/>
      <c r="Y1100" s="216">
        <v>0</v>
      </c>
      <c r="Z1100" s="216">
        <v>0</v>
      </c>
      <c r="AA1100" s="263"/>
      <c r="AB1100" s="155"/>
      <c r="AC1100" s="212"/>
    </row>
    <row r="1101" spans="1:29" s="182" customFormat="1" hidden="1" x14ac:dyDescent="0.25">
      <c r="A1101" s="155">
        <v>1</v>
      </c>
      <c r="B1101" s="129">
        <v>1502019</v>
      </c>
      <c r="C1101" s="127" t="s">
        <v>2022</v>
      </c>
      <c r="D1101" s="129" t="s">
        <v>1526</v>
      </c>
      <c r="E1101" s="147" t="s">
        <v>38</v>
      </c>
      <c r="F1101" s="129" t="s">
        <v>102</v>
      </c>
      <c r="G1101" s="147" t="s">
        <v>1731</v>
      </c>
      <c r="H1101" s="191">
        <f t="shared" si="18"/>
        <v>0</v>
      </c>
      <c r="I1101" s="181" t="s">
        <v>2218</v>
      </c>
      <c r="J1101" s="150"/>
      <c r="K1101" s="147">
        <v>1</v>
      </c>
      <c r="L1101" s="147">
        <v>1</v>
      </c>
      <c r="M1101" s="147">
        <v>2</v>
      </c>
      <c r="N1101" s="289"/>
      <c r="O1101" s="196"/>
      <c r="P1101" s="180"/>
      <c r="Q1101" s="174"/>
      <c r="R1101" s="205"/>
      <c r="S1101" s="165"/>
      <c r="T1101" s="129" t="s">
        <v>102</v>
      </c>
      <c r="U1101" s="147" t="s">
        <v>35</v>
      </c>
      <c r="V1101" s="129"/>
      <c r="W1101" s="177" t="s">
        <v>2531</v>
      </c>
      <c r="X1101" s="215"/>
      <c r="Y1101" s="216">
        <v>0</v>
      </c>
      <c r="Z1101" s="216">
        <v>0</v>
      </c>
      <c r="AA1101" s="263"/>
      <c r="AB1101" s="155"/>
      <c r="AC1101" s="212"/>
    </row>
    <row r="1102" spans="1:29" s="182" customFormat="1" hidden="1" x14ac:dyDescent="0.25">
      <c r="A1102" s="155">
        <v>1</v>
      </c>
      <c r="B1102" s="129">
        <v>1502020</v>
      </c>
      <c r="C1102" s="127" t="s">
        <v>2022</v>
      </c>
      <c r="D1102" s="129" t="s">
        <v>1552</v>
      </c>
      <c r="E1102" s="147" t="s">
        <v>38</v>
      </c>
      <c r="F1102" s="129" t="s">
        <v>102</v>
      </c>
      <c r="G1102" s="147" t="s">
        <v>1731</v>
      </c>
      <c r="H1102" s="191">
        <f t="shared" si="18"/>
        <v>0</v>
      </c>
      <c r="I1102" s="181" t="s">
        <v>2218</v>
      </c>
      <c r="J1102" s="150"/>
      <c r="K1102" s="147">
        <v>1</v>
      </c>
      <c r="L1102" s="147">
        <v>1</v>
      </c>
      <c r="M1102" s="147">
        <v>2</v>
      </c>
      <c r="N1102" s="289"/>
      <c r="O1102" s="196"/>
      <c r="P1102" s="180"/>
      <c r="Q1102" s="174"/>
      <c r="R1102" s="205"/>
      <c r="S1102" s="165"/>
      <c r="T1102" s="129" t="s">
        <v>102</v>
      </c>
      <c r="U1102" s="147" t="s">
        <v>35</v>
      </c>
      <c r="V1102" s="129"/>
      <c r="W1102" s="177" t="s">
        <v>2531</v>
      </c>
      <c r="X1102" s="215"/>
      <c r="Y1102" s="216">
        <v>0</v>
      </c>
      <c r="Z1102" s="216">
        <v>0</v>
      </c>
      <c r="AA1102" s="263"/>
      <c r="AB1102" s="155"/>
      <c r="AC1102" s="212"/>
    </row>
    <row r="1103" spans="1:29" s="182" customFormat="1" hidden="1" x14ac:dyDescent="0.25">
      <c r="A1103" s="155">
        <v>1</v>
      </c>
      <c r="B1103" s="129">
        <v>1502021</v>
      </c>
      <c r="C1103" s="127" t="s">
        <v>2022</v>
      </c>
      <c r="D1103" s="129" t="s">
        <v>1561</v>
      </c>
      <c r="E1103" s="147" t="s">
        <v>38</v>
      </c>
      <c r="F1103" s="129" t="s">
        <v>189</v>
      </c>
      <c r="G1103" s="147" t="s">
        <v>1731</v>
      </c>
      <c r="H1103" s="191">
        <f t="shared" si="18"/>
        <v>0</v>
      </c>
      <c r="I1103" s="233"/>
      <c r="J1103" s="161"/>
      <c r="K1103" s="147">
        <v>12</v>
      </c>
      <c r="L1103" s="147">
        <v>1</v>
      </c>
      <c r="M1103" s="147">
        <v>13</v>
      </c>
      <c r="N1103" s="289"/>
      <c r="O1103" s="196"/>
      <c r="P1103" s="180"/>
      <c r="Q1103" s="174"/>
      <c r="R1103" s="205"/>
      <c r="S1103" s="165"/>
      <c r="T1103" s="129" t="s">
        <v>189</v>
      </c>
      <c r="U1103" s="147" t="s">
        <v>37</v>
      </c>
      <c r="V1103" s="129"/>
      <c r="W1103" s="177" t="s">
        <v>2531</v>
      </c>
      <c r="X1103" s="215"/>
      <c r="Y1103" s="216">
        <v>0</v>
      </c>
      <c r="Z1103" s="216">
        <v>0</v>
      </c>
      <c r="AA1103" s="263"/>
      <c r="AB1103" s="155"/>
      <c r="AC1103" s="212"/>
    </row>
    <row r="1104" spans="1:29" s="182" customFormat="1" hidden="1" x14ac:dyDescent="0.25">
      <c r="A1104" s="155"/>
      <c r="B1104" s="129">
        <v>1502022</v>
      </c>
      <c r="C1104" s="127" t="s">
        <v>2022</v>
      </c>
      <c r="D1104" s="129" t="s">
        <v>1688</v>
      </c>
      <c r="E1104" s="147" t="s">
        <v>38</v>
      </c>
      <c r="F1104" s="129" t="s">
        <v>1319</v>
      </c>
      <c r="G1104" s="147" t="s">
        <v>1731</v>
      </c>
      <c r="H1104" s="191">
        <f t="shared" si="18"/>
        <v>0</v>
      </c>
      <c r="I1104" s="134"/>
      <c r="J1104" s="150"/>
      <c r="K1104" s="147">
        <v>11</v>
      </c>
      <c r="L1104" s="147">
        <v>1</v>
      </c>
      <c r="M1104" s="147">
        <v>12</v>
      </c>
      <c r="N1104" s="289"/>
      <c r="O1104" s="196"/>
      <c r="P1104" s="180">
        <v>44860</v>
      </c>
      <c r="Q1104" s="174"/>
      <c r="R1104" s="205"/>
      <c r="S1104" s="165"/>
      <c r="T1104" s="129"/>
      <c r="U1104" s="147" t="s">
        <v>37</v>
      </c>
      <c r="V1104" s="129"/>
      <c r="W1104" s="147" t="s">
        <v>2214</v>
      </c>
      <c r="X1104" s="215"/>
      <c r="Y1104" s="216">
        <v>0</v>
      </c>
      <c r="Z1104" s="216">
        <v>0</v>
      </c>
      <c r="AA1104" s="263"/>
      <c r="AB1104" s="155"/>
      <c r="AC1104" s="212"/>
    </row>
    <row r="1105" spans="1:29" s="182" customFormat="1" hidden="1" x14ac:dyDescent="0.25">
      <c r="A1105" s="155">
        <v>1</v>
      </c>
      <c r="B1105" s="129">
        <v>1503001</v>
      </c>
      <c r="C1105" s="127" t="s">
        <v>2022</v>
      </c>
      <c r="D1105" s="127" t="s">
        <v>1320</v>
      </c>
      <c r="E1105" s="147" t="s">
        <v>38</v>
      </c>
      <c r="F1105" s="138" t="s">
        <v>57</v>
      </c>
      <c r="G1105" s="147" t="s">
        <v>1731</v>
      </c>
      <c r="H1105" s="191">
        <f t="shared" si="18"/>
        <v>0</v>
      </c>
      <c r="I1105" s="225"/>
      <c r="J1105" s="149"/>
      <c r="K1105" s="147">
        <v>12</v>
      </c>
      <c r="L1105" s="147">
        <v>1</v>
      </c>
      <c r="M1105" s="147">
        <v>13</v>
      </c>
      <c r="N1105" s="289"/>
      <c r="O1105" s="196"/>
      <c r="P1105" s="180"/>
      <c r="Q1105" s="174"/>
      <c r="R1105" s="206">
        <v>0</v>
      </c>
      <c r="S1105" s="168"/>
      <c r="T1105" s="129" t="s">
        <v>55</v>
      </c>
      <c r="U1105" s="147" t="s">
        <v>37</v>
      </c>
      <c r="V1105" s="129"/>
      <c r="W1105" s="163" t="s">
        <v>54</v>
      </c>
      <c r="X1105" s="215"/>
      <c r="Y1105" s="216">
        <v>0</v>
      </c>
      <c r="Z1105" s="216">
        <v>0</v>
      </c>
      <c r="AA1105" s="263"/>
      <c r="AB1105" s="155"/>
      <c r="AC1105" s="212"/>
    </row>
    <row r="1106" spans="1:29" s="182" customFormat="1" hidden="1" x14ac:dyDescent="0.25">
      <c r="A1106" s="155">
        <v>1</v>
      </c>
      <c r="B1106" s="136">
        <v>1503002</v>
      </c>
      <c r="C1106" s="127" t="s">
        <v>2022</v>
      </c>
      <c r="D1106" s="127" t="s">
        <v>1321</v>
      </c>
      <c r="E1106" s="147" t="s">
        <v>38</v>
      </c>
      <c r="F1106" s="138" t="s">
        <v>57</v>
      </c>
      <c r="G1106" s="147" t="s">
        <v>1731</v>
      </c>
      <c r="H1106" s="191">
        <f t="shared" si="18"/>
        <v>0</v>
      </c>
      <c r="I1106" s="225"/>
      <c r="J1106" s="149"/>
      <c r="K1106" s="147">
        <v>12</v>
      </c>
      <c r="L1106" s="147">
        <v>1</v>
      </c>
      <c r="M1106" s="147">
        <v>13</v>
      </c>
      <c r="N1106" s="289"/>
      <c r="O1106" s="196"/>
      <c r="P1106" s="180"/>
      <c r="Q1106" s="174"/>
      <c r="R1106" s="206">
        <v>0</v>
      </c>
      <c r="S1106" s="168"/>
      <c r="T1106" s="138" t="s">
        <v>57</v>
      </c>
      <c r="U1106" s="147" t="s">
        <v>37</v>
      </c>
      <c r="V1106" s="129"/>
      <c r="W1106" s="163" t="s">
        <v>54</v>
      </c>
      <c r="X1106" s="215"/>
      <c r="Y1106" s="216">
        <v>0</v>
      </c>
      <c r="Z1106" s="216">
        <v>0</v>
      </c>
      <c r="AA1106" s="263"/>
      <c r="AB1106" s="155"/>
      <c r="AC1106" s="212"/>
    </row>
    <row r="1107" spans="1:29" s="182" customFormat="1" hidden="1" x14ac:dyDescent="0.25">
      <c r="A1107" s="155">
        <v>1</v>
      </c>
      <c r="B1107" s="129">
        <v>1503003</v>
      </c>
      <c r="C1107" s="127" t="s">
        <v>2022</v>
      </c>
      <c r="D1107" s="127" t="s">
        <v>1322</v>
      </c>
      <c r="E1107" s="147" t="s">
        <v>38</v>
      </c>
      <c r="F1107" s="138" t="s">
        <v>57</v>
      </c>
      <c r="G1107" s="147" t="s">
        <v>1731</v>
      </c>
      <c r="H1107" s="191">
        <f t="shared" si="18"/>
        <v>0</v>
      </c>
      <c r="I1107" s="225"/>
      <c r="J1107" s="149"/>
      <c r="K1107" s="147">
        <v>12</v>
      </c>
      <c r="L1107" s="147">
        <v>1</v>
      </c>
      <c r="M1107" s="147">
        <v>13</v>
      </c>
      <c r="N1107" s="289"/>
      <c r="O1107" s="196"/>
      <c r="P1107" s="180"/>
      <c r="Q1107" s="174"/>
      <c r="R1107" s="206">
        <v>0</v>
      </c>
      <c r="S1107" s="168"/>
      <c r="T1107" s="129" t="s">
        <v>55</v>
      </c>
      <c r="U1107" s="147" t="s">
        <v>37</v>
      </c>
      <c r="V1107" s="129"/>
      <c r="W1107" s="163" t="s">
        <v>54</v>
      </c>
      <c r="X1107" s="215"/>
      <c r="Y1107" s="216">
        <v>0</v>
      </c>
      <c r="Z1107" s="216">
        <v>0</v>
      </c>
      <c r="AA1107" s="263"/>
      <c r="AB1107" s="155"/>
      <c r="AC1107" s="212"/>
    </row>
    <row r="1108" spans="1:29" s="182" customFormat="1" hidden="1" x14ac:dyDescent="0.25">
      <c r="A1108" s="155">
        <v>1</v>
      </c>
      <c r="B1108" s="136">
        <v>1503004</v>
      </c>
      <c r="C1108" s="127" t="s">
        <v>2022</v>
      </c>
      <c r="D1108" s="127" t="s">
        <v>1323</v>
      </c>
      <c r="E1108" s="147" t="s">
        <v>38</v>
      </c>
      <c r="F1108" s="138" t="s">
        <v>57</v>
      </c>
      <c r="G1108" s="147" t="s">
        <v>1731</v>
      </c>
      <c r="H1108" s="191">
        <f t="shared" si="18"/>
        <v>0</v>
      </c>
      <c r="I1108" s="225"/>
      <c r="J1108" s="149"/>
      <c r="K1108" s="147">
        <v>12</v>
      </c>
      <c r="L1108" s="147">
        <v>1</v>
      </c>
      <c r="M1108" s="147">
        <v>13</v>
      </c>
      <c r="N1108" s="289"/>
      <c r="O1108" s="196"/>
      <c r="P1108" s="180"/>
      <c r="Q1108" s="174"/>
      <c r="R1108" s="206">
        <v>0</v>
      </c>
      <c r="S1108" s="168"/>
      <c r="T1108" s="138" t="s">
        <v>57</v>
      </c>
      <c r="U1108" s="147" t="s">
        <v>37</v>
      </c>
      <c r="V1108" s="129"/>
      <c r="W1108" s="163" t="s">
        <v>54</v>
      </c>
      <c r="X1108" s="215"/>
      <c r="Y1108" s="216">
        <v>0</v>
      </c>
      <c r="Z1108" s="216">
        <v>0</v>
      </c>
      <c r="AA1108" s="263"/>
      <c r="AB1108" s="155"/>
      <c r="AC1108" s="212"/>
    </row>
    <row r="1109" spans="1:29" s="182" customFormat="1" hidden="1" x14ac:dyDescent="0.25">
      <c r="A1109" s="155">
        <v>1</v>
      </c>
      <c r="B1109" s="136">
        <v>1503005</v>
      </c>
      <c r="C1109" s="127" t="s">
        <v>2022</v>
      </c>
      <c r="D1109" s="127" t="s">
        <v>1324</v>
      </c>
      <c r="E1109" s="147" t="s">
        <v>38</v>
      </c>
      <c r="F1109" s="129" t="s">
        <v>1325</v>
      </c>
      <c r="G1109" s="147" t="s">
        <v>1731</v>
      </c>
      <c r="H1109" s="191">
        <f t="shared" si="18"/>
        <v>0</v>
      </c>
      <c r="I1109" s="225"/>
      <c r="J1109" s="149"/>
      <c r="K1109" s="147">
        <v>11</v>
      </c>
      <c r="L1109" s="147">
        <v>1</v>
      </c>
      <c r="M1109" s="147">
        <v>12</v>
      </c>
      <c r="N1109" s="289">
        <v>1000</v>
      </c>
      <c r="O1109" s="196"/>
      <c r="P1109" s="180"/>
      <c r="Q1109" s="174"/>
      <c r="R1109" s="206">
        <v>0</v>
      </c>
      <c r="S1109" s="168"/>
      <c r="T1109" s="129" t="s">
        <v>64</v>
      </c>
      <c r="U1109" s="147" t="s">
        <v>37</v>
      </c>
      <c r="V1109" s="129"/>
      <c r="W1109" s="163" t="s">
        <v>54</v>
      </c>
      <c r="X1109" s="215"/>
      <c r="Y1109" s="216">
        <v>0</v>
      </c>
      <c r="Z1109" s="216">
        <v>0</v>
      </c>
      <c r="AA1109" s="263"/>
      <c r="AB1109" s="155"/>
      <c r="AC1109" s="212"/>
    </row>
    <row r="1110" spans="1:29" s="182" customFormat="1" hidden="1" x14ac:dyDescent="0.25">
      <c r="A1110" s="155">
        <v>1</v>
      </c>
      <c r="B1110" s="136">
        <v>1503006</v>
      </c>
      <c r="C1110" s="127" t="s">
        <v>2022</v>
      </c>
      <c r="D1110" s="127" t="s">
        <v>1329</v>
      </c>
      <c r="E1110" s="147" t="s">
        <v>38</v>
      </c>
      <c r="F1110" s="129" t="s">
        <v>1325</v>
      </c>
      <c r="G1110" s="147" t="s">
        <v>1731</v>
      </c>
      <c r="H1110" s="191">
        <f t="shared" si="18"/>
        <v>0</v>
      </c>
      <c r="I1110" s="225"/>
      <c r="J1110" s="149"/>
      <c r="K1110" s="147">
        <v>11</v>
      </c>
      <c r="L1110" s="147">
        <v>1</v>
      </c>
      <c r="M1110" s="147">
        <v>12</v>
      </c>
      <c r="N1110" s="289">
        <v>1000</v>
      </c>
      <c r="O1110" s="196"/>
      <c r="P1110" s="180"/>
      <c r="Q1110" s="174"/>
      <c r="R1110" s="206">
        <v>0</v>
      </c>
      <c r="S1110" s="168"/>
      <c r="T1110" s="129" t="s">
        <v>64</v>
      </c>
      <c r="U1110" s="147" t="s">
        <v>37</v>
      </c>
      <c r="V1110" s="129"/>
      <c r="W1110" s="163" t="s">
        <v>54</v>
      </c>
      <c r="X1110" s="215"/>
      <c r="Y1110" s="216">
        <v>0</v>
      </c>
      <c r="Z1110" s="216">
        <v>0</v>
      </c>
      <c r="AA1110" s="263"/>
      <c r="AB1110" s="155"/>
      <c r="AC1110" s="212"/>
    </row>
    <row r="1111" spans="1:29" s="182" customFormat="1" hidden="1" x14ac:dyDescent="0.25">
      <c r="A1111" s="155">
        <v>1</v>
      </c>
      <c r="B1111" s="136">
        <v>1503007</v>
      </c>
      <c r="C1111" s="127" t="s">
        <v>2022</v>
      </c>
      <c r="D1111" s="127" t="s">
        <v>1330</v>
      </c>
      <c r="E1111" s="147" t="s">
        <v>38</v>
      </c>
      <c r="F1111" s="129" t="s">
        <v>1325</v>
      </c>
      <c r="G1111" s="147" t="s">
        <v>1731</v>
      </c>
      <c r="H1111" s="191">
        <f t="shared" si="18"/>
        <v>0</v>
      </c>
      <c r="I1111" s="225"/>
      <c r="J1111" s="149"/>
      <c r="K1111" s="147">
        <v>11</v>
      </c>
      <c r="L1111" s="147">
        <v>1</v>
      </c>
      <c r="M1111" s="147">
        <v>12</v>
      </c>
      <c r="N1111" s="289">
        <v>1000</v>
      </c>
      <c r="O1111" s="196"/>
      <c r="P1111" s="180"/>
      <c r="Q1111" s="174"/>
      <c r="R1111" s="206">
        <v>0</v>
      </c>
      <c r="S1111" s="168"/>
      <c r="T1111" s="129" t="s">
        <v>64</v>
      </c>
      <c r="U1111" s="147" t="s">
        <v>37</v>
      </c>
      <c r="V1111" s="129"/>
      <c r="W1111" s="163" t="s">
        <v>54</v>
      </c>
      <c r="X1111" s="215"/>
      <c r="Y1111" s="216">
        <v>0</v>
      </c>
      <c r="Z1111" s="216">
        <v>0</v>
      </c>
      <c r="AA1111" s="263"/>
      <c r="AB1111" s="155"/>
      <c r="AC1111" s="212"/>
    </row>
    <row r="1112" spans="1:29" s="182" customFormat="1" hidden="1" x14ac:dyDescent="0.25">
      <c r="A1112" s="155">
        <v>1</v>
      </c>
      <c r="B1112" s="136">
        <v>1503008</v>
      </c>
      <c r="C1112" s="127" t="s">
        <v>2022</v>
      </c>
      <c r="D1112" s="127" t="s">
        <v>1331</v>
      </c>
      <c r="E1112" s="147" t="s">
        <v>38</v>
      </c>
      <c r="F1112" s="129" t="s">
        <v>1325</v>
      </c>
      <c r="G1112" s="147" t="s">
        <v>1731</v>
      </c>
      <c r="H1112" s="191">
        <f t="shared" si="18"/>
        <v>0</v>
      </c>
      <c r="I1112" s="225"/>
      <c r="J1112" s="149"/>
      <c r="K1112" s="147">
        <v>11</v>
      </c>
      <c r="L1112" s="147">
        <v>1</v>
      </c>
      <c r="M1112" s="147">
        <v>12</v>
      </c>
      <c r="N1112" s="289">
        <v>1000</v>
      </c>
      <c r="O1112" s="196"/>
      <c r="P1112" s="180"/>
      <c r="Q1112" s="174"/>
      <c r="R1112" s="206">
        <v>0</v>
      </c>
      <c r="S1112" s="168"/>
      <c r="T1112" s="129" t="s">
        <v>64</v>
      </c>
      <c r="U1112" s="147" t="s">
        <v>37</v>
      </c>
      <c r="V1112" s="129"/>
      <c r="W1112" s="163" t="s">
        <v>54</v>
      </c>
      <c r="X1112" s="215"/>
      <c r="Y1112" s="216">
        <v>0</v>
      </c>
      <c r="Z1112" s="216">
        <v>0</v>
      </c>
      <c r="AA1112" s="263"/>
      <c r="AB1112" s="155"/>
      <c r="AC1112" s="212"/>
    </row>
    <row r="1113" spans="1:29" hidden="1" x14ac:dyDescent="0.25">
      <c r="A1113" s="155">
        <v>1</v>
      </c>
      <c r="B1113" s="136">
        <v>1503009</v>
      </c>
      <c r="C1113" s="127" t="s">
        <v>2022</v>
      </c>
      <c r="D1113" s="127" t="s">
        <v>1332</v>
      </c>
      <c r="E1113" s="147" t="s">
        <v>38</v>
      </c>
      <c r="F1113" s="129" t="s">
        <v>1325</v>
      </c>
      <c r="G1113" s="147" t="s">
        <v>1731</v>
      </c>
      <c r="H1113" s="191">
        <f t="shared" si="18"/>
        <v>0</v>
      </c>
      <c r="I1113" s="225"/>
      <c r="J1113" s="149"/>
      <c r="K1113" s="147">
        <v>11</v>
      </c>
      <c r="L1113" s="147">
        <v>1</v>
      </c>
      <c r="M1113" s="147">
        <v>12</v>
      </c>
      <c r="N1113" s="289">
        <v>1000</v>
      </c>
      <c r="O1113" s="196"/>
      <c r="P1113" s="180"/>
      <c r="Q1113" s="174"/>
      <c r="R1113" s="206">
        <v>0</v>
      </c>
      <c r="S1113" s="168"/>
      <c r="T1113" s="129" t="s">
        <v>64</v>
      </c>
      <c r="U1113" s="147" t="s">
        <v>37</v>
      </c>
      <c r="V1113" s="129"/>
      <c r="W1113" s="163" t="s">
        <v>54</v>
      </c>
      <c r="X1113" s="215"/>
      <c r="Y1113" s="216">
        <v>0</v>
      </c>
      <c r="Z1113" s="216">
        <v>0</v>
      </c>
      <c r="AA1113" s="263"/>
      <c r="AB1113" s="155"/>
      <c r="AC1113" s="212"/>
    </row>
    <row r="1114" spans="1:29" hidden="1" x14ac:dyDescent="0.25">
      <c r="A1114" s="155">
        <v>1</v>
      </c>
      <c r="B1114" s="136">
        <v>1503010</v>
      </c>
      <c r="C1114" s="127" t="s">
        <v>2022</v>
      </c>
      <c r="D1114" s="127" t="s">
        <v>1333</v>
      </c>
      <c r="E1114" s="147" t="s">
        <v>38</v>
      </c>
      <c r="F1114" s="129" t="s">
        <v>1325</v>
      </c>
      <c r="G1114" s="147" t="s">
        <v>1731</v>
      </c>
      <c r="H1114" s="191">
        <f t="shared" si="18"/>
        <v>0</v>
      </c>
      <c r="I1114" s="225"/>
      <c r="J1114" s="149"/>
      <c r="K1114" s="147">
        <v>11</v>
      </c>
      <c r="L1114" s="147">
        <v>1</v>
      </c>
      <c r="M1114" s="147">
        <v>12</v>
      </c>
      <c r="N1114" s="289"/>
      <c r="O1114" s="196"/>
      <c r="P1114" s="180"/>
      <c r="Q1114" s="174"/>
      <c r="R1114" s="206">
        <v>0</v>
      </c>
      <c r="S1114" s="168"/>
      <c r="T1114" s="129" t="s">
        <v>64</v>
      </c>
      <c r="U1114" s="147" t="s">
        <v>37</v>
      </c>
      <c r="V1114" s="129"/>
      <c r="W1114" s="163" t="s">
        <v>54</v>
      </c>
      <c r="X1114" s="215"/>
      <c r="Y1114" s="216">
        <v>0</v>
      </c>
      <c r="Z1114" s="216">
        <v>0</v>
      </c>
      <c r="AA1114" s="263"/>
      <c r="AB1114" s="155"/>
      <c r="AC1114" s="212"/>
    </row>
    <row r="1115" spans="1:29" hidden="1" x14ac:dyDescent="0.25">
      <c r="A1115" s="155">
        <v>1</v>
      </c>
      <c r="B1115" s="136">
        <v>1503011</v>
      </c>
      <c r="C1115" s="127" t="s">
        <v>2022</v>
      </c>
      <c r="D1115" s="127" t="s">
        <v>1335</v>
      </c>
      <c r="E1115" s="147" t="s">
        <v>38</v>
      </c>
      <c r="F1115" s="129" t="s">
        <v>1325</v>
      </c>
      <c r="G1115" s="147" t="s">
        <v>1731</v>
      </c>
      <c r="H1115" s="191">
        <f t="shared" si="18"/>
        <v>0</v>
      </c>
      <c r="I1115" s="225"/>
      <c r="J1115" s="149"/>
      <c r="K1115" s="147">
        <v>11</v>
      </c>
      <c r="L1115" s="147">
        <v>1</v>
      </c>
      <c r="M1115" s="147">
        <v>12</v>
      </c>
      <c r="N1115" s="289"/>
      <c r="O1115" s="196"/>
      <c r="P1115" s="180"/>
      <c r="Q1115" s="174"/>
      <c r="R1115" s="206">
        <v>0</v>
      </c>
      <c r="S1115" s="168"/>
      <c r="T1115" s="129" t="s">
        <v>64</v>
      </c>
      <c r="U1115" s="147" t="s">
        <v>37</v>
      </c>
      <c r="V1115" s="129"/>
      <c r="W1115" s="163" t="s">
        <v>54</v>
      </c>
      <c r="X1115" s="215"/>
      <c r="Y1115" s="216">
        <v>0</v>
      </c>
      <c r="Z1115" s="216">
        <v>0</v>
      </c>
      <c r="AA1115" s="263"/>
      <c r="AB1115" s="155"/>
      <c r="AC1115" s="212"/>
    </row>
    <row r="1116" spans="1:29" hidden="1" x14ac:dyDescent="0.25">
      <c r="A1116" s="155">
        <v>1</v>
      </c>
      <c r="B1116" s="129">
        <v>1503012</v>
      </c>
      <c r="C1116" s="127" t="s">
        <v>2022</v>
      </c>
      <c r="D1116" s="129" t="s">
        <v>1337</v>
      </c>
      <c r="E1116" s="147" t="s">
        <v>38</v>
      </c>
      <c r="F1116" s="129" t="s">
        <v>64</v>
      </c>
      <c r="G1116" s="147" t="s">
        <v>1731</v>
      </c>
      <c r="H1116" s="191">
        <f t="shared" si="18"/>
        <v>0</v>
      </c>
      <c r="I1116" s="225"/>
      <c r="J1116" s="149"/>
      <c r="K1116" s="147">
        <v>11</v>
      </c>
      <c r="L1116" s="147">
        <v>1</v>
      </c>
      <c r="M1116" s="147">
        <v>12</v>
      </c>
      <c r="N1116" s="289"/>
      <c r="O1116" s="196"/>
      <c r="P1116" s="180"/>
      <c r="Q1116" s="174"/>
      <c r="R1116" s="206">
        <v>0</v>
      </c>
      <c r="S1116" s="168"/>
      <c r="T1116" s="129" t="s">
        <v>64</v>
      </c>
      <c r="U1116" s="147" t="s">
        <v>37</v>
      </c>
      <c r="V1116" s="129"/>
      <c r="W1116" s="177" t="s">
        <v>2531</v>
      </c>
      <c r="X1116" s="215"/>
      <c r="Y1116" s="216">
        <v>0</v>
      </c>
      <c r="Z1116" s="216">
        <v>0</v>
      </c>
      <c r="AA1116" s="263"/>
      <c r="AB1116" s="155"/>
      <c r="AC1116" s="212"/>
    </row>
    <row r="1117" spans="1:29" hidden="1" x14ac:dyDescent="0.25">
      <c r="A1117" s="155">
        <v>1</v>
      </c>
      <c r="B1117" s="129">
        <v>1503013</v>
      </c>
      <c r="C1117" s="127" t="s">
        <v>2022</v>
      </c>
      <c r="D1117" s="127" t="s">
        <v>1338</v>
      </c>
      <c r="E1117" s="147" t="s">
        <v>38</v>
      </c>
      <c r="F1117" s="129" t="s">
        <v>1339</v>
      </c>
      <c r="G1117" s="147" t="s">
        <v>1731</v>
      </c>
      <c r="H1117" s="191">
        <f t="shared" si="18"/>
        <v>26.271874999999998</v>
      </c>
      <c r="I1117" s="134"/>
      <c r="J1117" s="150"/>
      <c r="K1117" s="147"/>
      <c r="L1117" s="147"/>
      <c r="M1117" s="147">
        <v>2</v>
      </c>
      <c r="N1117" s="289">
        <v>50</v>
      </c>
      <c r="O1117" s="196"/>
      <c r="P1117" s="180"/>
      <c r="Q1117" s="174">
        <v>26.271874999999998</v>
      </c>
      <c r="R1117" s="205">
        <v>0</v>
      </c>
      <c r="S1117" s="165"/>
      <c r="T1117" s="129" t="s">
        <v>517</v>
      </c>
      <c r="U1117" s="147" t="s">
        <v>35</v>
      </c>
      <c r="V1117" s="129"/>
      <c r="W1117" s="163" t="s">
        <v>54</v>
      </c>
      <c r="X1117" s="215"/>
      <c r="Y1117" s="216">
        <v>0</v>
      </c>
      <c r="Z1117" s="216">
        <v>0</v>
      </c>
      <c r="AA1117" s="263"/>
      <c r="AB1117" s="155"/>
      <c r="AC1117" s="212"/>
    </row>
    <row r="1118" spans="1:29" hidden="1" x14ac:dyDescent="0.25">
      <c r="A1118" s="155">
        <v>1</v>
      </c>
      <c r="B1118" s="129">
        <v>1503014</v>
      </c>
      <c r="C1118" s="127" t="s">
        <v>2022</v>
      </c>
      <c r="D1118" s="127" t="s">
        <v>1343</v>
      </c>
      <c r="E1118" s="147" t="s">
        <v>38</v>
      </c>
      <c r="F1118" s="129" t="s">
        <v>1344</v>
      </c>
      <c r="G1118" s="147" t="s">
        <v>1731</v>
      </c>
      <c r="H1118" s="191">
        <f t="shared" si="18"/>
        <v>0.11156648451730419</v>
      </c>
      <c r="I1118" s="134"/>
      <c r="J1118" s="150"/>
      <c r="K1118" s="147"/>
      <c r="L1118" s="147"/>
      <c r="M1118" s="147">
        <v>2</v>
      </c>
      <c r="N1118" s="289"/>
      <c r="O1118" s="196"/>
      <c r="P1118" s="180"/>
      <c r="Q1118" s="174">
        <v>0.11156648451730419</v>
      </c>
      <c r="R1118" s="205">
        <v>0</v>
      </c>
      <c r="S1118" s="165"/>
      <c r="T1118" s="129" t="s">
        <v>517</v>
      </c>
      <c r="U1118" s="147" t="s">
        <v>35</v>
      </c>
      <c r="V1118" s="129"/>
      <c r="W1118" s="163" t="s">
        <v>54</v>
      </c>
      <c r="X1118" s="215"/>
      <c r="Y1118" s="216">
        <v>0</v>
      </c>
      <c r="Z1118" s="216">
        <v>0</v>
      </c>
      <c r="AA1118" s="263"/>
      <c r="AB1118" s="155"/>
      <c r="AC1118" s="212"/>
    </row>
    <row r="1119" spans="1:29" hidden="1" x14ac:dyDescent="0.25">
      <c r="A1119" s="155">
        <v>1</v>
      </c>
      <c r="B1119" s="129">
        <v>1503015</v>
      </c>
      <c r="C1119" s="127" t="s">
        <v>2022</v>
      </c>
      <c r="D1119" s="127" t="s">
        <v>1345</v>
      </c>
      <c r="E1119" s="147" t="s">
        <v>38</v>
      </c>
      <c r="F1119" s="129" t="s">
        <v>1344</v>
      </c>
      <c r="G1119" s="147" t="s">
        <v>1731</v>
      </c>
      <c r="H1119" s="191">
        <f t="shared" si="18"/>
        <v>9.4869459623557986E-2</v>
      </c>
      <c r="I1119" s="134"/>
      <c r="J1119" s="150"/>
      <c r="K1119" s="147"/>
      <c r="L1119" s="147"/>
      <c r="M1119" s="147">
        <v>2</v>
      </c>
      <c r="N1119" s="289"/>
      <c r="O1119" s="196"/>
      <c r="P1119" s="180"/>
      <c r="Q1119" s="174">
        <v>9.4869459623557986E-2</v>
      </c>
      <c r="R1119" s="205">
        <v>0</v>
      </c>
      <c r="S1119" s="165"/>
      <c r="T1119" s="129" t="s">
        <v>517</v>
      </c>
      <c r="U1119" s="147" t="s">
        <v>35</v>
      </c>
      <c r="V1119" s="129"/>
      <c r="W1119" s="163" t="s">
        <v>54</v>
      </c>
      <c r="X1119" s="215"/>
      <c r="Y1119" s="216">
        <v>0</v>
      </c>
      <c r="Z1119" s="216">
        <v>0</v>
      </c>
      <c r="AA1119" s="263"/>
      <c r="AB1119" s="155"/>
      <c r="AC1119" s="212"/>
    </row>
    <row r="1120" spans="1:29" hidden="1" x14ac:dyDescent="0.25">
      <c r="A1120" s="155">
        <v>1</v>
      </c>
      <c r="B1120" s="129">
        <v>1503016</v>
      </c>
      <c r="C1120" s="127" t="s">
        <v>2022</v>
      </c>
      <c r="D1120" s="127" t="s">
        <v>1346</v>
      </c>
      <c r="E1120" s="147" t="s">
        <v>38</v>
      </c>
      <c r="F1120" s="129" t="s">
        <v>517</v>
      </c>
      <c r="G1120" s="147" t="s">
        <v>1731</v>
      </c>
      <c r="H1120" s="191">
        <f t="shared" si="18"/>
        <v>0</v>
      </c>
      <c r="I1120" s="134"/>
      <c r="J1120" s="150"/>
      <c r="K1120" s="147"/>
      <c r="L1120" s="147"/>
      <c r="M1120" s="147">
        <v>1</v>
      </c>
      <c r="N1120" s="289"/>
      <c r="O1120" s="196"/>
      <c r="P1120" s="180"/>
      <c r="Q1120" s="174"/>
      <c r="R1120" s="205"/>
      <c r="S1120" s="165"/>
      <c r="T1120" s="129" t="s">
        <v>517</v>
      </c>
      <c r="U1120" s="147" t="s">
        <v>35</v>
      </c>
      <c r="V1120" s="129"/>
      <c r="W1120" s="177" t="s">
        <v>2531</v>
      </c>
      <c r="X1120" s="215"/>
      <c r="Y1120" s="216">
        <v>0</v>
      </c>
      <c r="Z1120" s="216">
        <v>0</v>
      </c>
      <c r="AA1120" s="263"/>
      <c r="AB1120" s="155"/>
      <c r="AC1120" s="212"/>
    </row>
    <row r="1121" spans="1:29" hidden="1" x14ac:dyDescent="0.25">
      <c r="A1121" s="155">
        <v>1</v>
      </c>
      <c r="B1121" s="129">
        <v>1503017</v>
      </c>
      <c r="C1121" s="127" t="s">
        <v>2022</v>
      </c>
      <c r="D1121" s="127" t="s">
        <v>1347</v>
      </c>
      <c r="E1121" s="147" t="s">
        <v>38</v>
      </c>
      <c r="F1121" s="129" t="s">
        <v>517</v>
      </c>
      <c r="G1121" s="147" t="s">
        <v>1731</v>
      </c>
      <c r="H1121" s="191">
        <f t="shared" si="18"/>
        <v>0</v>
      </c>
      <c r="I1121" s="134"/>
      <c r="J1121" s="150"/>
      <c r="K1121" s="147"/>
      <c r="L1121" s="147"/>
      <c r="M1121" s="147">
        <v>1</v>
      </c>
      <c r="N1121" s="289"/>
      <c r="O1121" s="196"/>
      <c r="P1121" s="180"/>
      <c r="Q1121" s="174"/>
      <c r="R1121" s="205"/>
      <c r="S1121" s="165"/>
      <c r="T1121" s="129" t="s">
        <v>517</v>
      </c>
      <c r="U1121" s="147" t="s">
        <v>35</v>
      </c>
      <c r="V1121" s="129"/>
      <c r="W1121" s="177" t="s">
        <v>2531</v>
      </c>
      <c r="X1121" s="215"/>
      <c r="Y1121" s="216">
        <v>0</v>
      </c>
      <c r="Z1121" s="216">
        <v>0</v>
      </c>
      <c r="AA1121" s="263"/>
      <c r="AB1121" s="155"/>
      <c r="AC1121" s="212"/>
    </row>
    <row r="1122" spans="1:29" hidden="1" x14ac:dyDescent="0.25">
      <c r="A1122" s="155">
        <v>1</v>
      </c>
      <c r="B1122" s="129">
        <v>1503018</v>
      </c>
      <c r="C1122" s="127" t="s">
        <v>2022</v>
      </c>
      <c r="D1122" s="127" t="s">
        <v>1348</v>
      </c>
      <c r="E1122" s="147" t="s">
        <v>38</v>
      </c>
      <c r="F1122" s="129" t="s">
        <v>517</v>
      </c>
      <c r="G1122" s="147" t="s">
        <v>1731</v>
      </c>
      <c r="H1122" s="191">
        <f t="shared" si="18"/>
        <v>0</v>
      </c>
      <c r="I1122" s="134"/>
      <c r="J1122" s="150"/>
      <c r="K1122" s="147">
        <v>11</v>
      </c>
      <c r="L1122" s="147">
        <v>1</v>
      </c>
      <c r="M1122" s="147">
        <v>12</v>
      </c>
      <c r="N1122" s="289"/>
      <c r="O1122" s="196"/>
      <c r="P1122" s="180"/>
      <c r="Q1122" s="174"/>
      <c r="R1122" s="205"/>
      <c r="S1122" s="165"/>
      <c r="T1122" s="129" t="s">
        <v>517</v>
      </c>
      <c r="U1122" s="147" t="s">
        <v>37</v>
      </c>
      <c r="V1122" s="129"/>
      <c r="W1122" s="177" t="s">
        <v>2531</v>
      </c>
      <c r="X1122" s="215"/>
      <c r="Y1122" s="216">
        <v>0</v>
      </c>
      <c r="Z1122" s="216">
        <v>0</v>
      </c>
      <c r="AA1122" s="263"/>
      <c r="AB1122" s="155"/>
      <c r="AC1122" s="212"/>
    </row>
    <row r="1123" spans="1:29" s="182" customFormat="1" hidden="1" x14ac:dyDescent="0.25">
      <c r="A1123" s="155">
        <v>1</v>
      </c>
      <c r="B1123" s="129">
        <v>1503019</v>
      </c>
      <c r="C1123" s="127" t="s">
        <v>2022</v>
      </c>
      <c r="D1123" s="127" t="s">
        <v>1349</v>
      </c>
      <c r="E1123" s="147" t="s">
        <v>38</v>
      </c>
      <c r="F1123" s="129" t="s">
        <v>517</v>
      </c>
      <c r="G1123" s="147" t="s">
        <v>1731</v>
      </c>
      <c r="H1123" s="191">
        <f t="shared" si="18"/>
        <v>0</v>
      </c>
      <c r="I1123" s="134"/>
      <c r="J1123" s="150"/>
      <c r="K1123" s="147">
        <v>11</v>
      </c>
      <c r="L1123" s="147">
        <v>1</v>
      </c>
      <c r="M1123" s="147">
        <v>12</v>
      </c>
      <c r="N1123" s="289"/>
      <c r="O1123" s="196"/>
      <c r="P1123" s="180"/>
      <c r="Q1123" s="174"/>
      <c r="R1123" s="205"/>
      <c r="S1123" s="165"/>
      <c r="T1123" s="129" t="s">
        <v>517</v>
      </c>
      <c r="U1123" s="147" t="s">
        <v>37</v>
      </c>
      <c r="V1123" s="129"/>
      <c r="W1123" s="177" t="s">
        <v>2531</v>
      </c>
      <c r="X1123" s="215"/>
      <c r="Y1123" s="216">
        <v>0</v>
      </c>
      <c r="Z1123" s="216">
        <v>0</v>
      </c>
      <c r="AA1123" s="263"/>
      <c r="AB1123" s="155"/>
      <c r="AC1123" s="212"/>
    </row>
    <row r="1124" spans="1:29" s="182" customFormat="1" hidden="1" x14ac:dyDescent="0.25">
      <c r="A1124" s="155">
        <v>1</v>
      </c>
      <c r="B1124" s="129">
        <v>1503020</v>
      </c>
      <c r="C1124" s="127" t="s">
        <v>2022</v>
      </c>
      <c r="D1124" s="127" t="s">
        <v>1647</v>
      </c>
      <c r="E1124" s="147" t="s">
        <v>38</v>
      </c>
      <c r="F1124" s="129" t="s">
        <v>1649</v>
      </c>
      <c r="G1124" s="147" t="s">
        <v>1731</v>
      </c>
      <c r="H1124" s="191">
        <f t="shared" si="18"/>
        <v>10.39</v>
      </c>
      <c r="I1124" s="134" t="s">
        <v>2084</v>
      </c>
      <c r="J1124" s="146">
        <v>30</v>
      </c>
      <c r="K1124" s="147">
        <v>1</v>
      </c>
      <c r="L1124" s="147">
        <v>1</v>
      </c>
      <c r="M1124" s="147">
        <v>2</v>
      </c>
      <c r="N1124" s="289">
        <v>100</v>
      </c>
      <c r="O1124" s="196"/>
      <c r="P1124" s="180"/>
      <c r="Q1124" s="174">
        <v>10.39</v>
      </c>
      <c r="R1124" s="205">
        <v>0</v>
      </c>
      <c r="S1124" s="165"/>
      <c r="T1124" s="129" t="s">
        <v>1650</v>
      </c>
      <c r="U1124" s="147" t="s">
        <v>37</v>
      </c>
      <c r="V1124" s="129"/>
      <c r="W1124" s="177" t="s">
        <v>54</v>
      </c>
      <c r="X1124" s="215"/>
      <c r="Y1124" s="216">
        <v>0</v>
      </c>
      <c r="Z1124" s="216">
        <v>0</v>
      </c>
      <c r="AA1124" s="263"/>
      <c r="AB1124" s="155"/>
      <c r="AC1124" s="212"/>
    </row>
    <row r="1125" spans="1:29" hidden="1" x14ac:dyDescent="0.25">
      <c r="A1125" s="155">
        <v>1</v>
      </c>
      <c r="B1125" s="129">
        <v>1503021</v>
      </c>
      <c r="C1125" s="127" t="s">
        <v>2022</v>
      </c>
      <c r="D1125" s="127" t="s">
        <v>1648</v>
      </c>
      <c r="E1125" s="147" t="s">
        <v>38</v>
      </c>
      <c r="F1125" s="129" t="s">
        <v>1649</v>
      </c>
      <c r="G1125" s="147" t="s">
        <v>1731</v>
      </c>
      <c r="H1125" s="191">
        <f t="shared" si="18"/>
        <v>0.85</v>
      </c>
      <c r="I1125" s="134" t="s">
        <v>2084</v>
      </c>
      <c r="J1125" s="146">
        <v>30</v>
      </c>
      <c r="K1125" s="147">
        <v>1</v>
      </c>
      <c r="L1125" s="147">
        <v>1</v>
      </c>
      <c r="M1125" s="147">
        <v>2</v>
      </c>
      <c r="N1125" s="289">
        <v>650</v>
      </c>
      <c r="O1125" s="196"/>
      <c r="P1125" s="180"/>
      <c r="Q1125" s="174">
        <v>0.85</v>
      </c>
      <c r="R1125" s="205">
        <v>0</v>
      </c>
      <c r="S1125" s="165"/>
      <c r="T1125" s="129" t="s">
        <v>1650</v>
      </c>
      <c r="U1125" s="147" t="s">
        <v>37</v>
      </c>
      <c r="V1125" s="129"/>
      <c r="W1125" s="177" t="s">
        <v>54</v>
      </c>
      <c r="X1125" s="215"/>
      <c r="Y1125" s="216">
        <v>0</v>
      </c>
      <c r="Z1125" s="216">
        <v>0</v>
      </c>
      <c r="AA1125" s="263"/>
      <c r="AB1125" s="155"/>
      <c r="AC1125" s="212"/>
    </row>
    <row r="1126" spans="1:29" hidden="1" x14ac:dyDescent="0.25">
      <c r="A1126" s="155"/>
      <c r="B1126" s="143">
        <v>1503022</v>
      </c>
      <c r="C1126" s="127" t="s">
        <v>2022</v>
      </c>
      <c r="D1126" s="137" t="s">
        <v>1726</v>
      </c>
      <c r="E1126" s="147" t="s">
        <v>38</v>
      </c>
      <c r="F1126" s="129" t="s">
        <v>2465</v>
      </c>
      <c r="G1126" s="147" t="s">
        <v>1731</v>
      </c>
      <c r="H1126" s="191">
        <f t="shared" si="18"/>
        <v>0</v>
      </c>
      <c r="I1126" s="181" t="s">
        <v>2218</v>
      </c>
      <c r="J1126" s="148">
        <v>60</v>
      </c>
      <c r="K1126" s="147">
        <v>1</v>
      </c>
      <c r="L1126" s="147">
        <v>1</v>
      </c>
      <c r="M1126" s="147">
        <v>2</v>
      </c>
      <c r="N1126" s="289"/>
      <c r="O1126" s="195"/>
      <c r="P1126" s="180"/>
      <c r="Q1126" s="174"/>
      <c r="R1126" s="205">
        <v>0</v>
      </c>
      <c r="S1126" s="168"/>
      <c r="T1126" s="129" t="s">
        <v>1852</v>
      </c>
      <c r="U1126" s="147" t="s">
        <v>35</v>
      </c>
      <c r="V1126" s="129"/>
      <c r="W1126" s="147" t="s">
        <v>2464</v>
      </c>
      <c r="X1126" s="215" t="s">
        <v>1906</v>
      </c>
      <c r="Y1126" s="216">
        <v>0</v>
      </c>
      <c r="Z1126" s="216">
        <v>0</v>
      </c>
      <c r="AA1126" s="263"/>
      <c r="AB1126" s="305"/>
    </row>
    <row r="1127" spans="1:29" hidden="1" x14ac:dyDescent="0.25">
      <c r="A1127" s="155"/>
      <c r="B1127" s="143">
        <v>1503023</v>
      </c>
      <c r="C1127" s="127" t="s">
        <v>2022</v>
      </c>
      <c r="D1127" s="137" t="s">
        <v>1728</v>
      </c>
      <c r="E1127" s="147" t="s">
        <v>38</v>
      </c>
      <c r="F1127" s="129" t="s">
        <v>2465</v>
      </c>
      <c r="G1127" s="147" t="s">
        <v>1731</v>
      </c>
      <c r="H1127" s="191">
        <f t="shared" si="18"/>
        <v>0</v>
      </c>
      <c r="I1127" s="181" t="s">
        <v>2218</v>
      </c>
      <c r="J1127" s="148">
        <v>60</v>
      </c>
      <c r="K1127" s="147">
        <v>1</v>
      </c>
      <c r="L1127" s="147">
        <v>1</v>
      </c>
      <c r="M1127" s="147">
        <v>2</v>
      </c>
      <c r="N1127" s="289"/>
      <c r="O1127" s="195"/>
      <c r="P1127" s="180"/>
      <c r="Q1127" s="174"/>
      <c r="R1127" s="205">
        <v>0</v>
      </c>
      <c r="S1127" s="168"/>
      <c r="T1127" s="129" t="s">
        <v>1852</v>
      </c>
      <c r="U1127" s="147" t="s">
        <v>35</v>
      </c>
      <c r="V1127" s="129"/>
      <c r="W1127" s="147" t="s">
        <v>2464</v>
      </c>
      <c r="X1127" s="215" t="s">
        <v>1906</v>
      </c>
      <c r="Y1127" s="216">
        <v>0</v>
      </c>
      <c r="Z1127" s="216">
        <v>0</v>
      </c>
      <c r="AA1127" s="263"/>
      <c r="AB1127" s="305"/>
    </row>
    <row r="1128" spans="1:29" hidden="1" x14ac:dyDescent="0.25">
      <c r="A1128" s="155"/>
      <c r="B1128" s="136">
        <v>1503024</v>
      </c>
      <c r="C1128" s="127" t="s">
        <v>2022</v>
      </c>
      <c r="D1128" s="127" t="s">
        <v>2012</v>
      </c>
      <c r="E1128" s="147" t="s">
        <v>38</v>
      </c>
      <c r="F1128" s="129" t="s">
        <v>2465</v>
      </c>
      <c r="G1128" s="147" t="s">
        <v>1731</v>
      </c>
      <c r="H1128" s="191">
        <f t="shared" si="18"/>
        <v>0</v>
      </c>
      <c r="I1128" s="181" t="s">
        <v>2218</v>
      </c>
      <c r="J1128" s="148">
        <v>60</v>
      </c>
      <c r="K1128" s="147">
        <v>1</v>
      </c>
      <c r="L1128" s="147">
        <v>1</v>
      </c>
      <c r="M1128" s="147">
        <v>2</v>
      </c>
      <c r="N1128" s="289"/>
      <c r="O1128" s="195"/>
      <c r="P1128" s="180"/>
      <c r="Q1128" s="174"/>
      <c r="R1128" s="205"/>
      <c r="S1128" s="147"/>
      <c r="T1128" s="129" t="s">
        <v>1852</v>
      </c>
      <c r="U1128" s="147" t="s">
        <v>35</v>
      </c>
      <c r="V1128" s="129"/>
      <c r="W1128" s="147" t="s">
        <v>2464</v>
      </c>
      <c r="X1128" s="215" t="s">
        <v>1906</v>
      </c>
      <c r="Y1128" s="216">
        <v>0</v>
      </c>
      <c r="Z1128" s="216">
        <v>0</v>
      </c>
      <c r="AA1128" s="263"/>
      <c r="AB1128" s="305"/>
    </row>
    <row r="1129" spans="1:29" s="182" customFormat="1" hidden="1" x14ac:dyDescent="0.25">
      <c r="A1129" s="155">
        <v>1</v>
      </c>
      <c r="B1129" s="129">
        <v>1503100</v>
      </c>
      <c r="C1129" s="127" t="s">
        <v>2022</v>
      </c>
      <c r="D1129" s="127" t="s">
        <v>1350</v>
      </c>
      <c r="E1129" s="147" t="s">
        <v>38</v>
      </c>
      <c r="F1129" s="129" t="s">
        <v>58</v>
      </c>
      <c r="G1129" s="147" t="s">
        <v>1731</v>
      </c>
      <c r="H1129" s="191">
        <f t="shared" si="18"/>
        <v>0</v>
      </c>
      <c r="I1129" s="134"/>
      <c r="J1129" s="150"/>
      <c r="K1129" s="147">
        <v>11</v>
      </c>
      <c r="L1129" s="147">
        <v>1</v>
      </c>
      <c r="M1129" s="147">
        <v>12</v>
      </c>
      <c r="N1129" s="289"/>
      <c r="O1129" s="196"/>
      <c r="P1129" s="180"/>
      <c r="Q1129" s="174"/>
      <c r="R1129" s="205">
        <v>0</v>
      </c>
      <c r="S1129" s="165"/>
      <c r="T1129" s="129" t="s">
        <v>58</v>
      </c>
      <c r="U1129" s="147" t="s">
        <v>35</v>
      </c>
      <c r="V1129" s="129"/>
      <c r="W1129" s="163" t="s">
        <v>2531</v>
      </c>
      <c r="X1129" s="215"/>
      <c r="Y1129" s="216">
        <v>0</v>
      </c>
      <c r="Z1129" s="216">
        <v>0</v>
      </c>
      <c r="AA1129" s="263"/>
      <c r="AB1129" s="155"/>
      <c r="AC1129" s="212"/>
    </row>
    <row r="1130" spans="1:29" hidden="1" x14ac:dyDescent="0.25">
      <c r="A1130" s="155">
        <v>1</v>
      </c>
      <c r="B1130" s="129">
        <v>1503101</v>
      </c>
      <c r="C1130" s="127" t="s">
        <v>2022</v>
      </c>
      <c r="D1130" s="127" t="s">
        <v>1353</v>
      </c>
      <c r="E1130" s="147" t="s">
        <v>38</v>
      </c>
      <c r="F1130" s="129" t="s">
        <v>1325</v>
      </c>
      <c r="G1130" s="147" t="s">
        <v>1731</v>
      </c>
      <c r="H1130" s="191">
        <f t="shared" si="18"/>
        <v>1.45</v>
      </c>
      <c r="I1130" s="134"/>
      <c r="J1130" s="150"/>
      <c r="K1130" s="147"/>
      <c r="L1130" s="147"/>
      <c r="M1130" s="147">
        <v>2</v>
      </c>
      <c r="N1130" s="289"/>
      <c r="O1130" s="196"/>
      <c r="P1130" s="180"/>
      <c r="Q1130" s="174">
        <v>1.45</v>
      </c>
      <c r="R1130" s="205">
        <v>0</v>
      </c>
      <c r="S1130" s="165" t="s">
        <v>35</v>
      </c>
      <c r="T1130" s="129" t="s">
        <v>189</v>
      </c>
      <c r="U1130" s="147" t="s">
        <v>37</v>
      </c>
      <c r="V1130" s="129"/>
      <c r="W1130" s="147" t="s">
        <v>2214</v>
      </c>
      <c r="X1130" s="215"/>
      <c r="Y1130" s="216">
        <v>0</v>
      </c>
      <c r="Z1130" s="216">
        <v>0</v>
      </c>
      <c r="AA1130" s="263"/>
      <c r="AB1130" s="155"/>
      <c r="AC1130" s="212"/>
    </row>
    <row r="1131" spans="1:29" s="182" customFormat="1" hidden="1" x14ac:dyDescent="0.25">
      <c r="A1131" s="155">
        <v>1</v>
      </c>
      <c r="B1131" s="129">
        <v>1503102</v>
      </c>
      <c r="C1131" s="127" t="s">
        <v>2022</v>
      </c>
      <c r="D1131" s="127" t="s">
        <v>1525</v>
      </c>
      <c r="E1131" s="147" t="s">
        <v>38</v>
      </c>
      <c r="F1131" s="129" t="s">
        <v>102</v>
      </c>
      <c r="G1131" s="147" t="s">
        <v>1731</v>
      </c>
      <c r="H1131" s="191">
        <f t="shared" si="18"/>
        <v>0</v>
      </c>
      <c r="I1131" s="181" t="s">
        <v>2218</v>
      </c>
      <c r="J1131" s="150"/>
      <c r="K1131" s="147">
        <v>1</v>
      </c>
      <c r="L1131" s="147">
        <v>1</v>
      </c>
      <c r="M1131" s="147">
        <v>2</v>
      </c>
      <c r="N1131" s="289"/>
      <c r="O1131" s="196"/>
      <c r="P1131" s="180"/>
      <c r="Q1131" s="174"/>
      <c r="R1131" s="205"/>
      <c r="S1131" s="165"/>
      <c r="T1131" s="129" t="s">
        <v>102</v>
      </c>
      <c r="U1131" s="147" t="s">
        <v>35</v>
      </c>
      <c r="V1131" s="129"/>
      <c r="W1131" s="177" t="s">
        <v>2531</v>
      </c>
      <c r="X1131" s="215"/>
      <c r="Y1131" s="216">
        <v>0</v>
      </c>
      <c r="Z1131" s="216">
        <v>0</v>
      </c>
      <c r="AA1131" s="263"/>
      <c r="AB1131" s="155"/>
      <c r="AC1131" s="212"/>
    </row>
    <row r="1132" spans="1:29" hidden="1" x14ac:dyDescent="0.25">
      <c r="A1132" s="155">
        <v>1</v>
      </c>
      <c r="B1132" s="129">
        <v>1503103</v>
      </c>
      <c r="C1132" s="127" t="s">
        <v>2022</v>
      </c>
      <c r="D1132" s="127" t="s">
        <v>1527</v>
      </c>
      <c r="E1132" s="147" t="s">
        <v>38</v>
      </c>
      <c r="F1132" s="129" t="s">
        <v>370</v>
      </c>
      <c r="G1132" s="147" t="s">
        <v>1731</v>
      </c>
      <c r="H1132" s="191">
        <f t="shared" si="18"/>
        <v>0</v>
      </c>
      <c r="I1132" s="134"/>
      <c r="J1132" s="150"/>
      <c r="K1132" s="147">
        <v>11</v>
      </c>
      <c r="L1132" s="147">
        <v>1</v>
      </c>
      <c r="M1132" s="147">
        <v>12</v>
      </c>
      <c r="N1132" s="289"/>
      <c r="O1132" s="196"/>
      <c r="P1132" s="180"/>
      <c r="Q1132" s="174"/>
      <c r="R1132" s="205"/>
      <c r="S1132" s="165"/>
      <c r="T1132" s="129" t="s">
        <v>102</v>
      </c>
      <c r="U1132" s="147" t="s">
        <v>35</v>
      </c>
      <c r="V1132" s="129"/>
      <c r="W1132" s="147" t="s">
        <v>2214</v>
      </c>
      <c r="X1132" s="215"/>
      <c r="Y1132" s="216">
        <v>0</v>
      </c>
      <c r="Z1132" s="216">
        <v>0</v>
      </c>
      <c r="AA1132" s="263"/>
      <c r="AB1132" s="155"/>
      <c r="AC1132" s="212"/>
    </row>
    <row r="1133" spans="1:29" hidden="1" x14ac:dyDescent="0.25">
      <c r="A1133" s="155">
        <v>1</v>
      </c>
      <c r="B1133" s="129">
        <v>1503104</v>
      </c>
      <c r="C1133" s="127" t="s">
        <v>2022</v>
      </c>
      <c r="D1133" s="127" t="s">
        <v>1553</v>
      </c>
      <c r="E1133" s="147" t="s">
        <v>38</v>
      </c>
      <c r="F1133" s="129" t="s">
        <v>102</v>
      </c>
      <c r="G1133" s="147" t="s">
        <v>1731</v>
      </c>
      <c r="H1133" s="191">
        <f t="shared" si="18"/>
        <v>0</v>
      </c>
      <c r="I1133" s="181" t="s">
        <v>2218</v>
      </c>
      <c r="J1133" s="150"/>
      <c r="K1133" s="147">
        <v>1</v>
      </c>
      <c r="L1133" s="147">
        <v>1</v>
      </c>
      <c r="M1133" s="147">
        <v>2</v>
      </c>
      <c r="N1133" s="289"/>
      <c r="O1133" s="196"/>
      <c r="P1133" s="180"/>
      <c r="Q1133" s="174"/>
      <c r="R1133" s="205"/>
      <c r="S1133" s="165"/>
      <c r="T1133" s="129" t="s">
        <v>102</v>
      </c>
      <c r="U1133" s="147" t="s">
        <v>35</v>
      </c>
      <c r="V1133" s="129"/>
      <c r="W1133" s="177" t="s">
        <v>2531</v>
      </c>
      <c r="X1133" s="215"/>
      <c r="Y1133" s="216">
        <v>0</v>
      </c>
      <c r="Z1133" s="216">
        <v>0</v>
      </c>
      <c r="AA1133" s="263"/>
      <c r="AB1133" s="155"/>
      <c r="AC1133" s="212"/>
    </row>
    <row r="1134" spans="1:29" hidden="1" x14ac:dyDescent="0.25">
      <c r="A1134" s="155">
        <v>1</v>
      </c>
      <c r="B1134" s="129">
        <v>1503105</v>
      </c>
      <c r="C1134" s="127" t="s">
        <v>2022</v>
      </c>
      <c r="D1134" s="127" t="s">
        <v>1626</v>
      </c>
      <c r="E1134" s="147" t="s">
        <v>38</v>
      </c>
      <c r="F1134" s="129" t="s">
        <v>1625</v>
      </c>
      <c r="G1134" s="147" t="s">
        <v>1731</v>
      </c>
      <c r="H1134" s="191">
        <f t="shared" si="18"/>
        <v>0</v>
      </c>
      <c r="I1134" s="181" t="s">
        <v>2218</v>
      </c>
      <c r="J1134" s="150"/>
      <c r="K1134" s="147">
        <v>11</v>
      </c>
      <c r="L1134" s="147">
        <v>1</v>
      </c>
      <c r="M1134" s="147">
        <v>12</v>
      </c>
      <c r="N1134" s="289"/>
      <c r="O1134" s="196"/>
      <c r="P1134" s="180"/>
      <c r="Q1134" s="174"/>
      <c r="R1134" s="205"/>
      <c r="S1134" s="165"/>
      <c r="T1134" s="129" t="s">
        <v>1625</v>
      </c>
      <c r="U1134" s="147" t="s">
        <v>37</v>
      </c>
      <c r="V1134" s="129"/>
      <c r="W1134" s="163" t="s">
        <v>2531</v>
      </c>
      <c r="X1134" s="215"/>
      <c r="Y1134" s="216">
        <v>0</v>
      </c>
      <c r="Z1134" s="216">
        <v>0</v>
      </c>
      <c r="AA1134" s="263"/>
      <c r="AB1134" s="155"/>
      <c r="AC1134" s="212"/>
    </row>
    <row r="1135" spans="1:29" s="182" customFormat="1" hidden="1" x14ac:dyDescent="0.25">
      <c r="A1135" s="155"/>
      <c r="B1135" s="129">
        <v>1503106</v>
      </c>
      <c r="C1135" s="127" t="s">
        <v>2022</v>
      </c>
      <c r="D1135" s="127" t="s">
        <v>1662</v>
      </c>
      <c r="E1135" s="147" t="s">
        <v>38</v>
      </c>
      <c r="F1135" s="129" t="s">
        <v>1703</v>
      </c>
      <c r="G1135" s="147" t="s">
        <v>1731</v>
      </c>
      <c r="H1135" s="191">
        <f t="shared" si="18"/>
        <v>0</v>
      </c>
      <c r="I1135" s="181" t="s">
        <v>2218</v>
      </c>
      <c r="J1135" s="150"/>
      <c r="K1135" s="147">
        <v>1</v>
      </c>
      <c r="L1135" s="147">
        <v>1</v>
      </c>
      <c r="M1135" s="147">
        <v>2</v>
      </c>
      <c r="N1135" s="289"/>
      <c r="O1135" s="196"/>
      <c r="P1135" s="180"/>
      <c r="Q1135" s="174"/>
      <c r="R1135" s="205"/>
      <c r="S1135" s="147"/>
      <c r="T1135" s="129" t="s">
        <v>1703</v>
      </c>
      <c r="U1135" s="147" t="s">
        <v>37</v>
      </c>
      <c r="V1135" s="129"/>
      <c r="W1135" s="147" t="s">
        <v>2464</v>
      </c>
      <c r="X1135" s="215"/>
      <c r="Y1135" s="216">
        <v>0</v>
      </c>
      <c r="Z1135" s="216">
        <v>0</v>
      </c>
      <c r="AA1135" s="263"/>
      <c r="AB1135" s="305"/>
      <c r="AC1135" s="214"/>
    </row>
    <row r="1136" spans="1:29" hidden="1" x14ac:dyDescent="0.25">
      <c r="A1136" s="155"/>
      <c r="B1136" s="129">
        <v>1503107</v>
      </c>
      <c r="C1136" s="127" t="s">
        <v>2022</v>
      </c>
      <c r="D1136" s="127" t="s">
        <v>1663</v>
      </c>
      <c r="E1136" s="147" t="s">
        <v>38</v>
      </c>
      <c r="F1136" s="129" t="s">
        <v>1703</v>
      </c>
      <c r="G1136" s="147" t="s">
        <v>1731</v>
      </c>
      <c r="H1136" s="191">
        <f t="shared" si="18"/>
        <v>0</v>
      </c>
      <c r="I1136" s="181" t="s">
        <v>2218</v>
      </c>
      <c r="J1136" s="150"/>
      <c r="K1136" s="147">
        <v>1</v>
      </c>
      <c r="L1136" s="147">
        <v>1</v>
      </c>
      <c r="M1136" s="147">
        <v>2</v>
      </c>
      <c r="N1136" s="289"/>
      <c r="O1136" s="196"/>
      <c r="P1136" s="180"/>
      <c r="Q1136" s="174"/>
      <c r="R1136" s="205"/>
      <c r="S1136" s="147"/>
      <c r="T1136" s="129" t="s">
        <v>1703</v>
      </c>
      <c r="U1136" s="147" t="s">
        <v>37</v>
      </c>
      <c r="V1136" s="129"/>
      <c r="W1136" s="147" t="s">
        <v>2464</v>
      </c>
      <c r="X1136" s="215"/>
      <c r="Y1136" s="216">
        <v>0</v>
      </c>
      <c r="Z1136" s="216">
        <v>0</v>
      </c>
      <c r="AA1136" s="263"/>
      <c r="AB1136" s="305"/>
    </row>
    <row r="1137" spans="1:29" s="182" customFormat="1" hidden="1" x14ac:dyDescent="0.25">
      <c r="A1137" s="155"/>
      <c r="B1137" s="129">
        <v>1503108</v>
      </c>
      <c r="C1137" s="127" t="s">
        <v>2022</v>
      </c>
      <c r="D1137" s="127" t="s">
        <v>1664</v>
      </c>
      <c r="E1137" s="147" t="s">
        <v>38</v>
      </c>
      <c r="F1137" s="129" t="s">
        <v>1703</v>
      </c>
      <c r="G1137" s="147" t="s">
        <v>1731</v>
      </c>
      <c r="H1137" s="191">
        <f t="shared" si="18"/>
        <v>0</v>
      </c>
      <c r="I1137" s="181" t="s">
        <v>2218</v>
      </c>
      <c r="J1137" s="150"/>
      <c r="K1137" s="147">
        <v>1</v>
      </c>
      <c r="L1137" s="147">
        <v>1</v>
      </c>
      <c r="M1137" s="147">
        <v>2</v>
      </c>
      <c r="N1137" s="289"/>
      <c r="O1137" s="196"/>
      <c r="P1137" s="180"/>
      <c r="Q1137" s="174"/>
      <c r="R1137" s="205"/>
      <c r="S1137" s="147"/>
      <c r="T1137" s="129" t="s">
        <v>1703</v>
      </c>
      <c r="U1137" s="147" t="s">
        <v>37</v>
      </c>
      <c r="V1137" s="129"/>
      <c r="W1137" s="147" t="s">
        <v>2464</v>
      </c>
      <c r="X1137" s="215"/>
      <c r="Y1137" s="216">
        <v>0</v>
      </c>
      <c r="Z1137" s="216">
        <v>0</v>
      </c>
      <c r="AA1137" s="263"/>
      <c r="AB1137" s="305"/>
      <c r="AC1137" s="214"/>
    </row>
    <row r="1138" spans="1:29" s="182" customFormat="1" hidden="1" x14ac:dyDescent="0.25">
      <c r="A1138" s="155"/>
      <c r="B1138" s="129">
        <v>1503109</v>
      </c>
      <c r="C1138" s="127" t="s">
        <v>2022</v>
      </c>
      <c r="D1138" s="127" t="s">
        <v>1665</v>
      </c>
      <c r="E1138" s="147" t="s">
        <v>38</v>
      </c>
      <c r="F1138" s="129" t="s">
        <v>1703</v>
      </c>
      <c r="G1138" s="147" t="s">
        <v>1731</v>
      </c>
      <c r="H1138" s="191">
        <f t="shared" si="18"/>
        <v>0</v>
      </c>
      <c r="I1138" s="181" t="s">
        <v>2218</v>
      </c>
      <c r="J1138" s="150"/>
      <c r="K1138" s="147">
        <v>1</v>
      </c>
      <c r="L1138" s="147">
        <v>1</v>
      </c>
      <c r="M1138" s="147">
        <v>2</v>
      </c>
      <c r="N1138" s="289"/>
      <c r="O1138" s="196"/>
      <c r="P1138" s="180"/>
      <c r="Q1138" s="174"/>
      <c r="R1138" s="205"/>
      <c r="S1138" s="147"/>
      <c r="T1138" s="129" t="s">
        <v>1703</v>
      </c>
      <c r="U1138" s="147" t="s">
        <v>37</v>
      </c>
      <c r="V1138" s="129"/>
      <c r="W1138" s="147" t="s">
        <v>2464</v>
      </c>
      <c r="X1138" s="215"/>
      <c r="Y1138" s="216">
        <v>0</v>
      </c>
      <c r="Z1138" s="216">
        <v>0</v>
      </c>
      <c r="AA1138" s="263"/>
      <c r="AB1138" s="305"/>
      <c r="AC1138" s="214"/>
    </row>
    <row r="1139" spans="1:29" hidden="1" x14ac:dyDescent="0.25">
      <c r="A1139" s="155"/>
      <c r="B1139" s="129">
        <v>1503110</v>
      </c>
      <c r="C1139" s="127" t="s">
        <v>2022</v>
      </c>
      <c r="D1139" s="127" t="s">
        <v>1666</v>
      </c>
      <c r="E1139" s="147" t="s">
        <v>38</v>
      </c>
      <c r="F1139" s="129" t="s">
        <v>1703</v>
      </c>
      <c r="G1139" s="147" t="s">
        <v>1731</v>
      </c>
      <c r="H1139" s="191">
        <f t="shared" si="18"/>
        <v>0</v>
      </c>
      <c r="I1139" s="181" t="s">
        <v>2218</v>
      </c>
      <c r="J1139" s="150"/>
      <c r="K1139" s="147">
        <v>1</v>
      </c>
      <c r="L1139" s="147">
        <v>1</v>
      </c>
      <c r="M1139" s="147">
        <v>2</v>
      </c>
      <c r="N1139" s="289"/>
      <c r="O1139" s="196"/>
      <c r="P1139" s="180"/>
      <c r="Q1139" s="174"/>
      <c r="R1139" s="205"/>
      <c r="S1139" s="147"/>
      <c r="T1139" s="129" t="s">
        <v>1703</v>
      </c>
      <c r="U1139" s="147" t="s">
        <v>37</v>
      </c>
      <c r="V1139" s="129"/>
      <c r="W1139" s="147" t="s">
        <v>2464</v>
      </c>
      <c r="X1139" s="215"/>
      <c r="Y1139" s="216">
        <v>0</v>
      </c>
      <c r="Z1139" s="216">
        <v>0</v>
      </c>
      <c r="AA1139" s="263"/>
      <c r="AB1139" s="305"/>
    </row>
    <row r="1140" spans="1:29" hidden="1" x14ac:dyDescent="0.25">
      <c r="A1140" s="155"/>
      <c r="B1140" s="136">
        <v>1503111</v>
      </c>
      <c r="C1140" s="127" t="s">
        <v>2022</v>
      </c>
      <c r="D1140" s="127" t="s">
        <v>2013</v>
      </c>
      <c r="E1140" s="147" t="s">
        <v>38</v>
      </c>
      <c r="F1140" s="129" t="s">
        <v>2465</v>
      </c>
      <c r="G1140" s="147" t="s">
        <v>1731</v>
      </c>
      <c r="H1140" s="191">
        <f t="shared" si="18"/>
        <v>0</v>
      </c>
      <c r="I1140" s="181" t="s">
        <v>2218</v>
      </c>
      <c r="J1140" s="148">
        <v>60</v>
      </c>
      <c r="K1140" s="147">
        <v>1</v>
      </c>
      <c r="L1140" s="147">
        <v>1</v>
      </c>
      <c r="M1140" s="147">
        <v>2</v>
      </c>
      <c r="N1140" s="289"/>
      <c r="O1140" s="195"/>
      <c r="P1140" s="180"/>
      <c r="Q1140" s="174"/>
      <c r="R1140" s="205"/>
      <c r="S1140" s="147"/>
      <c r="T1140" s="129" t="s">
        <v>1852</v>
      </c>
      <c r="U1140" s="147" t="s">
        <v>35</v>
      </c>
      <c r="V1140" s="129"/>
      <c r="W1140" s="147" t="s">
        <v>2464</v>
      </c>
      <c r="X1140" s="215" t="s">
        <v>1906</v>
      </c>
      <c r="Y1140" s="216">
        <v>0</v>
      </c>
      <c r="Z1140" s="216">
        <v>0</v>
      </c>
      <c r="AA1140" s="263"/>
      <c r="AB1140" s="305"/>
    </row>
    <row r="1141" spans="1:29" hidden="1" x14ac:dyDescent="0.25">
      <c r="A1141" s="155">
        <v>1</v>
      </c>
      <c r="B1141" s="136">
        <v>1504001</v>
      </c>
      <c r="C1141" s="127" t="s">
        <v>2022</v>
      </c>
      <c r="D1141" s="320" t="s">
        <v>1354</v>
      </c>
      <c r="E1141" s="147" t="s">
        <v>38</v>
      </c>
      <c r="F1141" s="138" t="s">
        <v>57</v>
      </c>
      <c r="G1141" s="147" t="s">
        <v>1731</v>
      </c>
      <c r="H1141" s="191">
        <f t="shared" si="18"/>
        <v>0</v>
      </c>
      <c r="I1141" s="225"/>
      <c r="J1141" s="149"/>
      <c r="K1141" s="147">
        <v>12</v>
      </c>
      <c r="L1141" s="147">
        <v>1</v>
      </c>
      <c r="M1141" s="147">
        <v>13</v>
      </c>
      <c r="N1141" s="289"/>
      <c r="O1141" s="196"/>
      <c r="P1141" s="180"/>
      <c r="Q1141" s="174"/>
      <c r="R1141" s="206">
        <v>0</v>
      </c>
      <c r="S1141" s="168"/>
      <c r="T1141" s="138" t="s">
        <v>57</v>
      </c>
      <c r="U1141" s="147" t="s">
        <v>37</v>
      </c>
      <c r="V1141" s="129"/>
      <c r="W1141" s="163" t="s">
        <v>54</v>
      </c>
      <c r="X1141" s="215"/>
      <c r="Y1141" s="216">
        <v>0</v>
      </c>
      <c r="Z1141" s="216">
        <v>0</v>
      </c>
      <c r="AA1141" s="263"/>
      <c r="AB1141" s="155"/>
      <c r="AC1141" s="212"/>
    </row>
    <row r="1142" spans="1:29" hidden="1" x14ac:dyDescent="0.25">
      <c r="A1142" s="155">
        <v>1</v>
      </c>
      <c r="B1142" s="129">
        <v>1504002</v>
      </c>
      <c r="C1142" s="127" t="s">
        <v>956</v>
      </c>
      <c r="D1142" s="127" t="s">
        <v>1355</v>
      </c>
      <c r="E1142" s="147" t="s">
        <v>38</v>
      </c>
      <c r="F1142" s="138" t="s">
        <v>57</v>
      </c>
      <c r="G1142" s="147" t="s">
        <v>1731</v>
      </c>
      <c r="H1142" s="191">
        <f t="shared" si="18"/>
        <v>0</v>
      </c>
      <c r="I1142" s="225"/>
      <c r="J1142" s="149"/>
      <c r="K1142" s="147">
        <v>12</v>
      </c>
      <c r="L1142" s="147">
        <v>1</v>
      </c>
      <c r="M1142" s="147">
        <v>13</v>
      </c>
      <c r="N1142" s="289"/>
      <c r="O1142" s="196"/>
      <c r="P1142" s="180"/>
      <c r="Q1142" s="174"/>
      <c r="R1142" s="206">
        <v>0</v>
      </c>
      <c r="S1142" s="168"/>
      <c r="T1142" s="129" t="s">
        <v>55</v>
      </c>
      <c r="U1142" s="147" t="s">
        <v>37</v>
      </c>
      <c r="V1142" s="129"/>
      <c r="W1142" s="163" t="s">
        <v>54</v>
      </c>
      <c r="X1142" s="215"/>
      <c r="Y1142" s="216">
        <v>0</v>
      </c>
      <c r="Z1142" s="216">
        <v>0</v>
      </c>
      <c r="AA1142" s="263"/>
      <c r="AB1142" s="155"/>
      <c r="AC1142" s="212"/>
    </row>
    <row r="1143" spans="1:29" s="182" customFormat="1" hidden="1" x14ac:dyDescent="0.25">
      <c r="A1143" s="155">
        <v>1</v>
      </c>
      <c r="B1143" s="129">
        <v>1504003</v>
      </c>
      <c r="C1143" s="127" t="s">
        <v>956</v>
      </c>
      <c r="D1143" s="127" t="s">
        <v>1356</v>
      </c>
      <c r="E1143" s="147" t="s">
        <v>38</v>
      </c>
      <c r="F1143" s="138" t="s">
        <v>57</v>
      </c>
      <c r="G1143" s="147" t="s">
        <v>1731</v>
      </c>
      <c r="H1143" s="191">
        <f t="shared" si="18"/>
        <v>0</v>
      </c>
      <c r="I1143" s="225"/>
      <c r="J1143" s="149"/>
      <c r="K1143" s="147">
        <v>12</v>
      </c>
      <c r="L1143" s="147">
        <v>1</v>
      </c>
      <c r="M1143" s="147">
        <v>13</v>
      </c>
      <c r="N1143" s="289"/>
      <c r="O1143" s="196"/>
      <c r="P1143" s="180"/>
      <c r="Q1143" s="174"/>
      <c r="R1143" s="206">
        <v>0</v>
      </c>
      <c r="S1143" s="168"/>
      <c r="T1143" s="129" t="s">
        <v>55</v>
      </c>
      <c r="U1143" s="147" t="s">
        <v>37</v>
      </c>
      <c r="V1143" s="129"/>
      <c r="W1143" s="163" t="s">
        <v>54</v>
      </c>
      <c r="X1143" s="215"/>
      <c r="Y1143" s="216">
        <v>0</v>
      </c>
      <c r="Z1143" s="216">
        <v>0</v>
      </c>
      <c r="AA1143" s="263"/>
      <c r="AB1143" s="155"/>
      <c r="AC1143" s="212"/>
    </row>
    <row r="1144" spans="1:29" s="182" customFormat="1" hidden="1" x14ac:dyDescent="0.25">
      <c r="A1144" s="155">
        <v>1</v>
      </c>
      <c r="B1144" s="136">
        <v>1504004</v>
      </c>
      <c r="C1144" s="127" t="s">
        <v>956</v>
      </c>
      <c r="D1144" s="127" t="s">
        <v>1357</v>
      </c>
      <c r="E1144" s="147" t="s">
        <v>38</v>
      </c>
      <c r="F1144" s="138" t="s">
        <v>57</v>
      </c>
      <c r="G1144" s="147" t="s">
        <v>1731</v>
      </c>
      <c r="H1144" s="191">
        <f t="shared" si="18"/>
        <v>0</v>
      </c>
      <c r="I1144" s="225"/>
      <c r="J1144" s="149"/>
      <c r="K1144" s="147">
        <v>12</v>
      </c>
      <c r="L1144" s="147">
        <v>1</v>
      </c>
      <c r="M1144" s="147">
        <v>13</v>
      </c>
      <c r="N1144" s="289"/>
      <c r="O1144" s="196"/>
      <c r="P1144" s="180"/>
      <c r="Q1144" s="174"/>
      <c r="R1144" s="206">
        <v>0</v>
      </c>
      <c r="S1144" s="168"/>
      <c r="T1144" s="138" t="s">
        <v>57</v>
      </c>
      <c r="U1144" s="147" t="s">
        <v>37</v>
      </c>
      <c r="V1144" s="129"/>
      <c r="W1144" s="163" t="s">
        <v>54</v>
      </c>
      <c r="X1144" s="215"/>
      <c r="Y1144" s="216">
        <v>0</v>
      </c>
      <c r="Z1144" s="216">
        <v>0</v>
      </c>
      <c r="AA1144" s="263"/>
      <c r="AB1144" s="155"/>
      <c r="AC1144" s="212"/>
    </row>
    <row r="1145" spans="1:29" s="182" customFormat="1" hidden="1" x14ac:dyDescent="0.25">
      <c r="A1145" s="155">
        <v>1</v>
      </c>
      <c r="B1145" s="129">
        <v>1504005</v>
      </c>
      <c r="C1145" s="127" t="s">
        <v>956</v>
      </c>
      <c r="D1145" s="127" t="s">
        <v>1358</v>
      </c>
      <c r="E1145" s="147" t="s">
        <v>38</v>
      </c>
      <c r="F1145" s="138" t="s">
        <v>57</v>
      </c>
      <c r="G1145" s="147" t="s">
        <v>1731</v>
      </c>
      <c r="H1145" s="191">
        <f t="shared" ref="H1145:H1208" si="19">Q1145+R1145</f>
        <v>0</v>
      </c>
      <c r="I1145" s="225"/>
      <c r="J1145" s="149"/>
      <c r="K1145" s="147">
        <v>12</v>
      </c>
      <c r="L1145" s="147">
        <v>1</v>
      </c>
      <c r="M1145" s="147">
        <v>13</v>
      </c>
      <c r="N1145" s="289"/>
      <c r="O1145" s="196"/>
      <c r="P1145" s="180"/>
      <c r="Q1145" s="174"/>
      <c r="R1145" s="206">
        <v>0</v>
      </c>
      <c r="S1145" s="168"/>
      <c r="T1145" s="129" t="s">
        <v>55</v>
      </c>
      <c r="U1145" s="147" t="s">
        <v>37</v>
      </c>
      <c r="V1145" s="129"/>
      <c r="W1145" s="163" t="s">
        <v>54</v>
      </c>
      <c r="X1145" s="215"/>
      <c r="Y1145" s="216">
        <v>0</v>
      </c>
      <c r="Z1145" s="216">
        <v>0</v>
      </c>
      <c r="AA1145" s="263"/>
      <c r="AB1145" s="155"/>
      <c r="AC1145" s="212"/>
    </row>
    <row r="1146" spans="1:29" ht="24" hidden="1" x14ac:dyDescent="0.25">
      <c r="A1146" s="155">
        <v>1</v>
      </c>
      <c r="B1146" s="136">
        <v>1504006</v>
      </c>
      <c r="C1146" s="127" t="s">
        <v>2022</v>
      </c>
      <c r="D1146" s="127" t="s">
        <v>1359</v>
      </c>
      <c r="E1146" s="147" t="s">
        <v>38</v>
      </c>
      <c r="F1146" s="129" t="s">
        <v>1360</v>
      </c>
      <c r="G1146" s="147" t="s">
        <v>1731</v>
      </c>
      <c r="H1146" s="191">
        <f t="shared" si="19"/>
        <v>0</v>
      </c>
      <c r="I1146" s="222" t="s">
        <v>2228</v>
      </c>
      <c r="J1146" s="149"/>
      <c r="K1146" s="147"/>
      <c r="L1146" s="147"/>
      <c r="M1146" s="147">
        <v>1</v>
      </c>
      <c r="N1146" s="289"/>
      <c r="O1146" s="196"/>
      <c r="P1146" s="180"/>
      <c r="Q1146" s="174"/>
      <c r="R1146" s="206">
        <v>0</v>
      </c>
      <c r="S1146" s="168"/>
      <c r="T1146" s="129"/>
      <c r="U1146" s="147" t="s">
        <v>37</v>
      </c>
      <c r="V1146" s="129"/>
      <c r="W1146" s="163" t="s">
        <v>54</v>
      </c>
      <c r="X1146" s="215"/>
      <c r="Y1146" s="216">
        <v>0</v>
      </c>
      <c r="Z1146" s="216">
        <v>0</v>
      </c>
      <c r="AA1146" s="263"/>
      <c r="AB1146" s="305"/>
    </row>
    <row r="1147" spans="1:29" s="182" customFormat="1" hidden="1" x14ac:dyDescent="0.25">
      <c r="A1147" s="155">
        <v>1</v>
      </c>
      <c r="B1147" s="136">
        <v>1504007</v>
      </c>
      <c r="C1147" s="127" t="s">
        <v>2022</v>
      </c>
      <c r="D1147" s="127" t="s">
        <v>1361</v>
      </c>
      <c r="E1147" s="147" t="s">
        <v>38</v>
      </c>
      <c r="F1147" s="129" t="s">
        <v>966</v>
      </c>
      <c r="G1147" s="147" t="s">
        <v>1731</v>
      </c>
      <c r="H1147" s="191">
        <f t="shared" si="19"/>
        <v>0</v>
      </c>
      <c r="I1147" s="225"/>
      <c r="J1147" s="149"/>
      <c r="K1147" s="147">
        <v>11</v>
      </c>
      <c r="L1147" s="147">
        <v>1</v>
      </c>
      <c r="M1147" s="147">
        <v>12</v>
      </c>
      <c r="N1147" s="289"/>
      <c r="O1147" s="196"/>
      <c r="P1147" s="180"/>
      <c r="Q1147" s="174"/>
      <c r="R1147" s="206">
        <v>0</v>
      </c>
      <c r="S1147" s="168"/>
      <c r="T1147" s="129" t="s">
        <v>2210</v>
      </c>
      <c r="U1147" s="147" t="s">
        <v>37</v>
      </c>
      <c r="V1147" s="129"/>
      <c r="W1147" s="163" t="s">
        <v>2531</v>
      </c>
      <c r="X1147" s="215"/>
      <c r="Y1147" s="216">
        <v>0</v>
      </c>
      <c r="Z1147" s="216">
        <v>0</v>
      </c>
      <c r="AA1147" s="263"/>
      <c r="AB1147" s="155"/>
      <c r="AC1147" s="212"/>
    </row>
    <row r="1148" spans="1:29" s="182" customFormat="1" hidden="1" x14ac:dyDescent="0.25">
      <c r="A1148" s="155">
        <v>1</v>
      </c>
      <c r="B1148" s="136">
        <v>1504008</v>
      </c>
      <c r="C1148" s="127" t="s">
        <v>2022</v>
      </c>
      <c r="D1148" s="127" t="s">
        <v>1362</v>
      </c>
      <c r="E1148" s="147" t="s">
        <v>38</v>
      </c>
      <c r="F1148" s="129" t="s">
        <v>966</v>
      </c>
      <c r="G1148" s="147" t="s">
        <v>1731</v>
      </c>
      <c r="H1148" s="191">
        <f t="shared" si="19"/>
        <v>0</v>
      </c>
      <c r="I1148" s="225"/>
      <c r="J1148" s="149"/>
      <c r="K1148" s="147">
        <v>11</v>
      </c>
      <c r="L1148" s="147">
        <v>1</v>
      </c>
      <c r="M1148" s="147">
        <v>12</v>
      </c>
      <c r="N1148" s="289"/>
      <c r="O1148" s="196"/>
      <c r="P1148" s="180"/>
      <c r="Q1148" s="174"/>
      <c r="R1148" s="206">
        <v>0</v>
      </c>
      <c r="S1148" s="168"/>
      <c r="T1148" s="129" t="s">
        <v>2210</v>
      </c>
      <c r="U1148" s="147" t="s">
        <v>37</v>
      </c>
      <c r="V1148" s="129"/>
      <c r="W1148" s="163" t="s">
        <v>2531</v>
      </c>
      <c r="X1148" s="215"/>
      <c r="Y1148" s="216">
        <v>0</v>
      </c>
      <c r="Z1148" s="216">
        <v>0</v>
      </c>
      <c r="AA1148" s="263"/>
      <c r="AB1148" s="155"/>
      <c r="AC1148" s="212"/>
    </row>
    <row r="1149" spans="1:29" s="182" customFormat="1" hidden="1" x14ac:dyDescent="0.25">
      <c r="A1149" s="155">
        <v>1</v>
      </c>
      <c r="B1149" s="129">
        <v>1504010</v>
      </c>
      <c r="C1149" s="127" t="s">
        <v>956</v>
      </c>
      <c r="D1149" s="127" t="s">
        <v>1363</v>
      </c>
      <c r="E1149" s="147" t="s">
        <v>38</v>
      </c>
      <c r="F1149" s="138" t="s">
        <v>57</v>
      </c>
      <c r="G1149" s="147" t="s">
        <v>1731</v>
      </c>
      <c r="H1149" s="191">
        <f t="shared" si="19"/>
        <v>0</v>
      </c>
      <c r="I1149" s="225"/>
      <c r="J1149" s="149"/>
      <c r="K1149" s="147">
        <v>12</v>
      </c>
      <c r="L1149" s="147">
        <v>1</v>
      </c>
      <c r="M1149" s="147">
        <v>13</v>
      </c>
      <c r="N1149" s="289"/>
      <c r="O1149" s="196"/>
      <c r="P1149" s="180"/>
      <c r="Q1149" s="174"/>
      <c r="R1149" s="206">
        <v>0</v>
      </c>
      <c r="S1149" s="168"/>
      <c r="T1149" s="129" t="s">
        <v>55</v>
      </c>
      <c r="U1149" s="147" t="s">
        <v>37</v>
      </c>
      <c r="V1149" s="129"/>
      <c r="W1149" s="163" t="s">
        <v>54</v>
      </c>
      <c r="X1149" s="215"/>
      <c r="Y1149" s="216">
        <v>0</v>
      </c>
      <c r="Z1149" s="216">
        <v>0</v>
      </c>
      <c r="AA1149" s="263"/>
      <c r="AB1149" s="155"/>
      <c r="AC1149" s="212"/>
    </row>
    <row r="1150" spans="1:29" s="182" customFormat="1" hidden="1" x14ac:dyDescent="0.25">
      <c r="A1150" s="155">
        <v>1</v>
      </c>
      <c r="B1150" s="129">
        <v>1504011</v>
      </c>
      <c r="C1150" s="127" t="s">
        <v>2022</v>
      </c>
      <c r="D1150" s="129" t="s">
        <v>1364</v>
      </c>
      <c r="E1150" s="147" t="s">
        <v>38</v>
      </c>
      <c r="F1150" s="129" t="s">
        <v>1231</v>
      </c>
      <c r="G1150" s="147" t="s">
        <v>1731</v>
      </c>
      <c r="H1150" s="191">
        <f t="shared" si="19"/>
        <v>0.02</v>
      </c>
      <c r="I1150" s="134" t="s">
        <v>2088</v>
      </c>
      <c r="J1150" s="146">
        <v>30</v>
      </c>
      <c r="K1150" s="147">
        <v>1</v>
      </c>
      <c r="L1150" s="147">
        <v>1</v>
      </c>
      <c r="M1150" s="147">
        <v>2</v>
      </c>
      <c r="N1150" s="289">
        <v>1000</v>
      </c>
      <c r="O1150" s="196"/>
      <c r="P1150" s="180"/>
      <c r="Q1150" s="174">
        <v>0.02</v>
      </c>
      <c r="R1150" s="205">
        <v>0</v>
      </c>
      <c r="S1150" s="168"/>
      <c r="T1150" s="129" t="s">
        <v>1365</v>
      </c>
      <c r="U1150" s="147" t="s">
        <v>37</v>
      </c>
      <c r="V1150" s="129"/>
      <c r="W1150" s="163" t="s">
        <v>54</v>
      </c>
      <c r="X1150" s="217"/>
      <c r="Y1150" s="216">
        <v>0</v>
      </c>
      <c r="Z1150" s="216">
        <v>0</v>
      </c>
      <c r="AA1150" s="263"/>
      <c r="AB1150" s="155"/>
      <c r="AC1150" s="212"/>
    </row>
    <row r="1151" spans="1:29" s="182" customFormat="1" hidden="1" x14ac:dyDescent="0.25">
      <c r="A1151" s="155">
        <v>1</v>
      </c>
      <c r="B1151" s="129">
        <v>1504012</v>
      </c>
      <c r="C1151" s="127" t="s">
        <v>2022</v>
      </c>
      <c r="D1151" s="127" t="s">
        <v>1366</v>
      </c>
      <c r="E1151" s="147" t="s">
        <v>38</v>
      </c>
      <c r="F1151" s="129" t="s">
        <v>1231</v>
      </c>
      <c r="G1151" s="147" t="s">
        <v>1731</v>
      </c>
      <c r="H1151" s="191">
        <f t="shared" si="19"/>
        <v>6.6659999999999997E-2</v>
      </c>
      <c r="I1151" s="134" t="s">
        <v>2088</v>
      </c>
      <c r="J1151" s="146">
        <v>30</v>
      </c>
      <c r="K1151" s="147">
        <v>1</v>
      </c>
      <c r="L1151" s="147">
        <v>1</v>
      </c>
      <c r="M1151" s="147">
        <v>2</v>
      </c>
      <c r="N1151" s="289">
        <v>1000</v>
      </c>
      <c r="O1151" s="196"/>
      <c r="P1151" s="180"/>
      <c r="Q1151" s="174">
        <v>6.6659999999999997E-2</v>
      </c>
      <c r="R1151" s="205">
        <v>0</v>
      </c>
      <c r="S1151" s="168"/>
      <c r="T1151" s="129" t="s">
        <v>234</v>
      </c>
      <c r="U1151" s="147" t="s">
        <v>37</v>
      </c>
      <c r="V1151" s="129"/>
      <c r="W1151" s="163" t="s">
        <v>54</v>
      </c>
      <c r="X1151" s="215"/>
      <c r="Y1151" s="216">
        <v>0</v>
      </c>
      <c r="Z1151" s="216">
        <v>0</v>
      </c>
      <c r="AA1151" s="263"/>
      <c r="AB1151" s="155"/>
      <c r="AC1151" s="212"/>
    </row>
    <row r="1152" spans="1:29" s="182" customFormat="1" ht="24" hidden="1" x14ac:dyDescent="0.25">
      <c r="A1152" s="155">
        <v>1</v>
      </c>
      <c r="B1152" s="129">
        <v>1504013</v>
      </c>
      <c r="C1152" s="127" t="s">
        <v>2022</v>
      </c>
      <c r="D1152" s="127" t="s">
        <v>1367</v>
      </c>
      <c r="E1152" s="147" t="s">
        <v>38</v>
      </c>
      <c r="F1152" s="129" t="s">
        <v>1360</v>
      </c>
      <c r="G1152" s="147" t="s">
        <v>1731</v>
      </c>
      <c r="H1152" s="191">
        <f t="shared" si="19"/>
        <v>0</v>
      </c>
      <c r="I1152" s="222" t="s">
        <v>2228</v>
      </c>
      <c r="J1152" s="149"/>
      <c r="K1152" s="147">
        <v>9</v>
      </c>
      <c r="L1152" s="147">
        <v>1</v>
      </c>
      <c r="M1152" s="147">
        <v>10</v>
      </c>
      <c r="N1152" s="289">
        <v>1000</v>
      </c>
      <c r="O1152" s="196"/>
      <c r="P1152" s="180"/>
      <c r="Q1152" s="174"/>
      <c r="R1152" s="206">
        <v>0</v>
      </c>
      <c r="S1152" s="168"/>
      <c r="T1152" s="129" t="s">
        <v>234</v>
      </c>
      <c r="U1152" s="147" t="s">
        <v>37</v>
      </c>
      <c r="V1152" s="129"/>
      <c r="W1152" s="163" t="s">
        <v>54</v>
      </c>
      <c r="X1152" s="215"/>
      <c r="Y1152" s="216">
        <v>0</v>
      </c>
      <c r="Z1152" s="216">
        <v>0</v>
      </c>
      <c r="AA1152" s="263"/>
      <c r="AB1152" s="305"/>
      <c r="AC1152" s="214"/>
    </row>
    <row r="1153" spans="1:29 16384:16384" s="182" customFormat="1" ht="24" x14ac:dyDescent="0.25">
      <c r="A1153" s="155">
        <v>1</v>
      </c>
      <c r="B1153" s="129">
        <v>1504014</v>
      </c>
      <c r="C1153" s="127" t="s">
        <v>2022</v>
      </c>
      <c r="D1153" s="127" t="s">
        <v>2479</v>
      </c>
      <c r="E1153" s="147" t="s">
        <v>38</v>
      </c>
      <c r="F1153" s="129" t="s">
        <v>1369</v>
      </c>
      <c r="G1153" s="147" t="s">
        <v>1731</v>
      </c>
      <c r="H1153" s="191">
        <f t="shared" si="19"/>
        <v>0.8640000000000001</v>
      </c>
      <c r="I1153" s="238" t="s">
        <v>2235</v>
      </c>
      <c r="J1153" s="146">
        <v>30</v>
      </c>
      <c r="K1153" s="147">
        <v>3</v>
      </c>
      <c r="L1153" s="147">
        <v>1</v>
      </c>
      <c r="M1153" s="147">
        <v>4</v>
      </c>
      <c r="N1153" s="289">
        <v>10000</v>
      </c>
      <c r="O1153" s="195"/>
      <c r="P1153" s="180"/>
      <c r="Q1153" s="174">
        <v>0.8</v>
      </c>
      <c r="R1153" s="205">
        <v>6.4000000000000001E-2</v>
      </c>
      <c r="S1153" s="168"/>
      <c r="T1153" s="129" t="s">
        <v>1908</v>
      </c>
      <c r="U1153" s="147" t="s">
        <v>37</v>
      </c>
      <c r="V1153" s="129"/>
      <c r="W1153" s="147" t="s">
        <v>2213</v>
      </c>
      <c r="X1153" s="215" t="s">
        <v>1906</v>
      </c>
      <c r="Y1153" s="216">
        <v>119.75245000000001</v>
      </c>
      <c r="Z1153" s="216">
        <v>179.62867500000002</v>
      </c>
      <c r="AA1153" s="263"/>
      <c r="AB1153" s="305"/>
      <c r="AC1153" s="214"/>
    </row>
    <row r="1154" spans="1:29 16384:16384" s="182" customFormat="1" x14ac:dyDescent="0.25">
      <c r="A1154" s="155">
        <v>1</v>
      </c>
      <c r="B1154" s="129">
        <v>1504015</v>
      </c>
      <c r="C1154" s="127" t="s">
        <v>2022</v>
      </c>
      <c r="D1154" s="127" t="s">
        <v>2480</v>
      </c>
      <c r="E1154" s="147" t="s">
        <v>38</v>
      </c>
      <c r="F1154" s="129" t="s">
        <v>1231</v>
      </c>
      <c r="G1154" s="147" t="s">
        <v>1731</v>
      </c>
      <c r="H1154" s="191">
        <f t="shared" si="19"/>
        <v>0.41039999999999999</v>
      </c>
      <c r="I1154" s="222" t="s">
        <v>2088</v>
      </c>
      <c r="J1154" s="146">
        <v>30</v>
      </c>
      <c r="K1154" s="147">
        <v>6</v>
      </c>
      <c r="L1154" s="147">
        <v>4</v>
      </c>
      <c r="M1154" s="147">
        <v>10</v>
      </c>
      <c r="N1154" s="289">
        <v>20000</v>
      </c>
      <c r="O1154" s="174">
        <v>0.38</v>
      </c>
      <c r="P1154" s="180">
        <v>46072</v>
      </c>
      <c r="Q1154" s="174">
        <v>0.38</v>
      </c>
      <c r="R1154" s="205">
        <v>3.04E-2</v>
      </c>
      <c r="S1154" s="168"/>
      <c r="T1154" s="129" t="s">
        <v>1448</v>
      </c>
      <c r="U1154" s="147" t="s">
        <v>37</v>
      </c>
      <c r="V1154" s="129"/>
      <c r="W1154" s="147" t="s">
        <v>2213</v>
      </c>
      <c r="X1154" s="215" t="s">
        <v>1906</v>
      </c>
      <c r="Y1154" s="216">
        <v>4909.8958333333348</v>
      </c>
      <c r="Z1154" s="216">
        <v>6382.8645833333358</v>
      </c>
      <c r="AA1154" s="263"/>
      <c r="AB1154" s="155"/>
      <c r="AC1154" s="212"/>
    </row>
    <row r="1155" spans="1:29 16384:16384" s="182" customFormat="1" ht="24" x14ac:dyDescent="0.25">
      <c r="A1155" s="155">
        <v>1</v>
      </c>
      <c r="B1155" s="129">
        <v>1504016</v>
      </c>
      <c r="C1155" s="127" t="s">
        <v>2022</v>
      </c>
      <c r="D1155" s="127" t="s">
        <v>1374</v>
      </c>
      <c r="E1155" s="147" t="s">
        <v>38</v>
      </c>
      <c r="F1155" s="129" t="s">
        <v>1369</v>
      </c>
      <c r="G1155" s="147" t="s">
        <v>1731</v>
      </c>
      <c r="H1155" s="191">
        <f t="shared" si="19"/>
        <v>0.19439999999999999</v>
      </c>
      <c r="I1155" s="238" t="s">
        <v>2235</v>
      </c>
      <c r="J1155" s="146">
        <v>30</v>
      </c>
      <c r="K1155" s="147">
        <v>3</v>
      </c>
      <c r="L1155" s="147">
        <v>1</v>
      </c>
      <c r="M1155" s="147">
        <v>4</v>
      </c>
      <c r="N1155" s="289">
        <v>10000</v>
      </c>
      <c r="O1155" s="195">
        <v>1.6E-2</v>
      </c>
      <c r="P1155" s="180">
        <v>44700</v>
      </c>
      <c r="Q1155" s="174">
        <v>0.18</v>
      </c>
      <c r="R1155" s="205">
        <v>1.44E-2</v>
      </c>
      <c r="S1155" s="168"/>
      <c r="T1155" s="129" t="s">
        <v>2450</v>
      </c>
      <c r="U1155" s="147" t="s">
        <v>37</v>
      </c>
      <c r="V1155" s="129"/>
      <c r="W1155" s="147" t="s">
        <v>2213</v>
      </c>
      <c r="X1155" s="215" t="s">
        <v>1906</v>
      </c>
      <c r="Y1155" s="216">
        <v>0</v>
      </c>
      <c r="Z1155" s="216">
        <v>0</v>
      </c>
      <c r="AA1155" s="263"/>
      <c r="AB1155" s="305"/>
      <c r="AC1155" s="214"/>
    </row>
    <row r="1156" spans="1:29 16384:16384" s="182" customFormat="1" hidden="1" x14ac:dyDescent="0.25">
      <c r="A1156" s="155">
        <v>1</v>
      </c>
      <c r="B1156" s="129">
        <v>1504017</v>
      </c>
      <c r="C1156" s="127" t="s">
        <v>2022</v>
      </c>
      <c r="D1156" s="127" t="s">
        <v>1375</v>
      </c>
      <c r="E1156" s="147" t="s">
        <v>38</v>
      </c>
      <c r="F1156" s="129" t="s">
        <v>1376</v>
      </c>
      <c r="G1156" s="147" t="s">
        <v>1731</v>
      </c>
      <c r="H1156" s="191">
        <f t="shared" si="19"/>
        <v>4.2000000000000003E-2</v>
      </c>
      <c r="I1156" s="226"/>
      <c r="J1156" s="150"/>
      <c r="K1156" s="147"/>
      <c r="L1156" s="147"/>
      <c r="M1156" s="147">
        <v>2</v>
      </c>
      <c r="N1156" s="289"/>
      <c r="O1156" s="196"/>
      <c r="P1156" s="180"/>
      <c r="Q1156" s="174">
        <v>4.2000000000000003E-2</v>
      </c>
      <c r="R1156" s="205">
        <v>0</v>
      </c>
      <c r="S1156" s="168"/>
      <c r="T1156" s="129" t="s">
        <v>272</v>
      </c>
      <c r="U1156" s="147" t="s">
        <v>35</v>
      </c>
      <c r="V1156" s="129"/>
      <c r="W1156" s="147" t="s">
        <v>2214</v>
      </c>
      <c r="X1156" s="215"/>
      <c r="Y1156" s="216">
        <v>0</v>
      </c>
      <c r="Z1156" s="216">
        <v>0</v>
      </c>
      <c r="AA1156" s="263"/>
      <c r="AB1156" s="155"/>
      <c r="AC1156" s="212"/>
    </row>
    <row r="1157" spans="1:29 16384:16384" s="182" customFormat="1" hidden="1" x14ac:dyDescent="0.25">
      <c r="A1157" s="155">
        <v>1</v>
      </c>
      <c r="B1157" s="129">
        <v>1504018</v>
      </c>
      <c r="C1157" s="127" t="s">
        <v>2022</v>
      </c>
      <c r="D1157" s="127" t="s">
        <v>1380</v>
      </c>
      <c r="E1157" s="147" t="s">
        <v>38</v>
      </c>
      <c r="F1157" s="129" t="s">
        <v>1376</v>
      </c>
      <c r="G1157" s="147" t="s">
        <v>1731</v>
      </c>
      <c r="H1157" s="191">
        <f t="shared" si="19"/>
        <v>0.03</v>
      </c>
      <c r="I1157" s="226"/>
      <c r="J1157" s="150"/>
      <c r="K1157" s="147"/>
      <c r="L1157" s="147"/>
      <c r="M1157" s="147">
        <v>2</v>
      </c>
      <c r="N1157" s="289"/>
      <c r="O1157" s="196"/>
      <c r="P1157" s="180"/>
      <c r="Q1157" s="174">
        <v>0.03</v>
      </c>
      <c r="R1157" s="205">
        <v>0</v>
      </c>
      <c r="S1157" s="168"/>
      <c r="T1157" s="129" t="s">
        <v>272</v>
      </c>
      <c r="U1157" s="147" t="s">
        <v>35</v>
      </c>
      <c r="V1157" s="129"/>
      <c r="W1157" s="147" t="s">
        <v>2214</v>
      </c>
      <c r="X1157" s="215"/>
      <c r="Y1157" s="216">
        <v>0</v>
      </c>
      <c r="Z1157" s="216">
        <v>0</v>
      </c>
      <c r="AA1157" s="263"/>
      <c r="AB1157" s="155"/>
      <c r="AC1157" s="212"/>
    </row>
    <row r="1158" spans="1:29 16384:16384" s="182" customFormat="1" ht="24" x14ac:dyDescent="0.25">
      <c r="A1158" s="155">
        <v>1</v>
      </c>
      <c r="B1158" s="129">
        <v>1504019</v>
      </c>
      <c r="C1158" s="127" t="s">
        <v>2022</v>
      </c>
      <c r="D1158" s="127" t="s">
        <v>2481</v>
      </c>
      <c r="E1158" s="147" t="s">
        <v>38</v>
      </c>
      <c r="F1158" s="129" t="s">
        <v>1369</v>
      </c>
      <c r="G1158" s="147" t="s">
        <v>1731</v>
      </c>
      <c r="H1158" s="191">
        <f t="shared" si="19"/>
        <v>0.51839999999999997</v>
      </c>
      <c r="I1158" s="238" t="s">
        <v>2235</v>
      </c>
      <c r="J1158" s="146">
        <v>30</v>
      </c>
      <c r="K1158" s="147">
        <v>3</v>
      </c>
      <c r="L1158" s="147">
        <v>1</v>
      </c>
      <c r="M1158" s="147">
        <v>4</v>
      </c>
      <c r="N1158" s="289">
        <v>10000</v>
      </c>
      <c r="O1158" s="195">
        <v>0.46</v>
      </c>
      <c r="P1158" s="180">
        <v>45161</v>
      </c>
      <c r="Q1158" s="174">
        <v>0.48</v>
      </c>
      <c r="R1158" s="205">
        <v>3.8399999999999997E-2</v>
      </c>
      <c r="S1158" s="168"/>
      <c r="T1158" s="129" t="s">
        <v>2450</v>
      </c>
      <c r="U1158" s="147" t="s">
        <v>37</v>
      </c>
      <c r="V1158" s="129"/>
      <c r="W1158" s="147" t="s">
        <v>2213</v>
      </c>
      <c r="X1158" s="215" t="s">
        <v>1906</v>
      </c>
      <c r="Y1158" s="216">
        <v>2173.5</v>
      </c>
      <c r="Z1158" s="216">
        <v>3260.25</v>
      </c>
      <c r="AA1158" s="263"/>
      <c r="AB1158" s="305"/>
      <c r="AC1158" s="214"/>
    </row>
    <row r="1159" spans="1:29 16384:16384" s="182" customFormat="1" hidden="1" x14ac:dyDescent="0.25">
      <c r="A1159" s="155">
        <v>1</v>
      </c>
      <c r="B1159" s="129">
        <v>1504020</v>
      </c>
      <c r="C1159" s="127" t="s">
        <v>2022</v>
      </c>
      <c r="D1159" s="127" t="s">
        <v>1627</v>
      </c>
      <c r="E1159" s="147" t="s">
        <v>38</v>
      </c>
      <c r="F1159" s="129" t="s">
        <v>1625</v>
      </c>
      <c r="G1159" s="147" t="s">
        <v>1731</v>
      </c>
      <c r="H1159" s="191">
        <f t="shared" si="19"/>
        <v>0</v>
      </c>
      <c r="I1159" s="181" t="s">
        <v>2218</v>
      </c>
      <c r="J1159" s="150"/>
      <c r="K1159" s="147">
        <v>11</v>
      </c>
      <c r="L1159" s="147">
        <v>1</v>
      </c>
      <c r="M1159" s="147">
        <v>12</v>
      </c>
      <c r="N1159" s="289"/>
      <c r="O1159" s="196"/>
      <c r="P1159" s="180"/>
      <c r="Q1159" s="174"/>
      <c r="R1159" s="205"/>
      <c r="S1159" s="168"/>
      <c r="T1159" s="129" t="s">
        <v>1625</v>
      </c>
      <c r="U1159" s="147" t="s">
        <v>37</v>
      </c>
      <c r="V1159" s="129"/>
      <c r="W1159" s="163" t="s">
        <v>2531</v>
      </c>
      <c r="X1159" s="215"/>
      <c r="Y1159" s="216">
        <v>0</v>
      </c>
      <c r="Z1159" s="216">
        <v>0</v>
      </c>
      <c r="AA1159" s="263"/>
      <c r="AB1159" s="155"/>
      <c r="AC1159" s="212"/>
    </row>
    <row r="1160" spans="1:29 16384:16384" s="182" customFormat="1" ht="24" x14ac:dyDescent="0.25">
      <c r="A1160" s="155">
        <v>1</v>
      </c>
      <c r="B1160" s="129">
        <v>1504021</v>
      </c>
      <c r="C1160" s="127" t="s">
        <v>2022</v>
      </c>
      <c r="D1160" s="127" t="s">
        <v>1893</v>
      </c>
      <c r="E1160" s="147" t="s">
        <v>38</v>
      </c>
      <c r="F1160" s="129" t="s">
        <v>2020</v>
      </c>
      <c r="G1160" s="147" t="s">
        <v>1731</v>
      </c>
      <c r="H1160" s="191">
        <f t="shared" si="19"/>
        <v>0.36109999999999998</v>
      </c>
      <c r="I1160" s="222" t="s">
        <v>2228</v>
      </c>
      <c r="J1160" s="146">
        <v>30</v>
      </c>
      <c r="K1160" s="147">
        <v>6</v>
      </c>
      <c r="L1160" s="147">
        <v>1</v>
      </c>
      <c r="M1160" s="147">
        <v>7</v>
      </c>
      <c r="N1160" s="289">
        <v>5000</v>
      </c>
      <c r="O1160" s="195">
        <v>0.1</v>
      </c>
      <c r="P1160" s="180">
        <v>45639</v>
      </c>
      <c r="Q1160" s="174">
        <v>0.36109999999999998</v>
      </c>
      <c r="R1160" s="205"/>
      <c r="S1160" s="168"/>
      <c r="T1160" s="129" t="s">
        <v>1848</v>
      </c>
      <c r="U1160" s="147" t="s">
        <v>35</v>
      </c>
      <c r="V1160" s="129"/>
      <c r="W1160" s="147" t="s">
        <v>2213</v>
      </c>
      <c r="X1160" s="215" t="s">
        <v>1938</v>
      </c>
      <c r="Y1160" s="216">
        <v>8211.25</v>
      </c>
      <c r="Z1160" s="216">
        <v>10674.625</v>
      </c>
      <c r="AA1160" s="263"/>
      <c r="AB1160" s="305"/>
      <c r="AC1160" s="214"/>
    </row>
    <row r="1161" spans="1:29 16384:16384" s="182" customFormat="1" ht="24" hidden="1" x14ac:dyDescent="0.25">
      <c r="A1161" s="155"/>
      <c r="B1161" s="129">
        <v>1504022</v>
      </c>
      <c r="C1161" s="127" t="s">
        <v>2022</v>
      </c>
      <c r="D1161" s="127" t="s">
        <v>1897</v>
      </c>
      <c r="E1161" s="147" t="s">
        <v>38</v>
      </c>
      <c r="F1161" s="129" t="s">
        <v>1369</v>
      </c>
      <c r="G1161" s="147" t="s">
        <v>1731</v>
      </c>
      <c r="H1161" s="191">
        <f t="shared" si="19"/>
        <v>0</v>
      </c>
      <c r="I1161" s="238" t="s">
        <v>2235</v>
      </c>
      <c r="J1161" s="146">
        <v>30</v>
      </c>
      <c r="K1161" s="147">
        <v>2</v>
      </c>
      <c r="L1161" s="147">
        <v>0</v>
      </c>
      <c r="M1161" s="147">
        <v>2</v>
      </c>
      <c r="N1161" s="289">
        <v>5000</v>
      </c>
      <c r="O1161" s="196"/>
      <c r="P1161" s="180"/>
      <c r="Q1161" s="174"/>
      <c r="R1161" s="205">
        <v>0</v>
      </c>
      <c r="S1161" s="168"/>
      <c r="T1161" s="129" t="s">
        <v>1848</v>
      </c>
      <c r="U1161" s="147" t="s">
        <v>35</v>
      </c>
      <c r="V1161" s="129"/>
      <c r="W1161" s="163" t="s">
        <v>54</v>
      </c>
      <c r="X1161" s="215"/>
      <c r="Y1161" s="216">
        <v>0</v>
      </c>
      <c r="Z1161" s="216">
        <v>0</v>
      </c>
      <c r="AA1161" s="263"/>
      <c r="AB1161" s="305"/>
      <c r="AC1161" s="214"/>
    </row>
    <row r="1162" spans="1:29 16384:16384" s="182" customFormat="1" hidden="1" x14ac:dyDescent="0.25">
      <c r="A1162" s="155">
        <v>1</v>
      </c>
      <c r="B1162" s="129">
        <v>1505001</v>
      </c>
      <c r="C1162" s="127" t="s">
        <v>2022</v>
      </c>
      <c r="D1162" s="127" t="s">
        <v>1381</v>
      </c>
      <c r="E1162" s="147" t="s">
        <v>38</v>
      </c>
      <c r="F1162" s="129" t="s">
        <v>966</v>
      </c>
      <c r="G1162" s="147" t="s">
        <v>1731</v>
      </c>
      <c r="H1162" s="191">
        <f t="shared" si="19"/>
        <v>0</v>
      </c>
      <c r="I1162" s="225"/>
      <c r="J1162" s="149"/>
      <c r="K1162" s="147">
        <v>11</v>
      </c>
      <c r="L1162" s="147">
        <v>1</v>
      </c>
      <c r="M1162" s="147">
        <v>12</v>
      </c>
      <c r="N1162" s="289"/>
      <c r="O1162" s="196"/>
      <c r="P1162" s="180"/>
      <c r="Q1162" s="174"/>
      <c r="R1162" s="206">
        <v>0</v>
      </c>
      <c r="S1162" s="168"/>
      <c r="T1162" s="129" t="s">
        <v>2210</v>
      </c>
      <c r="U1162" s="147" t="s">
        <v>37</v>
      </c>
      <c r="V1162" s="129"/>
      <c r="W1162" s="163" t="s">
        <v>2531</v>
      </c>
      <c r="X1162" s="215"/>
      <c r="Y1162" s="216">
        <v>0</v>
      </c>
      <c r="Z1162" s="216">
        <v>0</v>
      </c>
      <c r="AA1162" s="263"/>
      <c r="AB1162" s="155"/>
      <c r="AC1162" s="212"/>
    </row>
    <row r="1163" spans="1:29 16384:16384" s="182" customFormat="1" hidden="1" x14ac:dyDescent="0.25">
      <c r="A1163" s="155">
        <v>1</v>
      </c>
      <c r="B1163" s="129">
        <v>1505002</v>
      </c>
      <c r="C1163" s="127" t="s">
        <v>956</v>
      </c>
      <c r="D1163" s="127" t="s">
        <v>1382</v>
      </c>
      <c r="E1163" s="147" t="s">
        <v>38</v>
      </c>
      <c r="F1163" s="129" t="s">
        <v>966</v>
      </c>
      <c r="G1163" s="147" t="s">
        <v>1731</v>
      </c>
      <c r="H1163" s="191">
        <f t="shared" si="19"/>
        <v>0</v>
      </c>
      <c r="I1163" s="225"/>
      <c r="J1163" s="149"/>
      <c r="K1163" s="147">
        <v>11</v>
      </c>
      <c r="L1163" s="147">
        <v>1</v>
      </c>
      <c r="M1163" s="147">
        <v>12</v>
      </c>
      <c r="N1163" s="289"/>
      <c r="O1163" s="196"/>
      <c r="P1163" s="180"/>
      <c r="Q1163" s="174"/>
      <c r="R1163" s="206">
        <v>0</v>
      </c>
      <c r="S1163" s="168"/>
      <c r="T1163" s="129" t="s">
        <v>2210</v>
      </c>
      <c r="U1163" s="147" t="s">
        <v>37</v>
      </c>
      <c r="V1163" s="129"/>
      <c r="W1163" s="163" t="s">
        <v>2531</v>
      </c>
      <c r="X1163" s="215"/>
      <c r="Y1163" s="216">
        <v>0</v>
      </c>
      <c r="Z1163" s="216">
        <v>0</v>
      </c>
      <c r="AA1163" s="263"/>
      <c r="AB1163" s="155"/>
      <c r="AC1163" s="212"/>
    </row>
    <row r="1164" spans="1:29 16384:16384" s="182" customFormat="1" hidden="1" x14ac:dyDescent="0.25">
      <c r="A1164" s="155">
        <v>1</v>
      </c>
      <c r="B1164" s="129">
        <v>1505003</v>
      </c>
      <c r="C1164" s="128" t="s">
        <v>956</v>
      </c>
      <c r="D1164" s="127" t="s">
        <v>1383</v>
      </c>
      <c r="E1164" s="147" t="s">
        <v>38</v>
      </c>
      <c r="F1164" s="138" t="s">
        <v>57</v>
      </c>
      <c r="G1164" s="147" t="s">
        <v>1731</v>
      </c>
      <c r="H1164" s="191">
        <f t="shared" si="19"/>
        <v>0</v>
      </c>
      <c r="I1164" s="225"/>
      <c r="J1164" s="149"/>
      <c r="K1164" s="147">
        <v>12</v>
      </c>
      <c r="L1164" s="147">
        <v>1</v>
      </c>
      <c r="M1164" s="147">
        <v>13</v>
      </c>
      <c r="N1164" s="289"/>
      <c r="O1164" s="196"/>
      <c r="P1164" s="180"/>
      <c r="Q1164" s="174"/>
      <c r="R1164" s="206">
        <v>0</v>
      </c>
      <c r="S1164" s="168"/>
      <c r="T1164" s="138" t="s">
        <v>57</v>
      </c>
      <c r="U1164" s="147" t="s">
        <v>37</v>
      </c>
      <c r="V1164" s="129"/>
      <c r="W1164" s="163" t="s">
        <v>54</v>
      </c>
      <c r="X1164" s="215"/>
      <c r="Y1164" s="216">
        <v>0</v>
      </c>
      <c r="Z1164" s="216">
        <v>0</v>
      </c>
      <c r="AA1164" s="263"/>
      <c r="AB1164" s="155"/>
      <c r="AC1164" s="212"/>
    </row>
    <row r="1165" spans="1:29 16384:16384" s="182" customFormat="1" hidden="1" x14ac:dyDescent="0.25">
      <c r="A1165" s="155">
        <v>1</v>
      </c>
      <c r="B1165" s="129">
        <v>1505004</v>
      </c>
      <c r="C1165" s="128" t="s">
        <v>956</v>
      </c>
      <c r="D1165" s="127" t="s">
        <v>1384</v>
      </c>
      <c r="E1165" s="147" t="s">
        <v>38</v>
      </c>
      <c r="F1165" s="138" t="s">
        <v>57</v>
      </c>
      <c r="G1165" s="147" t="s">
        <v>1731</v>
      </c>
      <c r="H1165" s="191">
        <f t="shared" si="19"/>
        <v>0</v>
      </c>
      <c r="I1165" s="225"/>
      <c r="J1165" s="149"/>
      <c r="K1165" s="147">
        <v>12</v>
      </c>
      <c r="L1165" s="147">
        <v>1</v>
      </c>
      <c r="M1165" s="147">
        <v>13</v>
      </c>
      <c r="N1165" s="289"/>
      <c r="O1165" s="196"/>
      <c r="P1165" s="180"/>
      <c r="Q1165" s="174"/>
      <c r="R1165" s="206">
        <v>0</v>
      </c>
      <c r="S1165" s="168"/>
      <c r="T1165" s="138" t="s">
        <v>57</v>
      </c>
      <c r="U1165" s="147" t="s">
        <v>37</v>
      </c>
      <c r="V1165" s="129"/>
      <c r="W1165" s="163" t="s">
        <v>54</v>
      </c>
      <c r="X1165" s="215"/>
      <c r="Y1165" s="216">
        <v>0</v>
      </c>
      <c r="Z1165" s="216">
        <v>0</v>
      </c>
      <c r="AA1165" s="263"/>
      <c r="AB1165" s="155"/>
      <c r="AC1165" s="212"/>
    </row>
    <row r="1166" spans="1:29 16384:16384" s="182" customFormat="1" hidden="1" x14ac:dyDescent="0.25">
      <c r="A1166" s="155">
        <v>1</v>
      </c>
      <c r="B1166" s="129">
        <v>1505005</v>
      </c>
      <c r="C1166" s="128" t="s">
        <v>940</v>
      </c>
      <c r="D1166" s="127" t="s">
        <v>1385</v>
      </c>
      <c r="E1166" s="147" t="s">
        <v>38</v>
      </c>
      <c r="F1166" s="129" t="s">
        <v>1386</v>
      </c>
      <c r="G1166" s="147" t="s">
        <v>1731</v>
      </c>
      <c r="H1166" s="191">
        <f t="shared" si="19"/>
        <v>0.25128300000000003</v>
      </c>
      <c r="I1166" s="134"/>
      <c r="J1166" s="150"/>
      <c r="K1166" s="147"/>
      <c r="L1166" s="147"/>
      <c r="M1166" s="147">
        <v>4</v>
      </c>
      <c r="N1166" s="289">
        <v>10000</v>
      </c>
      <c r="O1166" s="196"/>
      <c r="P1166" s="180"/>
      <c r="Q1166" s="174">
        <v>0.23</v>
      </c>
      <c r="R1166" s="205">
        <v>2.1283E-2</v>
      </c>
      <c r="S1166" s="165" t="s">
        <v>35</v>
      </c>
      <c r="T1166" s="129" t="s">
        <v>234</v>
      </c>
      <c r="U1166" s="147" t="s">
        <v>37</v>
      </c>
      <c r="V1166" s="129"/>
      <c r="W1166" s="163" t="s">
        <v>54</v>
      </c>
      <c r="X1166" s="215"/>
      <c r="Y1166" s="216">
        <v>0</v>
      </c>
      <c r="Z1166" s="216">
        <v>0</v>
      </c>
      <c r="AA1166" s="263"/>
      <c r="AB1166" s="155"/>
      <c r="AC1166" s="212"/>
      <c r="XFD1166" s="155"/>
    </row>
    <row r="1167" spans="1:29 16384:16384" s="182" customFormat="1" hidden="1" x14ac:dyDescent="0.25">
      <c r="A1167" s="155">
        <v>1</v>
      </c>
      <c r="B1167" s="129">
        <v>1505006</v>
      </c>
      <c r="C1167" s="128" t="s">
        <v>940</v>
      </c>
      <c r="D1167" s="127" t="s">
        <v>1390</v>
      </c>
      <c r="E1167" s="147" t="s">
        <v>38</v>
      </c>
      <c r="F1167" s="138" t="s">
        <v>57</v>
      </c>
      <c r="G1167" s="147" t="s">
        <v>1731</v>
      </c>
      <c r="H1167" s="191">
        <f t="shared" si="19"/>
        <v>0</v>
      </c>
      <c r="I1167" s="225"/>
      <c r="J1167" s="149"/>
      <c r="K1167" s="147">
        <v>12</v>
      </c>
      <c r="L1167" s="147">
        <v>1</v>
      </c>
      <c r="M1167" s="147">
        <v>13</v>
      </c>
      <c r="N1167" s="289"/>
      <c r="O1167" s="196"/>
      <c r="P1167" s="180"/>
      <c r="Q1167" s="174"/>
      <c r="R1167" s="206">
        <v>0</v>
      </c>
      <c r="S1167" s="168"/>
      <c r="T1167" s="138" t="s">
        <v>57</v>
      </c>
      <c r="U1167" s="147" t="s">
        <v>37</v>
      </c>
      <c r="V1167" s="129"/>
      <c r="W1167" s="163" t="s">
        <v>54</v>
      </c>
      <c r="X1167" s="215"/>
      <c r="Y1167" s="216">
        <v>0</v>
      </c>
      <c r="Z1167" s="216">
        <v>0</v>
      </c>
      <c r="AA1167" s="263"/>
      <c r="AB1167" s="155"/>
      <c r="AC1167" s="212"/>
      <c r="XFD1167" s="155"/>
    </row>
    <row r="1168" spans="1:29 16384:16384" s="182" customFormat="1" hidden="1" x14ac:dyDescent="0.25">
      <c r="A1168" s="155">
        <v>1</v>
      </c>
      <c r="B1168" s="129">
        <v>1505007</v>
      </c>
      <c r="C1168" s="128" t="s">
        <v>940</v>
      </c>
      <c r="D1168" s="127" t="s">
        <v>1391</v>
      </c>
      <c r="E1168" s="147" t="s">
        <v>38</v>
      </c>
      <c r="F1168" s="138" t="s">
        <v>57</v>
      </c>
      <c r="G1168" s="147" t="s">
        <v>1731</v>
      </c>
      <c r="H1168" s="191">
        <f t="shared" si="19"/>
        <v>0</v>
      </c>
      <c r="I1168" s="225"/>
      <c r="J1168" s="149"/>
      <c r="K1168" s="147">
        <v>12</v>
      </c>
      <c r="L1168" s="147">
        <v>1</v>
      </c>
      <c r="M1168" s="147">
        <v>13</v>
      </c>
      <c r="N1168" s="289"/>
      <c r="O1168" s="196"/>
      <c r="P1168" s="180"/>
      <c r="Q1168" s="174"/>
      <c r="R1168" s="206">
        <v>0</v>
      </c>
      <c r="S1168" s="168"/>
      <c r="T1168" s="138" t="s">
        <v>57</v>
      </c>
      <c r="U1168" s="147" t="s">
        <v>37</v>
      </c>
      <c r="V1168" s="129"/>
      <c r="W1168" s="163" t="s">
        <v>54</v>
      </c>
      <c r="X1168" s="215"/>
      <c r="Y1168" s="216">
        <v>0</v>
      </c>
      <c r="Z1168" s="216">
        <v>0</v>
      </c>
      <c r="AA1168" s="263"/>
      <c r="AB1168" s="155"/>
      <c r="AC1168" s="212"/>
      <c r="XFD1168" s="155"/>
    </row>
    <row r="1169" spans="1:29 16384:16384" s="182" customFormat="1" hidden="1" x14ac:dyDescent="0.25">
      <c r="A1169" s="155">
        <v>1</v>
      </c>
      <c r="B1169" s="129">
        <v>1505008</v>
      </c>
      <c r="C1169" s="128" t="s">
        <v>940</v>
      </c>
      <c r="D1169" s="127" t="s">
        <v>1392</v>
      </c>
      <c r="E1169" s="147" t="s">
        <v>38</v>
      </c>
      <c r="F1169" s="138" t="s">
        <v>57</v>
      </c>
      <c r="G1169" s="147" t="s">
        <v>1731</v>
      </c>
      <c r="H1169" s="191">
        <f t="shared" si="19"/>
        <v>0</v>
      </c>
      <c r="I1169" s="225"/>
      <c r="J1169" s="149"/>
      <c r="K1169" s="147">
        <v>12</v>
      </c>
      <c r="L1169" s="147">
        <v>1</v>
      </c>
      <c r="M1169" s="147">
        <v>13</v>
      </c>
      <c r="N1169" s="289"/>
      <c r="O1169" s="196"/>
      <c r="P1169" s="180"/>
      <c r="Q1169" s="174"/>
      <c r="R1169" s="206">
        <v>0</v>
      </c>
      <c r="S1169" s="168"/>
      <c r="T1169" s="138" t="s">
        <v>57</v>
      </c>
      <c r="U1169" s="147" t="s">
        <v>37</v>
      </c>
      <c r="V1169" s="129"/>
      <c r="W1169" s="163" t="s">
        <v>54</v>
      </c>
      <c r="X1169" s="215"/>
      <c r="Y1169" s="216">
        <v>0</v>
      </c>
      <c r="Z1169" s="216">
        <v>0</v>
      </c>
      <c r="AA1169" s="263"/>
      <c r="AB1169" s="155"/>
      <c r="AC1169" s="212"/>
      <c r="XFD1169" s="155"/>
    </row>
    <row r="1170" spans="1:29 16384:16384" s="182" customFormat="1" hidden="1" x14ac:dyDescent="0.25">
      <c r="A1170" s="155">
        <v>1</v>
      </c>
      <c r="B1170" s="129">
        <v>1505009</v>
      </c>
      <c r="C1170" s="128" t="s">
        <v>940</v>
      </c>
      <c r="D1170" s="127" t="s">
        <v>1393</v>
      </c>
      <c r="E1170" s="147" t="s">
        <v>38</v>
      </c>
      <c r="F1170" s="138" t="s">
        <v>57</v>
      </c>
      <c r="G1170" s="147" t="s">
        <v>1731</v>
      </c>
      <c r="H1170" s="191">
        <f t="shared" si="19"/>
        <v>0</v>
      </c>
      <c r="I1170" s="225"/>
      <c r="J1170" s="149"/>
      <c r="K1170" s="147">
        <v>12</v>
      </c>
      <c r="L1170" s="147">
        <v>1</v>
      </c>
      <c r="M1170" s="147">
        <v>13</v>
      </c>
      <c r="N1170" s="289"/>
      <c r="O1170" s="196"/>
      <c r="P1170" s="180"/>
      <c r="Q1170" s="174"/>
      <c r="R1170" s="206">
        <v>0</v>
      </c>
      <c r="S1170" s="168"/>
      <c r="T1170" s="138" t="s">
        <v>57</v>
      </c>
      <c r="U1170" s="147" t="s">
        <v>37</v>
      </c>
      <c r="V1170" s="129"/>
      <c r="W1170" s="163" t="s">
        <v>54</v>
      </c>
      <c r="X1170" s="215"/>
      <c r="Y1170" s="216">
        <v>0</v>
      </c>
      <c r="Z1170" s="216">
        <v>0</v>
      </c>
      <c r="AA1170" s="263"/>
      <c r="AB1170" s="155"/>
      <c r="AC1170" s="212"/>
      <c r="XFD1170" s="155"/>
    </row>
    <row r="1171" spans="1:29 16384:16384" s="182" customFormat="1" hidden="1" x14ac:dyDescent="0.25">
      <c r="A1171" s="155">
        <v>1</v>
      </c>
      <c r="B1171" s="129">
        <v>1505010</v>
      </c>
      <c r="C1171" s="128" t="s">
        <v>940</v>
      </c>
      <c r="D1171" s="127" t="s">
        <v>1394</v>
      </c>
      <c r="E1171" s="147" t="s">
        <v>38</v>
      </c>
      <c r="F1171" s="138" t="s">
        <v>57</v>
      </c>
      <c r="G1171" s="147" t="s">
        <v>1731</v>
      </c>
      <c r="H1171" s="191">
        <f t="shared" si="19"/>
        <v>0</v>
      </c>
      <c r="I1171" s="225"/>
      <c r="J1171" s="149"/>
      <c r="K1171" s="147">
        <v>12</v>
      </c>
      <c r="L1171" s="147">
        <v>1</v>
      </c>
      <c r="M1171" s="147">
        <v>13</v>
      </c>
      <c r="N1171" s="289"/>
      <c r="O1171" s="196"/>
      <c r="P1171" s="180"/>
      <c r="Q1171" s="174"/>
      <c r="R1171" s="206">
        <v>0</v>
      </c>
      <c r="S1171" s="168"/>
      <c r="T1171" s="138" t="s">
        <v>57</v>
      </c>
      <c r="U1171" s="147" t="s">
        <v>37</v>
      </c>
      <c r="V1171" s="129"/>
      <c r="W1171" s="163" t="s">
        <v>54</v>
      </c>
      <c r="X1171" s="215"/>
      <c r="Y1171" s="216">
        <v>0</v>
      </c>
      <c r="Z1171" s="216">
        <v>0</v>
      </c>
      <c r="AA1171" s="263"/>
      <c r="AB1171" s="155"/>
      <c r="AC1171" s="212"/>
      <c r="XFD1171" s="155"/>
    </row>
    <row r="1172" spans="1:29 16384:16384" s="182" customFormat="1" hidden="1" x14ac:dyDescent="0.25">
      <c r="A1172" s="155">
        <v>1</v>
      </c>
      <c r="B1172" s="129">
        <v>1505011</v>
      </c>
      <c r="C1172" s="128" t="s">
        <v>940</v>
      </c>
      <c r="D1172" s="127" t="s">
        <v>1395</v>
      </c>
      <c r="E1172" s="147" t="s">
        <v>38</v>
      </c>
      <c r="F1172" s="129" t="s">
        <v>1396</v>
      </c>
      <c r="G1172" s="147" t="s">
        <v>1731</v>
      </c>
      <c r="H1172" s="191">
        <f t="shared" si="19"/>
        <v>0</v>
      </c>
      <c r="I1172" s="225"/>
      <c r="J1172" s="149"/>
      <c r="K1172" s="147"/>
      <c r="L1172" s="147"/>
      <c r="M1172" s="147">
        <v>3</v>
      </c>
      <c r="N1172" s="289"/>
      <c r="O1172" s="196"/>
      <c r="P1172" s="180"/>
      <c r="Q1172" s="174"/>
      <c r="R1172" s="206">
        <v>0</v>
      </c>
      <c r="S1172" s="168"/>
      <c r="T1172" s="129" t="s">
        <v>517</v>
      </c>
      <c r="U1172" s="147" t="s">
        <v>35</v>
      </c>
      <c r="V1172" s="129"/>
      <c r="W1172" s="163" t="s">
        <v>54</v>
      </c>
      <c r="X1172" s="215"/>
      <c r="Y1172" s="216">
        <v>0</v>
      </c>
      <c r="Z1172" s="216">
        <v>0</v>
      </c>
      <c r="AA1172" s="263"/>
      <c r="AB1172" s="155"/>
      <c r="AC1172" s="212"/>
      <c r="XFD1172" s="155"/>
    </row>
    <row r="1173" spans="1:29 16384:16384" s="182" customFormat="1" hidden="1" x14ac:dyDescent="0.25">
      <c r="A1173" s="155">
        <v>1</v>
      </c>
      <c r="B1173" s="129">
        <v>1505012</v>
      </c>
      <c r="C1173" s="128" t="s">
        <v>940</v>
      </c>
      <c r="D1173" s="127" t="s">
        <v>1401</v>
      </c>
      <c r="E1173" s="147" t="s">
        <v>38</v>
      </c>
      <c r="F1173" s="129" t="s">
        <v>1396</v>
      </c>
      <c r="G1173" s="147" t="s">
        <v>1731</v>
      </c>
      <c r="H1173" s="191">
        <f t="shared" si="19"/>
        <v>0</v>
      </c>
      <c r="I1173" s="225"/>
      <c r="J1173" s="149"/>
      <c r="K1173" s="147"/>
      <c r="L1173" s="147"/>
      <c r="M1173" s="147">
        <v>2</v>
      </c>
      <c r="N1173" s="289">
        <v>400000</v>
      </c>
      <c r="O1173" s="196"/>
      <c r="P1173" s="180"/>
      <c r="Q1173" s="174"/>
      <c r="R1173" s="206">
        <v>0</v>
      </c>
      <c r="S1173" s="165"/>
      <c r="T1173" s="129" t="s">
        <v>517</v>
      </c>
      <c r="U1173" s="147" t="s">
        <v>35</v>
      </c>
      <c r="V1173" s="129"/>
      <c r="W1173" s="163" t="s">
        <v>54</v>
      </c>
      <c r="X1173" s="215"/>
      <c r="Y1173" s="216">
        <v>0</v>
      </c>
      <c r="Z1173" s="216">
        <v>0</v>
      </c>
      <c r="AA1173" s="263"/>
      <c r="AB1173" s="155"/>
      <c r="AC1173" s="212"/>
      <c r="XFD1173" s="155"/>
    </row>
    <row r="1174" spans="1:29 16384:16384" s="182" customFormat="1" hidden="1" x14ac:dyDescent="0.25">
      <c r="A1174" s="155">
        <v>1</v>
      </c>
      <c r="B1174" s="129">
        <v>1506001</v>
      </c>
      <c r="C1174" s="127" t="s">
        <v>2022</v>
      </c>
      <c r="D1174" s="127" t="s">
        <v>1406</v>
      </c>
      <c r="E1174" s="147" t="s">
        <v>38</v>
      </c>
      <c r="F1174" s="129" t="s">
        <v>1231</v>
      </c>
      <c r="G1174" s="147" t="s">
        <v>1731</v>
      </c>
      <c r="H1174" s="191">
        <f t="shared" si="19"/>
        <v>9.1999999999999998E-2</v>
      </c>
      <c r="I1174" s="134" t="s">
        <v>2088</v>
      </c>
      <c r="J1174" s="146">
        <v>30</v>
      </c>
      <c r="K1174" s="147">
        <v>1</v>
      </c>
      <c r="L1174" s="147">
        <v>1</v>
      </c>
      <c r="M1174" s="147">
        <v>2</v>
      </c>
      <c r="N1174" s="289">
        <v>201</v>
      </c>
      <c r="O1174" s="196"/>
      <c r="P1174" s="180"/>
      <c r="Q1174" s="174">
        <v>9.1999999999999998E-2</v>
      </c>
      <c r="R1174" s="205">
        <v>0</v>
      </c>
      <c r="S1174" s="168"/>
      <c r="T1174" s="129" t="s">
        <v>263</v>
      </c>
      <c r="U1174" s="147" t="s">
        <v>37</v>
      </c>
      <c r="V1174" s="129"/>
      <c r="W1174" s="147" t="s">
        <v>2214</v>
      </c>
      <c r="X1174" s="215"/>
      <c r="Y1174" s="216">
        <v>0</v>
      </c>
      <c r="Z1174" s="216">
        <v>0</v>
      </c>
      <c r="AA1174" s="263"/>
      <c r="AB1174" s="155"/>
      <c r="AC1174" s="212"/>
      <c r="XFD1174" s="155"/>
    </row>
    <row r="1175" spans="1:29 16384:16384" s="182" customFormat="1" hidden="1" x14ac:dyDescent="0.25">
      <c r="A1175" s="155">
        <v>1</v>
      </c>
      <c r="B1175" s="129">
        <v>1506002</v>
      </c>
      <c r="C1175" s="127" t="s">
        <v>2022</v>
      </c>
      <c r="D1175" s="127" t="s">
        <v>1407</v>
      </c>
      <c r="E1175" s="147" t="s">
        <v>38</v>
      </c>
      <c r="F1175" s="129" t="s">
        <v>1231</v>
      </c>
      <c r="G1175" s="147" t="s">
        <v>1731</v>
      </c>
      <c r="H1175" s="191">
        <f t="shared" si="19"/>
        <v>6.2E-2</v>
      </c>
      <c r="I1175" s="134" t="s">
        <v>2088</v>
      </c>
      <c r="J1175" s="146">
        <v>30</v>
      </c>
      <c r="K1175" s="147">
        <v>1</v>
      </c>
      <c r="L1175" s="147">
        <v>1</v>
      </c>
      <c r="M1175" s="147">
        <v>2</v>
      </c>
      <c r="N1175" s="289">
        <v>403</v>
      </c>
      <c r="O1175" s="196"/>
      <c r="P1175" s="180"/>
      <c r="Q1175" s="174">
        <v>6.2E-2</v>
      </c>
      <c r="R1175" s="205">
        <v>0</v>
      </c>
      <c r="S1175" s="168"/>
      <c r="T1175" s="129" t="s">
        <v>263</v>
      </c>
      <c r="U1175" s="147" t="s">
        <v>37</v>
      </c>
      <c r="V1175" s="129"/>
      <c r="W1175" s="147" t="s">
        <v>2214</v>
      </c>
      <c r="X1175" s="215"/>
      <c r="Y1175" s="216">
        <v>0</v>
      </c>
      <c r="Z1175" s="216">
        <v>0</v>
      </c>
      <c r="AA1175" s="263"/>
      <c r="AB1175" s="155"/>
      <c r="AC1175" s="212"/>
      <c r="XFD1175" s="155"/>
    </row>
    <row r="1176" spans="1:29 16384:16384" s="182" customFormat="1" hidden="1" x14ac:dyDescent="0.25">
      <c r="A1176" s="155">
        <v>1</v>
      </c>
      <c r="B1176" s="129">
        <v>1506003</v>
      </c>
      <c r="C1176" s="127" t="s">
        <v>2022</v>
      </c>
      <c r="D1176" s="127" t="s">
        <v>1408</v>
      </c>
      <c r="E1176" s="147" t="s">
        <v>38</v>
      </c>
      <c r="F1176" s="129" t="s">
        <v>1275</v>
      </c>
      <c r="G1176" s="147" t="s">
        <v>1731</v>
      </c>
      <c r="H1176" s="191">
        <f t="shared" si="19"/>
        <v>0.01</v>
      </c>
      <c r="I1176" s="134"/>
      <c r="J1176" s="146">
        <v>60</v>
      </c>
      <c r="K1176" s="147">
        <v>2</v>
      </c>
      <c r="L1176" s="147">
        <v>1</v>
      </c>
      <c r="M1176" s="147">
        <v>3</v>
      </c>
      <c r="N1176" s="289"/>
      <c r="O1176" s="196"/>
      <c r="P1176" s="180"/>
      <c r="Q1176" s="174">
        <v>0.01</v>
      </c>
      <c r="R1176" s="205">
        <v>0</v>
      </c>
      <c r="S1176" s="165"/>
      <c r="T1176" s="129" t="s">
        <v>36</v>
      </c>
      <c r="U1176" s="147" t="s">
        <v>37</v>
      </c>
      <c r="V1176" s="129"/>
      <c r="W1176" s="228" t="s">
        <v>54</v>
      </c>
      <c r="X1176" s="215"/>
      <c r="Y1176" s="216">
        <v>0</v>
      </c>
      <c r="Z1176" s="216">
        <v>0</v>
      </c>
      <c r="AA1176" s="263"/>
      <c r="AB1176" s="155"/>
      <c r="AC1176" s="212"/>
      <c r="XFD1176" s="155"/>
    </row>
    <row r="1177" spans="1:29 16384:16384" s="182" customFormat="1" x14ac:dyDescent="0.25">
      <c r="A1177" s="155">
        <v>1</v>
      </c>
      <c r="B1177" s="129">
        <v>1506004</v>
      </c>
      <c r="C1177" s="127" t="s">
        <v>934</v>
      </c>
      <c r="D1177" s="127" t="s">
        <v>1409</v>
      </c>
      <c r="E1177" s="147" t="s">
        <v>38</v>
      </c>
      <c r="F1177" s="129" t="s">
        <v>36</v>
      </c>
      <c r="G1177" s="147" t="s">
        <v>1731</v>
      </c>
      <c r="H1177" s="191">
        <f t="shared" si="19"/>
        <v>0.38500000000000001</v>
      </c>
      <c r="I1177" s="181" t="s">
        <v>2218</v>
      </c>
      <c r="J1177" s="150"/>
      <c r="K1177" s="147">
        <v>1</v>
      </c>
      <c r="L1177" s="147">
        <v>1</v>
      </c>
      <c r="M1177" s="147">
        <v>2</v>
      </c>
      <c r="N1177" s="289"/>
      <c r="O1177" s="195"/>
      <c r="P1177" s="180"/>
      <c r="Q1177" s="174">
        <v>0.38500000000000001</v>
      </c>
      <c r="R1177" s="206">
        <v>0</v>
      </c>
      <c r="S1177" s="165"/>
      <c r="T1177" s="129" t="s">
        <v>36</v>
      </c>
      <c r="U1177" s="147" t="s">
        <v>37</v>
      </c>
      <c r="V1177" s="129"/>
      <c r="W1177" s="147" t="s">
        <v>2459</v>
      </c>
      <c r="X1177" s="215" t="s">
        <v>1906</v>
      </c>
      <c r="Y1177" s="216">
        <v>16605.416666666668</v>
      </c>
      <c r="Z1177" s="216">
        <v>26568.666666666668</v>
      </c>
      <c r="AA1177" s="263"/>
      <c r="AB1177" s="305"/>
      <c r="AC1177" s="214"/>
      <c r="XFD1177" s="155"/>
    </row>
    <row r="1178" spans="1:29 16384:16384" hidden="1" x14ac:dyDescent="0.25">
      <c r="A1178" s="155">
        <v>1</v>
      </c>
      <c r="B1178" s="129">
        <v>1506005</v>
      </c>
      <c r="C1178" s="127" t="s">
        <v>956</v>
      </c>
      <c r="D1178" s="127" t="s">
        <v>1410</v>
      </c>
      <c r="E1178" s="147" t="s">
        <v>38</v>
      </c>
      <c r="F1178" s="129" t="s">
        <v>36</v>
      </c>
      <c r="G1178" s="147" t="s">
        <v>1731</v>
      </c>
      <c r="H1178" s="191">
        <f t="shared" si="19"/>
        <v>0</v>
      </c>
      <c r="I1178" s="181" t="s">
        <v>2218</v>
      </c>
      <c r="J1178" s="150"/>
      <c r="K1178" s="147">
        <v>2</v>
      </c>
      <c r="L1178" s="147">
        <v>1</v>
      </c>
      <c r="M1178" s="147">
        <v>3</v>
      </c>
      <c r="N1178" s="289"/>
      <c r="O1178" s="196"/>
      <c r="P1178" s="180"/>
      <c r="Q1178" s="174"/>
      <c r="R1178" s="206">
        <v>0</v>
      </c>
      <c r="S1178" s="165"/>
      <c r="T1178" s="129" t="s">
        <v>36</v>
      </c>
      <c r="U1178" s="147" t="s">
        <v>37</v>
      </c>
      <c r="V1178" s="129"/>
      <c r="W1178" s="163" t="s">
        <v>2531</v>
      </c>
      <c r="X1178" s="215"/>
      <c r="Y1178" s="216">
        <v>0</v>
      </c>
      <c r="Z1178" s="216">
        <v>0</v>
      </c>
      <c r="AA1178" s="263"/>
      <c r="AB1178" s="305"/>
      <c r="XFD1178" s="242"/>
    </row>
    <row r="1179" spans="1:29 16384:16384" hidden="1" x14ac:dyDescent="0.25">
      <c r="A1179" s="155">
        <v>1</v>
      </c>
      <c r="B1179" s="129">
        <v>1506006</v>
      </c>
      <c r="C1179" s="127" t="s">
        <v>2022</v>
      </c>
      <c r="D1179" s="127" t="s">
        <v>1564</v>
      </c>
      <c r="E1179" s="147" t="s">
        <v>38</v>
      </c>
      <c r="F1179" s="129" t="s">
        <v>1563</v>
      </c>
      <c r="G1179" s="147" t="s">
        <v>1731</v>
      </c>
      <c r="H1179" s="191">
        <f t="shared" si="19"/>
        <v>7.4999999999999997E-2</v>
      </c>
      <c r="I1179" s="222"/>
      <c r="J1179" s="150"/>
      <c r="K1179" s="147"/>
      <c r="L1179" s="147"/>
      <c r="M1179" s="147">
        <v>10</v>
      </c>
      <c r="N1179" s="289">
        <v>12000</v>
      </c>
      <c r="O1179" s="196"/>
      <c r="P1179" s="180"/>
      <c r="Q1179" s="174">
        <v>7.4999999999999997E-2</v>
      </c>
      <c r="R1179" s="205">
        <v>0</v>
      </c>
      <c r="S1179" s="165"/>
      <c r="T1179" s="129" t="s">
        <v>284</v>
      </c>
      <c r="U1179" s="147" t="s">
        <v>37</v>
      </c>
      <c r="V1179" s="129"/>
      <c r="W1179" s="147" t="s">
        <v>2214</v>
      </c>
      <c r="X1179" s="215"/>
      <c r="Y1179" s="216">
        <v>0</v>
      </c>
      <c r="Z1179" s="216">
        <v>0</v>
      </c>
      <c r="AA1179" s="263"/>
      <c r="AB1179" s="155"/>
      <c r="AC1179" s="212"/>
      <c r="XFD1179" s="242"/>
    </row>
    <row r="1180" spans="1:29 16384:16384" s="182" customFormat="1" hidden="1" x14ac:dyDescent="0.25">
      <c r="A1180" s="155">
        <v>1</v>
      </c>
      <c r="B1180" s="129">
        <v>1506007</v>
      </c>
      <c r="C1180" s="127" t="s">
        <v>956</v>
      </c>
      <c r="D1180" s="127" t="s">
        <v>1617</v>
      </c>
      <c r="E1180" s="147" t="s">
        <v>38</v>
      </c>
      <c r="F1180" s="129" t="s">
        <v>36</v>
      </c>
      <c r="G1180" s="147" t="s">
        <v>1731</v>
      </c>
      <c r="H1180" s="191">
        <f t="shared" si="19"/>
        <v>0</v>
      </c>
      <c r="I1180" s="181" t="s">
        <v>2218</v>
      </c>
      <c r="J1180" s="161"/>
      <c r="K1180" s="147">
        <v>2</v>
      </c>
      <c r="L1180" s="147">
        <v>1</v>
      </c>
      <c r="M1180" s="147">
        <v>3</v>
      </c>
      <c r="N1180" s="289"/>
      <c r="O1180" s="196"/>
      <c r="P1180" s="180"/>
      <c r="Q1180" s="174"/>
      <c r="R1180" s="206">
        <v>0</v>
      </c>
      <c r="S1180" s="165"/>
      <c r="T1180" s="129" t="s">
        <v>36</v>
      </c>
      <c r="U1180" s="147" t="s">
        <v>37</v>
      </c>
      <c r="V1180" s="129"/>
      <c r="W1180" s="163" t="s">
        <v>2531</v>
      </c>
      <c r="X1180" s="215"/>
      <c r="Y1180" s="216">
        <v>0</v>
      </c>
      <c r="Z1180" s="216">
        <v>0</v>
      </c>
      <c r="AA1180" s="263"/>
      <c r="AB1180" s="305"/>
      <c r="AC1180" s="214"/>
      <c r="XFD1180" s="155"/>
    </row>
    <row r="1181" spans="1:29 16384:16384" s="182" customFormat="1" x14ac:dyDescent="0.25">
      <c r="A1181" s="155"/>
      <c r="B1181" s="136">
        <v>1506008</v>
      </c>
      <c r="C1181" s="127" t="s">
        <v>2022</v>
      </c>
      <c r="D1181" s="127" t="s">
        <v>1961</v>
      </c>
      <c r="E1181" s="297" t="s">
        <v>38</v>
      </c>
      <c r="F1181" s="129" t="s">
        <v>1963</v>
      </c>
      <c r="G1181" s="147" t="s">
        <v>1731</v>
      </c>
      <c r="H1181" s="191">
        <f t="shared" si="19"/>
        <v>517.4</v>
      </c>
      <c r="I1181" s="222" t="s">
        <v>2172</v>
      </c>
      <c r="J1181" s="146">
        <v>30</v>
      </c>
      <c r="K1181" s="147">
        <v>1</v>
      </c>
      <c r="L1181" s="147">
        <v>1</v>
      </c>
      <c r="M1181" s="147">
        <v>2</v>
      </c>
      <c r="N1181" s="289">
        <v>10</v>
      </c>
      <c r="O1181" s="195"/>
      <c r="P1181" s="180"/>
      <c r="Q1181" s="174">
        <v>517.4</v>
      </c>
      <c r="R1181" s="205">
        <v>0</v>
      </c>
      <c r="S1181" s="147"/>
      <c r="T1181" s="129" t="s">
        <v>242</v>
      </c>
      <c r="U1181" s="147" t="s">
        <v>35</v>
      </c>
      <c r="V1181" s="129"/>
      <c r="W1181" s="147" t="s">
        <v>2213</v>
      </c>
      <c r="X1181" s="215" t="s">
        <v>1906</v>
      </c>
      <c r="Y1181" s="216">
        <v>0</v>
      </c>
      <c r="Z1181" s="216">
        <v>0</v>
      </c>
      <c r="AA1181" s="263"/>
      <c r="AB1181" s="155"/>
      <c r="AC1181" s="212"/>
      <c r="XFD1181" s="155"/>
    </row>
    <row r="1182" spans="1:29 16384:16384" hidden="1" x14ac:dyDescent="0.25">
      <c r="A1182" s="155">
        <v>1</v>
      </c>
      <c r="B1182" s="129">
        <v>1507001</v>
      </c>
      <c r="C1182" s="127" t="s">
        <v>2022</v>
      </c>
      <c r="D1182" s="127" t="s">
        <v>1412</v>
      </c>
      <c r="E1182" s="147" t="s">
        <v>38</v>
      </c>
      <c r="F1182" s="129" t="s">
        <v>1231</v>
      </c>
      <c r="G1182" s="147" t="s">
        <v>1731</v>
      </c>
      <c r="H1182" s="191">
        <f t="shared" si="19"/>
        <v>9.9</v>
      </c>
      <c r="I1182" s="134" t="s">
        <v>2088</v>
      </c>
      <c r="J1182" s="146">
        <v>30</v>
      </c>
      <c r="K1182" s="147">
        <v>1</v>
      </c>
      <c r="L1182" s="147">
        <v>1</v>
      </c>
      <c r="M1182" s="147">
        <v>2</v>
      </c>
      <c r="N1182" s="289"/>
      <c r="O1182" s="196"/>
      <c r="P1182" s="180"/>
      <c r="Q1182" s="174">
        <v>9.9</v>
      </c>
      <c r="R1182" s="205">
        <v>0</v>
      </c>
      <c r="S1182" s="168"/>
      <c r="T1182" s="129" t="s">
        <v>263</v>
      </c>
      <c r="U1182" s="147" t="s">
        <v>37</v>
      </c>
      <c r="V1182" s="129"/>
      <c r="W1182" s="147" t="s">
        <v>2214</v>
      </c>
      <c r="X1182" s="215"/>
      <c r="Y1182" s="216">
        <v>0</v>
      </c>
      <c r="Z1182" s="216">
        <v>0</v>
      </c>
      <c r="AA1182" s="263"/>
      <c r="AB1182" s="155"/>
      <c r="AC1182" s="212"/>
      <c r="XFD1182" s="242"/>
    </row>
    <row r="1183" spans="1:29 16384:16384" hidden="1" x14ac:dyDescent="0.25">
      <c r="A1183" s="155">
        <v>1</v>
      </c>
      <c r="B1183" s="129">
        <v>1507002</v>
      </c>
      <c r="C1183" s="127" t="s">
        <v>2022</v>
      </c>
      <c r="D1183" s="127" t="s">
        <v>1413</v>
      </c>
      <c r="E1183" s="147" t="s">
        <v>38</v>
      </c>
      <c r="F1183" s="129" t="s">
        <v>1231</v>
      </c>
      <c r="G1183" s="147" t="s">
        <v>1731</v>
      </c>
      <c r="H1183" s="191">
        <f t="shared" si="19"/>
        <v>5.95</v>
      </c>
      <c r="I1183" s="134" t="s">
        <v>2088</v>
      </c>
      <c r="J1183" s="146">
        <v>30</v>
      </c>
      <c r="K1183" s="147">
        <v>1</v>
      </c>
      <c r="L1183" s="147">
        <v>1</v>
      </c>
      <c r="M1183" s="147">
        <v>2</v>
      </c>
      <c r="N1183" s="289"/>
      <c r="O1183" s="196"/>
      <c r="P1183" s="180"/>
      <c r="Q1183" s="174">
        <v>5.95</v>
      </c>
      <c r="R1183" s="205">
        <v>0</v>
      </c>
      <c r="S1183" s="168"/>
      <c r="T1183" s="129" t="s">
        <v>263</v>
      </c>
      <c r="U1183" s="147" t="s">
        <v>37</v>
      </c>
      <c r="V1183" s="129"/>
      <c r="W1183" s="147" t="s">
        <v>2214</v>
      </c>
      <c r="X1183" s="215"/>
      <c r="Y1183" s="216">
        <v>0</v>
      </c>
      <c r="Z1183" s="216">
        <v>0</v>
      </c>
      <c r="AA1183" s="263"/>
      <c r="AB1183" s="155"/>
      <c r="AC1183" s="212"/>
      <c r="XFD1183" s="242"/>
    </row>
    <row r="1184" spans="1:29 16384:16384" hidden="1" x14ac:dyDescent="0.25">
      <c r="A1184" s="155">
        <v>1</v>
      </c>
      <c r="B1184" s="129">
        <v>1508001</v>
      </c>
      <c r="C1184" s="127" t="s">
        <v>2022</v>
      </c>
      <c r="D1184" s="127" t="s">
        <v>1414</v>
      </c>
      <c r="E1184" s="147" t="s">
        <v>38</v>
      </c>
      <c r="F1184" s="138" t="s">
        <v>57</v>
      </c>
      <c r="G1184" s="147" t="s">
        <v>1731</v>
      </c>
      <c r="H1184" s="191">
        <f t="shared" si="19"/>
        <v>0</v>
      </c>
      <c r="I1184" s="225"/>
      <c r="J1184" s="149"/>
      <c r="K1184" s="147">
        <v>12</v>
      </c>
      <c r="L1184" s="147">
        <v>1</v>
      </c>
      <c r="M1184" s="147">
        <v>13</v>
      </c>
      <c r="N1184" s="289"/>
      <c r="O1184" s="196"/>
      <c r="P1184" s="180"/>
      <c r="Q1184" s="174"/>
      <c r="R1184" s="206">
        <v>0</v>
      </c>
      <c r="S1184" s="168"/>
      <c r="T1184" s="129" t="s">
        <v>1415</v>
      </c>
      <c r="U1184" s="147" t="s">
        <v>37</v>
      </c>
      <c r="V1184" s="129"/>
      <c r="W1184" s="163" t="s">
        <v>54</v>
      </c>
      <c r="X1184" s="215"/>
      <c r="Y1184" s="216">
        <v>0</v>
      </c>
      <c r="Z1184" s="216">
        <v>0</v>
      </c>
      <c r="AA1184" s="263"/>
      <c r="AB1184" s="155"/>
      <c r="AC1184" s="212"/>
      <c r="XFD1184" s="242"/>
    </row>
    <row r="1185" spans="1:29 16383:16384" hidden="1" x14ac:dyDescent="0.25">
      <c r="A1185" s="155">
        <v>1</v>
      </c>
      <c r="B1185" s="129">
        <v>1509001</v>
      </c>
      <c r="C1185" s="127" t="s">
        <v>956</v>
      </c>
      <c r="D1185" s="127" t="s">
        <v>1416</v>
      </c>
      <c r="E1185" s="147" t="s">
        <v>38</v>
      </c>
      <c r="F1185" s="129" t="s">
        <v>55</v>
      </c>
      <c r="G1185" s="147" t="s">
        <v>1731</v>
      </c>
      <c r="H1185" s="191">
        <f t="shared" si="19"/>
        <v>0</v>
      </c>
      <c r="I1185" s="225"/>
      <c r="J1185" s="148">
        <v>30</v>
      </c>
      <c r="K1185" s="147"/>
      <c r="L1185" s="147"/>
      <c r="M1185" s="147">
        <v>1</v>
      </c>
      <c r="N1185" s="289"/>
      <c r="O1185" s="196"/>
      <c r="P1185" s="180"/>
      <c r="Q1185" s="174"/>
      <c r="R1185" s="206">
        <v>0</v>
      </c>
      <c r="S1185" s="168"/>
      <c r="T1185" s="129" t="s">
        <v>55</v>
      </c>
      <c r="U1185" s="147" t="s">
        <v>37</v>
      </c>
      <c r="V1185" s="129"/>
      <c r="W1185" s="177" t="s">
        <v>2531</v>
      </c>
      <c r="X1185" s="215"/>
      <c r="Y1185" s="216">
        <v>0</v>
      </c>
      <c r="Z1185" s="216">
        <v>0</v>
      </c>
      <c r="AA1185" s="263"/>
      <c r="AB1185" s="155"/>
      <c r="AC1185" s="212"/>
      <c r="XFD1185" s="242"/>
    </row>
    <row r="1186" spans="1:29 16383:16384" ht="24" x14ac:dyDescent="0.25">
      <c r="A1186" s="155">
        <v>1</v>
      </c>
      <c r="B1186" s="129">
        <v>1509005</v>
      </c>
      <c r="C1186" s="127" t="s">
        <v>2022</v>
      </c>
      <c r="D1186" s="127" t="s">
        <v>2482</v>
      </c>
      <c r="E1186" s="147" t="s">
        <v>38</v>
      </c>
      <c r="F1186" s="129" t="s">
        <v>1360</v>
      </c>
      <c r="G1186" s="147" t="s">
        <v>1731</v>
      </c>
      <c r="H1186" s="191">
        <f t="shared" si="19"/>
        <v>0.12709999999999999</v>
      </c>
      <c r="I1186" s="222" t="s">
        <v>2228</v>
      </c>
      <c r="J1186" s="146">
        <v>30</v>
      </c>
      <c r="K1186" s="147">
        <v>6</v>
      </c>
      <c r="L1186" s="147">
        <v>4</v>
      </c>
      <c r="M1186" s="147">
        <v>10</v>
      </c>
      <c r="N1186" s="289">
        <v>10000</v>
      </c>
      <c r="O1186" s="195"/>
      <c r="P1186" s="180">
        <v>45804</v>
      </c>
      <c r="Q1186" s="174">
        <v>0.12709999999999999</v>
      </c>
      <c r="R1186" s="205">
        <v>0</v>
      </c>
      <c r="S1186" s="165"/>
      <c r="T1186" s="129" t="s">
        <v>1448</v>
      </c>
      <c r="U1186" s="147" t="s">
        <v>37</v>
      </c>
      <c r="V1186" s="129"/>
      <c r="W1186" s="147" t="s">
        <v>2213</v>
      </c>
      <c r="X1186" s="215" t="s">
        <v>1906</v>
      </c>
      <c r="Y1186" s="216">
        <v>6290.6816375000026</v>
      </c>
      <c r="Z1186" s="216">
        <v>8177.886128750004</v>
      </c>
      <c r="AA1186" s="263"/>
      <c r="AB1186" s="305"/>
      <c r="XFD1186" s="242"/>
    </row>
    <row r="1187" spans="1:29 16383:16384" hidden="1" x14ac:dyDescent="0.25">
      <c r="A1187" s="155">
        <v>1</v>
      </c>
      <c r="B1187" s="129">
        <v>1509006</v>
      </c>
      <c r="C1187" s="127" t="s">
        <v>2022</v>
      </c>
      <c r="D1187" s="127" t="s">
        <v>1419</v>
      </c>
      <c r="E1187" s="147" t="s">
        <v>38</v>
      </c>
      <c r="F1187" s="129" t="s">
        <v>1231</v>
      </c>
      <c r="G1187" s="147" t="s">
        <v>1731</v>
      </c>
      <c r="H1187" s="191">
        <f t="shared" si="19"/>
        <v>0.01</v>
      </c>
      <c r="I1187" s="134" t="s">
        <v>2088</v>
      </c>
      <c r="J1187" s="146">
        <v>30</v>
      </c>
      <c r="K1187" s="147">
        <v>1</v>
      </c>
      <c r="L1187" s="147">
        <v>1</v>
      </c>
      <c r="M1187" s="147">
        <v>2</v>
      </c>
      <c r="N1187" s="289">
        <v>25</v>
      </c>
      <c r="O1187" s="196"/>
      <c r="P1187" s="180"/>
      <c r="Q1187" s="174">
        <v>0.01</v>
      </c>
      <c r="R1187" s="205">
        <v>0</v>
      </c>
      <c r="S1187" s="168"/>
      <c r="T1187" s="129" t="s">
        <v>36</v>
      </c>
      <c r="U1187" s="147" t="s">
        <v>37</v>
      </c>
      <c r="V1187" s="129"/>
      <c r="W1187" s="147" t="s">
        <v>2214</v>
      </c>
      <c r="X1187" s="215"/>
      <c r="Y1187" s="216">
        <v>0</v>
      </c>
      <c r="Z1187" s="216">
        <v>0</v>
      </c>
      <c r="AA1187" s="263"/>
      <c r="AB1187" s="155"/>
      <c r="AC1187" s="212"/>
      <c r="XFD1187" s="242"/>
    </row>
    <row r="1188" spans="1:29 16383:16384" x14ac:dyDescent="0.25">
      <c r="A1188" s="155">
        <v>1</v>
      </c>
      <c r="B1188" s="129">
        <v>1509007</v>
      </c>
      <c r="C1188" s="127" t="s">
        <v>940</v>
      </c>
      <c r="D1188" s="127" t="s">
        <v>1421</v>
      </c>
      <c r="E1188" s="147" t="s">
        <v>38</v>
      </c>
      <c r="F1188" s="129" t="s">
        <v>1422</v>
      </c>
      <c r="G1188" s="147" t="s">
        <v>1731</v>
      </c>
      <c r="H1188" s="191">
        <f t="shared" si="19"/>
        <v>4.5</v>
      </c>
      <c r="I1188" s="222" t="s">
        <v>2172</v>
      </c>
      <c r="J1188" s="150"/>
      <c r="K1188" s="147">
        <v>2</v>
      </c>
      <c r="L1188" s="147">
        <v>1</v>
      </c>
      <c r="M1188" s="147">
        <v>3</v>
      </c>
      <c r="N1188" s="289">
        <v>8000</v>
      </c>
      <c r="O1188" s="196">
        <v>4.7</v>
      </c>
      <c r="P1188" s="180">
        <v>45266</v>
      </c>
      <c r="Q1188" s="174">
        <v>4.5</v>
      </c>
      <c r="R1188" s="205">
        <v>0</v>
      </c>
      <c r="S1188" s="168"/>
      <c r="T1188" s="129" t="s">
        <v>2316</v>
      </c>
      <c r="U1188" s="147" t="s">
        <v>37</v>
      </c>
      <c r="V1188" s="129"/>
      <c r="W1188" s="147" t="s">
        <v>2213</v>
      </c>
      <c r="X1188" s="215" t="s">
        <v>1906</v>
      </c>
      <c r="Y1188" s="216">
        <v>0</v>
      </c>
      <c r="Z1188" s="216">
        <v>0</v>
      </c>
      <c r="AA1188" s="263"/>
      <c r="AB1188" s="155"/>
      <c r="AC1188" s="212"/>
      <c r="XFD1188" s="242"/>
    </row>
    <row r="1189" spans="1:29 16383:16384" hidden="1" x14ac:dyDescent="0.25">
      <c r="A1189" s="155">
        <v>1</v>
      </c>
      <c r="B1189" s="129">
        <v>1509008</v>
      </c>
      <c r="C1189" s="127" t="s">
        <v>934</v>
      </c>
      <c r="D1189" s="127" t="s">
        <v>1427</v>
      </c>
      <c r="E1189" s="147" t="s">
        <v>38</v>
      </c>
      <c r="F1189" s="129" t="s">
        <v>36</v>
      </c>
      <c r="G1189" s="147" t="s">
        <v>1731</v>
      </c>
      <c r="H1189" s="191">
        <f t="shared" si="19"/>
        <v>0.27560000000000001</v>
      </c>
      <c r="I1189" s="181" t="s">
        <v>2218</v>
      </c>
      <c r="J1189" s="150"/>
      <c r="K1189" s="147"/>
      <c r="L1189" s="147"/>
      <c r="M1189" s="147">
        <v>4</v>
      </c>
      <c r="N1189" s="289">
        <v>4000</v>
      </c>
      <c r="O1189" s="196"/>
      <c r="P1189" s="180"/>
      <c r="Q1189" s="174">
        <v>0.27560000000000001</v>
      </c>
      <c r="R1189" s="206">
        <v>0</v>
      </c>
      <c r="S1189" s="165"/>
      <c r="T1189" s="129" t="s">
        <v>36</v>
      </c>
      <c r="U1189" s="147" t="s">
        <v>37</v>
      </c>
      <c r="V1189" s="129"/>
      <c r="W1189" s="163" t="s">
        <v>2531</v>
      </c>
      <c r="X1189" s="215"/>
      <c r="Y1189" s="216">
        <v>0</v>
      </c>
      <c r="Z1189" s="216">
        <v>0</v>
      </c>
      <c r="AA1189" s="263"/>
      <c r="AB1189" s="305"/>
      <c r="XFD1189" s="242"/>
    </row>
    <row r="1190" spans="1:29 16383:16384" hidden="1" x14ac:dyDescent="0.25">
      <c r="A1190" s="155">
        <v>1</v>
      </c>
      <c r="B1190" s="136">
        <v>1509009</v>
      </c>
      <c r="C1190" s="128" t="s">
        <v>934</v>
      </c>
      <c r="D1190" s="127" t="s">
        <v>1428</v>
      </c>
      <c r="E1190" s="147" t="s">
        <v>38</v>
      </c>
      <c r="F1190" s="129" t="s">
        <v>1429</v>
      </c>
      <c r="G1190" s="147" t="s">
        <v>1731</v>
      </c>
      <c r="H1190" s="191">
        <f t="shared" si="19"/>
        <v>0</v>
      </c>
      <c r="I1190" s="225"/>
      <c r="J1190" s="149"/>
      <c r="K1190" s="147">
        <v>11</v>
      </c>
      <c r="L1190" s="147">
        <v>1</v>
      </c>
      <c r="M1190" s="147">
        <v>12</v>
      </c>
      <c r="N1190" s="289"/>
      <c r="O1190" s="196"/>
      <c r="P1190" s="180"/>
      <c r="Q1190" s="174"/>
      <c r="R1190" s="206">
        <v>0</v>
      </c>
      <c r="S1190" s="168"/>
      <c r="T1190" s="129"/>
      <c r="U1190" s="147" t="s">
        <v>37</v>
      </c>
      <c r="V1190" s="129"/>
      <c r="W1190" s="163" t="s">
        <v>54</v>
      </c>
      <c r="X1190" s="215"/>
      <c r="Y1190" s="216">
        <v>0</v>
      </c>
      <c r="Z1190" s="216">
        <v>0</v>
      </c>
      <c r="AA1190" s="263"/>
      <c r="AB1190" s="155"/>
      <c r="AC1190" s="212"/>
      <c r="XFD1190" s="242"/>
    </row>
    <row r="1191" spans="1:29 16383:16384" x14ac:dyDescent="0.25">
      <c r="A1191" s="155">
        <v>1</v>
      </c>
      <c r="B1191" s="136">
        <v>1509010</v>
      </c>
      <c r="C1191" s="128" t="s">
        <v>934</v>
      </c>
      <c r="D1191" s="127" t="s">
        <v>1430</v>
      </c>
      <c r="E1191" s="147" t="s">
        <v>38</v>
      </c>
      <c r="F1191" s="129" t="s">
        <v>36</v>
      </c>
      <c r="G1191" s="147" t="s">
        <v>1731</v>
      </c>
      <c r="H1191" s="191">
        <f t="shared" si="19"/>
        <v>0.38200000000000001</v>
      </c>
      <c r="I1191" s="181" t="s">
        <v>2218</v>
      </c>
      <c r="J1191" s="150"/>
      <c r="K1191" s="147">
        <v>9</v>
      </c>
      <c r="L1191" s="147">
        <v>1</v>
      </c>
      <c r="M1191" s="147">
        <v>10</v>
      </c>
      <c r="N1191" s="289">
        <v>9000</v>
      </c>
      <c r="O1191" s="195"/>
      <c r="P1191" s="180"/>
      <c r="Q1191" s="174">
        <v>0.38200000000000001</v>
      </c>
      <c r="R1191" s="206">
        <v>0</v>
      </c>
      <c r="S1191" s="165"/>
      <c r="T1191" s="129" t="s">
        <v>36</v>
      </c>
      <c r="U1191" s="147" t="s">
        <v>37</v>
      </c>
      <c r="V1191" s="129"/>
      <c r="W1191" s="147" t="s">
        <v>2459</v>
      </c>
      <c r="X1191" s="215" t="s">
        <v>1906</v>
      </c>
      <c r="Y1191" s="216">
        <v>15232.479166666668</v>
      </c>
      <c r="Z1191" s="216">
        <v>18747.666666666668</v>
      </c>
      <c r="AA1191" s="263"/>
      <c r="AB1191" s="305"/>
      <c r="XFD1191" s="242"/>
    </row>
    <row r="1192" spans="1:29 16383:16384" hidden="1" x14ac:dyDescent="0.25">
      <c r="A1192" s="155">
        <v>1</v>
      </c>
      <c r="B1192" s="136">
        <v>1509011</v>
      </c>
      <c r="C1192" s="128" t="s">
        <v>934</v>
      </c>
      <c r="D1192" s="127" t="s">
        <v>1434</v>
      </c>
      <c r="E1192" s="147" t="s">
        <v>38</v>
      </c>
      <c r="F1192" s="129" t="s">
        <v>1435</v>
      </c>
      <c r="G1192" s="147" t="s">
        <v>1731</v>
      </c>
      <c r="H1192" s="191">
        <f t="shared" si="19"/>
        <v>1.2476500000000001</v>
      </c>
      <c r="I1192" s="134"/>
      <c r="J1192" s="150"/>
      <c r="K1192" s="147"/>
      <c r="L1192" s="147"/>
      <c r="M1192" s="147">
        <v>10</v>
      </c>
      <c r="N1192" s="289">
        <v>3000</v>
      </c>
      <c r="O1192" s="196"/>
      <c r="P1192" s="180"/>
      <c r="Q1192" s="174">
        <v>1.2110000000000001</v>
      </c>
      <c r="R1192" s="205">
        <v>3.6650000000000002E-2</v>
      </c>
      <c r="S1192" s="165" t="s">
        <v>35</v>
      </c>
      <c r="T1192" s="129" t="s">
        <v>36</v>
      </c>
      <c r="U1192" s="147" t="s">
        <v>37</v>
      </c>
      <c r="V1192" s="129"/>
      <c r="W1192" s="147" t="s">
        <v>2214</v>
      </c>
      <c r="X1192" s="215"/>
      <c r="Y1192" s="216">
        <v>0</v>
      </c>
      <c r="Z1192" s="216">
        <v>0</v>
      </c>
      <c r="AA1192" s="263"/>
      <c r="AB1192" s="155"/>
      <c r="AC1192" s="212"/>
      <c r="XFD1192" s="242"/>
    </row>
    <row r="1193" spans="1:29 16383:16384" hidden="1" x14ac:dyDescent="0.25">
      <c r="A1193" s="155"/>
      <c r="B1193" s="136">
        <v>1509012</v>
      </c>
      <c r="C1193" s="127" t="s">
        <v>2022</v>
      </c>
      <c r="D1193" s="127" t="s">
        <v>1729</v>
      </c>
      <c r="E1193" s="147" t="s">
        <v>38</v>
      </c>
      <c r="F1193" s="129" t="s">
        <v>2465</v>
      </c>
      <c r="G1193" s="147" t="s">
        <v>1731</v>
      </c>
      <c r="H1193" s="191">
        <f t="shared" si="19"/>
        <v>0</v>
      </c>
      <c r="I1193" s="181" t="s">
        <v>2218</v>
      </c>
      <c r="J1193" s="148">
        <v>60</v>
      </c>
      <c r="K1193" s="147">
        <v>1</v>
      </c>
      <c r="L1193" s="147">
        <v>1</v>
      </c>
      <c r="M1193" s="147">
        <v>2</v>
      </c>
      <c r="N1193" s="289"/>
      <c r="O1193" s="195"/>
      <c r="P1193" s="180"/>
      <c r="Q1193" s="174"/>
      <c r="R1193" s="205">
        <v>0</v>
      </c>
      <c r="S1193" s="165"/>
      <c r="T1193" s="129" t="s">
        <v>1852</v>
      </c>
      <c r="U1193" s="147" t="s">
        <v>35</v>
      </c>
      <c r="V1193" s="129"/>
      <c r="W1193" s="147" t="s">
        <v>2464</v>
      </c>
      <c r="X1193" s="215" t="s">
        <v>1906</v>
      </c>
      <c r="Y1193" s="216">
        <v>0</v>
      </c>
      <c r="Z1193" s="216">
        <v>0</v>
      </c>
      <c r="AA1193" s="263"/>
      <c r="AB1193" s="305"/>
      <c r="XFD1193" s="242"/>
    </row>
    <row r="1194" spans="1:29 16383:16384" hidden="1" x14ac:dyDescent="0.25">
      <c r="A1194" s="155"/>
      <c r="B1194" s="136">
        <v>1509013</v>
      </c>
      <c r="C1194" s="127" t="s">
        <v>2022</v>
      </c>
      <c r="D1194" s="127" t="s">
        <v>1730</v>
      </c>
      <c r="E1194" s="147" t="s">
        <v>38</v>
      </c>
      <c r="F1194" s="129" t="s">
        <v>2465</v>
      </c>
      <c r="G1194" s="147" t="s">
        <v>1731</v>
      </c>
      <c r="H1194" s="191">
        <f t="shared" si="19"/>
        <v>0</v>
      </c>
      <c r="I1194" s="181" t="s">
        <v>2218</v>
      </c>
      <c r="J1194" s="148">
        <v>60</v>
      </c>
      <c r="K1194" s="147">
        <v>1</v>
      </c>
      <c r="L1194" s="147">
        <v>1</v>
      </c>
      <c r="M1194" s="147">
        <v>2</v>
      </c>
      <c r="N1194" s="289"/>
      <c r="O1194" s="195"/>
      <c r="P1194" s="180"/>
      <c r="Q1194" s="174"/>
      <c r="R1194" s="205">
        <v>0</v>
      </c>
      <c r="S1194" s="165"/>
      <c r="T1194" s="129" t="s">
        <v>1852</v>
      </c>
      <c r="U1194" s="147" t="s">
        <v>35</v>
      </c>
      <c r="V1194" s="129"/>
      <c r="W1194" s="147" t="s">
        <v>2464</v>
      </c>
      <c r="X1194" s="215" t="s">
        <v>1906</v>
      </c>
      <c r="Y1194" s="216">
        <v>0</v>
      </c>
      <c r="Z1194" s="216">
        <v>0</v>
      </c>
      <c r="AA1194" s="263"/>
      <c r="AB1194" s="305"/>
      <c r="XFD1194" s="242"/>
    </row>
    <row r="1195" spans="1:29 16383:16384" x14ac:dyDescent="0.25">
      <c r="A1195" s="155"/>
      <c r="B1195" s="129">
        <v>1509014</v>
      </c>
      <c r="C1195" s="129" t="s">
        <v>940</v>
      </c>
      <c r="D1195" s="129" t="s">
        <v>1876</v>
      </c>
      <c r="E1195" s="147" t="s">
        <v>38</v>
      </c>
      <c r="F1195" s="129" t="s">
        <v>1891</v>
      </c>
      <c r="G1195" s="147" t="s">
        <v>1731</v>
      </c>
      <c r="H1195" s="191">
        <f t="shared" si="19"/>
        <v>0</v>
      </c>
      <c r="I1195" s="239"/>
      <c r="J1195" s="151"/>
      <c r="K1195" s="147">
        <v>11</v>
      </c>
      <c r="L1195" s="147">
        <v>1</v>
      </c>
      <c r="M1195" s="147">
        <v>12</v>
      </c>
      <c r="N1195" s="289"/>
      <c r="O1195" s="198"/>
      <c r="P1195" s="180"/>
      <c r="Q1195" s="187"/>
      <c r="R1195" s="209"/>
      <c r="S1195" s="165"/>
      <c r="T1195" s="129" t="s">
        <v>2211</v>
      </c>
      <c r="U1195" s="147" t="s">
        <v>37</v>
      </c>
      <c r="V1195" s="147" t="s">
        <v>1801</v>
      </c>
      <c r="W1195" s="147" t="s">
        <v>2213</v>
      </c>
      <c r="X1195" s="215"/>
      <c r="Y1195" s="216">
        <v>0</v>
      </c>
      <c r="Z1195" s="216">
        <v>0</v>
      </c>
      <c r="AA1195" s="263"/>
      <c r="AB1195" s="155"/>
      <c r="AC1195" s="212"/>
      <c r="XFD1195" s="242"/>
    </row>
    <row r="1196" spans="1:29 16383:16384" hidden="1" x14ac:dyDescent="0.25">
      <c r="A1196" s="155">
        <v>1</v>
      </c>
      <c r="B1196" s="136">
        <v>1509015</v>
      </c>
      <c r="C1196" s="128" t="s">
        <v>934</v>
      </c>
      <c r="D1196" s="127" t="s">
        <v>1436</v>
      </c>
      <c r="E1196" s="147" t="s">
        <v>38</v>
      </c>
      <c r="F1196" s="129" t="s">
        <v>1437</v>
      </c>
      <c r="G1196" s="147" t="s">
        <v>1731</v>
      </c>
      <c r="H1196" s="191">
        <f t="shared" si="19"/>
        <v>0</v>
      </c>
      <c r="I1196" s="225"/>
      <c r="J1196" s="149"/>
      <c r="K1196" s="147"/>
      <c r="L1196" s="147"/>
      <c r="M1196" s="147">
        <v>3</v>
      </c>
      <c r="N1196" s="289">
        <v>650</v>
      </c>
      <c r="O1196" s="196"/>
      <c r="P1196" s="180"/>
      <c r="Q1196" s="174"/>
      <c r="R1196" s="206">
        <v>0</v>
      </c>
      <c r="S1196" s="168"/>
      <c r="T1196" s="129" t="s">
        <v>36</v>
      </c>
      <c r="U1196" s="147" t="s">
        <v>37</v>
      </c>
      <c r="V1196" s="129"/>
      <c r="W1196" s="163" t="s">
        <v>54</v>
      </c>
      <c r="X1196" s="215"/>
      <c r="Y1196" s="216">
        <v>0</v>
      </c>
      <c r="Z1196" s="216">
        <v>0</v>
      </c>
      <c r="AA1196" s="263"/>
      <c r="AB1196" s="155"/>
      <c r="AC1196" s="212"/>
      <c r="XFD1196" s="242"/>
    </row>
    <row r="1197" spans="1:29 16383:16384" hidden="1" x14ac:dyDescent="0.25">
      <c r="A1197" s="155"/>
      <c r="B1197" s="136">
        <v>1509016</v>
      </c>
      <c r="C1197" s="127" t="s">
        <v>2022</v>
      </c>
      <c r="D1197" s="127" t="s">
        <v>2014</v>
      </c>
      <c r="E1197" s="147" t="s">
        <v>38</v>
      </c>
      <c r="F1197" s="129" t="s">
        <v>2465</v>
      </c>
      <c r="G1197" s="147" t="s">
        <v>1731</v>
      </c>
      <c r="H1197" s="191">
        <f t="shared" si="19"/>
        <v>0</v>
      </c>
      <c r="I1197" s="181" t="s">
        <v>2218</v>
      </c>
      <c r="J1197" s="148">
        <v>60</v>
      </c>
      <c r="K1197" s="147">
        <v>1</v>
      </c>
      <c r="L1197" s="147">
        <v>1</v>
      </c>
      <c r="M1197" s="147">
        <v>2</v>
      </c>
      <c r="N1197" s="289"/>
      <c r="O1197" s="195"/>
      <c r="P1197" s="180"/>
      <c r="Q1197" s="174"/>
      <c r="R1197" s="205"/>
      <c r="S1197" s="147"/>
      <c r="T1197" s="129" t="s">
        <v>1852</v>
      </c>
      <c r="U1197" s="147" t="s">
        <v>35</v>
      </c>
      <c r="V1197" s="129"/>
      <c r="W1197" s="147" t="s">
        <v>2464</v>
      </c>
      <c r="X1197" s="215" t="s">
        <v>1906</v>
      </c>
      <c r="Y1197" s="216">
        <v>0</v>
      </c>
      <c r="Z1197" s="216">
        <v>0</v>
      </c>
      <c r="AA1197" s="263"/>
      <c r="AB1197" s="305"/>
      <c r="XFD1197" s="242"/>
    </row>
    <row r="1198" spans="1:29 16383:16384" ht="24" x14ac:dyDescent="0.25">
      <c r="A1198" s="155"/>
      <c r="B1198" s="136">
        <v>1509017</v>
      </c>
      <c r="C1198" s="127" t="s">
        <v>2022</v>
      </c>
      <c r="D1198" s="127" t="s">
        <v>2039</v>
      </c>
      <c r="E1198" s="147" t="s">
        <v>38</v>
      </c>
      <c r="F1198" s="129" t="s">
        <v>2020</v>
      </c>
      <c r="G1198" s="147" t="s">
        <v>1731</v>
      </c>
      <c r="H1198" s="191">
        <f t="shared" si="19"/>
        <v>1.5486</v>
      </c>
      <c r="I1198" s="222" t="s">
        <v>2228</v>
      </c>
      <c r="J1198" s="146">
        <v>30</v>
      </c>
      <c r="K1198" s="147">
        <v>2</v>
      </c>
      <c r="L1198" s="147">
        <v>1</v>
      </c>
      <c r="M1198" s="147">
        <v>3</v>
      </c>
      <c r="N1198" s="289">
        <v>1</v>
      </c>
      <c r="O1198" s="195"/>
      <c r="P1198" s="180">
        <v>45685</v>
      </c>
      <c r="Q1198" s="174">
        <v>1.5486</v>
      </c>
      <c r="R1198" s="205">
        <v>0</v>
      </c>
      <c r="S1198" s="147"/>
      <c r="T1198" s="129" t="s">
        <v>2211</v>
      </c>
      <c r="U1198" s="147" t="s">
        <v>37</v>
      </c>
      <c r="V1198" s="129"/>
      <c r="W1198" s="147" t="s">
        <v>2215</v>
      </c>
      <c r="X1198" s="215" t="s">
        <v>1938</v>
      </c>
      <c r="Y1198" s="216"/>
      <c r="Z1198" s="216"/>
      <c r="AA1198" s="263"/>
      <c r="AB1198" s="305"/>
      <c r="XFD1198" s="242"/>
    </row>
    <row r="1199" spans="1:29 16383:16384" ht="24" x14ac:dyDescent="0.25">
      <c r="A1199" s="155"/>
      <c r="B1199" s="136">
        <v>1509018</v>
      </c>
      <c r="C1199" s="127" t="s">
        <v>2022</v>
      </c>
      <c r="D1199" s="127" t="s">
        <v>2041</v>
      </c>
      <c r="E1199" s="147" t="s">
        <v>38</v>
      </c>
      <c r="F1199" s="129" t="s">
        <v>2020</v>
      </c>
      <c r="G1199" s="147" t="s">
        <v>1731</v>
      </c>
      <c r="H1199" s="191">
        <f t="shared" si="19"/>
        <v>0.1046</v>
      </c>
      <c r="I1199" s="222" t="s">
        <v>2228</v>
      </c>
      <c r="J1199" s="146">
        <v>30</v>
      </c>
      <c r="K1199" s="147">
        <v>2</v>
      </c>
      <c r="L1199" s="147">
        <v>1</v>
      </c>
      <c r="M1199" s="147">
        <v>3</v>
      </c>
      <c r="N1199" s="289">
        <v>1</v>
      </c>
      <c r="O1199" s="195"/>
      <c r="P1199" s="180">
        <v>45685</v>
      </c>
      <c r="Q1199" s="174">
        <v>0.1046</v>
      </c>
      <c r="R1199" s="205">
        <v>0</v>
      </c>
      <c r="S1199" s="147"/>
      <c r="T1199" s="129" t="s">
        <v>2211</v>
      </c>
      <c r="U1199" s="147" t="s">
        <v>37</v>
      </c>
      <c r="V1199" s="129"/>
      <c r="W1199" s="147" t="s">
        <v>2215</v>
      </c>
      <c r="X1199" s="215" t="s">
        <v>1938</v>
      </c>
      <c r="Y1199" s="216"/>
      <c r="Z1199" s="216"/>
      <c r="AA1199" s="263"/>
      <c r="AB1199" s="305"/>
      <c r="XFC1199" s="242"/>
      <c r="XFD1199" s="242"/>
    </row>
    <row r="1200" spans="1:29 16383:16384" ht="24" x14ac:dyDescent="0.25">
      <c r="A1200" s="155"/>
      <c r="B1200" s="136">
        <v>1509019</v>
      </c>
      <c r="C1200" s="127" t="s">
        <v>2022</v>
      </c>
      <c r="D1200" s="127" t="s">
        <v>2040</v>
      </c>
      <c r="E1200" s="147" t="s">
        <v>38</v>
      </c>
      <c r="F1200" s="129" t="s">
        <v>2020</v>
      </c>
      <c r="G1200" s="147" t="s">
        <v>1731</v>
      </c>
      <c r="H1200" s="191">
        <f t="shared" si="19"/>
        <v>0.15179999999999999</v>
      </c>
      <c r="I1200" s="222" t="s">
        <v>2228</v>
      </c>
      <c r="J1200" s="146">
        <v>30</v>
      </c>
      <c r="K1200" s="147">
        <v>2</v>
      </c>
      <c r="L1200" s="147">
        <v>1</v>
      </c>
      <c r="M1200" s="147">
        <v>3</v>
      </c>
      <c r="N1200" s="289">
        <v>1</v>
      </c>
      <c r="O1200" s="195"/>
      <c r="P1200" s="180">
        <v>45685</v>
      </c>
      <c r="Q1200" s="174">
        <v>0.15179999999999999</v>
      </c>
      <c r="R1200" s="205">
        <v>0</v>
      </c>
      <c r="S1200" s="147"/>
      <c r="T1200" s="129" t="s">
        <v>2211</v>
      </c>
      <c r="U1200" s="147" t="s">
        <v>37</v>
      </c>
      <c r="V1200" s="129"/>
      <c r="W1200" s="147" t="s">
        <v>2215</v>
      </c>
      <c r="X1200" s="215" t="s">
        <v>1938</v>
      </c>
      <c r="Y1200" s="216"/>
      <c r="Z1200" s="216"/>
      <c r="AA1200" s="263"/>
      <c r="AB1200" s="305"/>
      <c r="XFC1200" s="242"/>
      <c r="XFD1200" s="242"/>
    </row>
    <row r="1201" spans="1:29 16380:16384" hidden="1" x14ac:dyDescent="0.25">
      <c r="A1201" s="155">
        <v>1</v>
      </c>
      <c r="B1201" s="136">
        <v>1509020</v>
      </c>
      <c r="C1201" s="128" t="s">
        <v>934</v>
      </c>
      <c r="D1201" s="127" t="s">
        <v>1438</v>
      </c>
      <c r="E1201" s="147" t="s">
        <v>38</v>
      </c>
      <c r="F1201" s="129" t="s">
        <v>36</v>
      </c>
      <c r="G1201" s="147" t="s">
        <v>1731</v>
      </c>
      <c r="H1201" s="191">
        <f t="shared" si="19"/>
        <v>0.62</v>
      </c>
      <c r="I1201" s="181" t="s">
        <v>2218</v>
      </c>
      <c r="J1201" s="150"/>
      <c r="K1201" s="147"/>
      <c r="L1201" s="147"/>
      <c r="M1201" s="147">
        <v>4</v>
      </c>
      <c r="N1201" s="289">
        <v>560</v>
      </c>
      <c r="O1201" s="196"/>
      <c r="P1201" s="180"/>
      <c r="Q1201" s="174">
        <v>0.62</v>
      </c>
      <c r="R1201" s="206">
        <v>0</v>
      </c>
      <c r="S1201" s="165"/>
      <c r="T1201" s="129" t="s">
        <v>36</v>
      </c>
      <c r="U1201" s="147" t="s">
        <v>37</v>
      </c>
      <c r="V1201" s="129"/>
      <c r="W1201" s="163" t="s">
        <v>2531</v>
      </c>
      <c r="X1201" s="215"/>
      <c r="Y1201" s="216">
        <v>0</v>
      </c>
      <c r="Z1201" s="216">
        <v>0</v>
      </c>
      <c r="AA1201" s="263"/>
      <c r="AB1201" s="305"/>
      <c r="XFC1201" s="242"/>
      <c r="XFD1201" s="242"/>
    </row>
    <row r="1202" spans="1:29 16380:16384" ht="24" x14ac:dyDescent="0.25">
      <c r="A1202" s="155"/>
      <c r="B1202" s="136">
        <v>1509021</v>
      </c>
      <c r="C1202" s="129" t="s">
        <v>940</v>
      </c>
      <c r="D1202" s="127" t="s">
        <v>2099</v>
      </c>
      <c r="E1202" s="147" t="s">
        <v>38</v>
      </c>
      <c r="F1202" s="129" t="s">
        <v>2100</v>
      </c>
      <c r="G1202" s="147" t="s">
        <v>1731</v>
      </c>
      <c r="H1202" s="191">
        <f t="shared" si="19"/>
        <v>6.8599999999999994E-2</v>
      </c>
      <c r="I1202" s="222" t="s">
        <v>2228</v>
      </c>
      <c r="J1202" s="146">
        <v>30</v>
      </c>
      <c r="K1202" s="147">
        <v>2</v>
      </c>
      <c r="L1202" s="147">
        <v>1</v>
      </c>
      <c r="M1202" s="147">
        <v>3</v>
      </c>
      <c r="N1202" s="289">
        <v>36000</v>
      </c>
      <c r="O1202" s="195"/>
      <c r="P1202" s="180">
        <v>45740</v>
      </c>
      <c r="Q1202" s="174">
        <v>6.8599999999999994E-2</v>
      </c>
      <c r="R1202" s="205">
        <v>0</v>
      </c>
      <c r="S1202" s="147"/>
      <c r="T1202" s="129" t="s">
        <v>1875</v>
      </c>
      <c r="U1202" s="147" t="s">
        <v>37</v>
      </c>
      <c r="V1202" s="147"/>
      <c r="W1202" s="147" t="s">
        <v>2213</v>
      </c>
      <c r="X1202" s="215" t="s">
        <v>1906</v>
      </c>
      <c r="Y1202" s="216"/>
      <c r="Z1202" s="216"/>
      <c r="AA1202" s="263"/>
      <c r="AB1202" s="155"/>
      <c r="AC1202" s="212"/>
      <c r="XFC1202" s="242"/>
      <c r="XFD1202" s="242"/>
    </row>
    <row r="1203" spans="1:29 16380:16384" ht="36" x14ac:dyDescent="0.25">
      <c r="A1203" s="158"/>
      <c r="B1203" s="158">
        <v>1509022</v>
      </c>
      <c r="C1203" s="129" t="s">
        <v>940</v>
      </c>
      <c r="D1203" s="129" t="s">
        <v>2540</v>
      </c>
      <c r="E1203" s="147" t="s">
        <v>38</v>
      </c>
      <c r="F1203" s="129" t="s">
        <v>2100</v>
      </c>
      <c r="G1203" s="147" t="s">
        <v>1731</v>
      </c>
      <c r="H1203" s="191">
        <f t="shared" si="19"/>
        <v>0.13500000000000001</v>
      </c>
      <c r="I1203" s="222" t="s">
        <v>2474</v>
      </c>
      <c r="J1203" s="146">
        <v>30</v>
      </c>
      <c r="K1203" s="147">
        <v>7</v>
      </c>
      <c r="L1203" s="147">
        <v>1</v>
      </c>
      <c r="M1203" s="229">
        <v>8</v>
      </c>
      <c r="N1203" s="289">
        <v>50000</v>
      </c>
      <c r="O1203" s="205">
        <v>0.12</v>
      </c>
      <c r="P1203" s="180">
        <v>46057</v>
      </c>
      <c r="Q1203" s="309">
        <v>0.13500000000000001</v>
      </c>
      <c r="R1203" s="309">
        <v>0</v>
      </c>
      <c r="S1203" s="129"/>
      <c r="T1203" s="129" t="s">
        <v>2091</v>
      </c>
      <c r="U1203" s="147" t="s">
        <v>37</v>
      </c>
      <c r="V1203" s="147"/>
      <c r="W1203" s="147" t="s">
        <v>2213</v>
      </c>
      <c r="X1203" s="216"/>
      <c r="Y1203" s="216"/>
      <c r="Z1203" s="263"/>
      <c r="AA1203" s="263"/>
      <c r="AB1203" s="305"/>
      <c r="AC1203" s="212"/>
      <c r="XFC1203" s="242"/>
      <c r="XFD1203" s="158"/>
    </row>
    <row r="1204" spans="1:29 16380:16384" ht="60" x14ac:dyDescent="0.25">
      <c r="A1204" s="155"/>
      <c r="B1204" s="158">
        <v>1509023</v>
      </c>
      <c r="C1204" s="129" t="s">
        <v>940</v>
      </c>
      <c r="D1204" s="129" t="s">
        <v>2550</v>
      </c>
      <c r="E1204" s="147" t="s">
        <v>38</v>
      </c>
      <c r="F1204" s="129" t="s">
        <v>2551</v>
      </c>
      <c r="G1204" s="147" t="s">
        <v>2483</v>
      </c>
      <c r="H1204" s="191">
        <f t="shared" si="19"/>
        <v>37.6</v>
      </c>
      <c r="I1204" s="222" t="s">
        <v>2554</v>
      </c>
      <c r="J1204" s="146">
        <v>30</v>
      </c>
      <c r="K1204" s="147">
        <v>2</v>
      </c>
      <c r="L1204" s="147">
        <v>1</v>
      </c>
      <c r="M1204" s="147">
        <v>3</v>
      </c>
      <c r="N1204" s="289">
        <v>6</v>
      </c>
      <c r="O1204" s="174">
        <v>39.47</v>
      </c>
      <c r="P1204" s="180">
        <v>46062</v>
      </c>
      <c r="Q1204" s="174">
        <v>37.6</v>
      </c>
      <c r="R1204" s="174">
        <v>0</v>
      </c>
      <c r="S1204" s="147"/>
      <c r="T1204" s="129" t="s">
        <v>2091</v>
      </c>
      <c r="U1204" s="147" t="s">
        <v>37</v>
      </c>
      <c r="V1204" s="129"/>
      <c r="W1204" s="147" t="s">
        <v>2215</v>
      </c>
      <c r="X1204" s="215"/>
      <c r="Y1204" s="216"/>
      <c r="Z1204" s="216"/>
      <c r="AA1204" s="263"/>
      <c r="AB1204" s="305"/>
      <c r="AC1204" s="212"/>
      <c r="XFC1204" s="242"/>
      <c r="XFD1204" s="242"/>
    </row>
    <row r="1205" spans="1:29 16380:16384" ht="24" hidden="1" x14ac:dyDescent="0.25">
      <c r="A1205" s="155"/>
      <c r="B1205" s="158">
        <v>1509030</v>
      </c>
      <c r="C1205" s="127" t="s">
        <v>2022</v>
      </c>
      <c r="D1205" s="129" t="s">
        <v>2555</v>
      </c>
      <c r="E1205" s="147" t="s">
        <v>38</v>
      </c>
      <c r="F1205" s="129" t="s">
        <v>2020</v>
      </c>
      <c r="G1205" s="147" t="s">
        <v>1731</v>
      </c>
      <c r="H1205" s="191">
        <f t="shared" si="19"/>
        <v>0.36109999999999998</v>
      </c>
      <c r="I1205" s="222" t="s">
        <v>2228</v>
      </c>
      <c r="J1205" s="146">
        <v>30</v>
      </c>
      <c r="K1205" s="147">
        <v>6</v>
      </c>
      <c r="L1205" s="147">
        <v>1</v>
      </c>
      <c r="M1205" s="147">
        <v>7</v>
      </c>
      <c r="N1205" s="289">
        <v>5000</v>
      </c>
      <c r="O1205" s="195">
        <v>0.1</v>
      </c>
      <c r="P1205" s="180">
        <v>45639</v>
      </c>
      <c r="Q1205" s="174">
        <v>0.36109999999999998</v>
      </c>
      <c r="R1205" s="205"/>
      <c r="S1205" s="168"/>
      <c r="T1205" s="129" t="s">
        <v>1848</v>
      </c>
      <c r="U1205" s="147" t="s">
        <v>35</v>
      </c>
      <c r="V1205" s="129"/>
      <c r="W1205" s="147" t="s">
        <v>2214</v>
      </c>
      <c r="X1205" s="215" t="s">
        <v>1938</v>
      </c>
      <c r="Y1205" s="216">
        <v>8211.25</v>
      </c>
      <c r="Z1205" s="216">
        <v>10674.625</v>
      </c>
      <c r="AA1205" s="263"/>
      <c r="AB1205" s="305"/>
      <c r="AC1205" s="212"/>
      <c r="XFC1205" s="242"/>
      <c r="XFD1205" s="242"/>
    </row>
    <row r="1206" spans="1:29 16380:16384" hidden="1" x14ac:dyDescent="0.25">
      <c r="A1206" s="155">
        <v>1</v>
      </c>
      <c r="B1206" s="129">
        <v>1510001</v>
      </c>
      <c r="C1206" s="127" t="s">
        <v>2022</v>
      </c>
      <c r="D1206" s="129" t="s">
        <v>1442</v>
      </c>
      <c r="E1206" s="147" t="s">
        <v>38</v>
      </c>
      <c r="F1206" s="129" t="s">
        <v>1267</v>
      </c>
      <c r="G1206" s="147" t="s">
        <v>1731</v>
      </c>
      <c r="H1206" s="191">
        <f t="shared" si="19"/>
        <v>0.23</v>
      </c>
      <c r="I1206" s="134"/>
      <c r="J1206" s="150"/>
      <c r="K1206" s="147"/>
      <c r="L1206" s="147"/>
      <c r="M1206" s="147">
        <v>2</v>
      </c>
      <c r="N1206" s="289"/>
      <c r="O1206" s="196"/>
      <c r="P1206" s="180"/>
      <c r="Q1206" s="174">
        <v>0.23</v>
      </c>
      <c r="R1206" s="205">
        <v>0</v>
      </c>
      <c r="S1206" s="165"/>
      <c r="T1206" s="129" t="s">
        <v>36</v>
      </c>
      <c r="U1206" s="147" t="s">
        <v>37</v>
      </c>
      <c r="V1206" s="129"/>
      <c r="W1206" s="163" t="s">
        <v>54</v>
      </c>
      <c r="X1206" s="215"/>
      <c r="Y1206" s="216">
        <v>0</v>
      </c>
      <c r="Z1206" s="216">
        <v>0</v>
      </c>
      <c r="AA1206" s="263"/>
      <c r="AB1206" s="155"/>
      <c r="AC1206" s="212"/>
      <c r="XFC1206" s="242"/>
      <c r="XFD1206" s="242"/>
    </row>
    <row r="1207" spans="1:29 16380:16384" hidden="1" x14ac:dyDescent="0.25">
      <c r="A1207" s="155">
        <v>1</v>
      </c>
      <c r="B1207" s="129">
        <v>1510002</v>
      </c>
      <c r="C1207" s="127" t="s">
        <v>2022</v>
      </c>
      <c r="D1207" s="129" t="s">
        <v>1443</v>
      </c>
      <c r="E1207" s="147" t="s">
        <v>38</v>
      </c>
      <c r="F1207" s="129" t="s">
        <v>1275</v>
      </c>
      <c r="G1207" s="147" t="s">
        <v>1731</v>
      </c>
      <c r="H1207" s="191">
        <f t="shared" si="19"/>
        <v>0.5</v>
      </c>
      <c r="I1207" s="134"/>
      <c r="J1207" s="146">
        <v>60</v>
      </c>
      <c r="K1207" s="147"/>
      <c r="L1207" s="147"/>
      <c r="M1207" s="147">
        <v>2</v>
      </c>
      <c r="N1207" s="289"/>
      <c r="O1207" s="196"/>
      <c r="P1207" s="180"/>
      <c r="Q1207" s="174">
        <v>0.5</v>
      </c>
      <c r="R1207" s="205">
        <v>0</v>
      </c>
      <c r="S1207" s="165"/>
      <c r="T1207" s="129" t="s">
        <v>365</v>
      </c>
      <c r="U1207" s="147" t="s">
        <v>35</v>
      </c>
      <c r="V1207" s="129"/>
      <c r="W1207" s="163" t="s">
        <v>54</v>
      </c>
      <c r="X1207" s="215"/>
      <c r="Y1207" s="216">
        <v>0</v>
      </c>
      <c r="Z1207" s="216">
        <v>0</v>
      </c>
      <c r="AA1207" s="263"/>
      <c r="AB1207" s="155"/>
      <c r="AC1207" s="212"/>
      <c r="XFC1207" s="242"/>
      <c r="XFD1207" s="242"/>
    </row>
    <row r="1208" spans="1:29 16380:16384" ht="24" x14ac:dyDescent="0.25">
      <c r="A1208" s="155">
        <v>1</v>
      </c>
      <c r="B1208" s="129">
        <v>1510003</v>
      </c>
      <c r="C1208" s="127" t="s">
        <v>2022</v>
      </c>
      <c r="D1208" s="129" t="s">
        <v>1444</v>
      </c>
      <c r="E1208" s="147" t="s">
        <v>38</v>
      </c>
      <c r="F1208" s="129" t="s">
        <v>2020</v>
      </c>
      <c r="G1208" s="147" t="s">
        <v>1731</v>
      </c>
      <c r="H1208" s="191">
        <f t="shared" si="19"/>
        <v>0.5</v>
      </c>
      <c r="I1208" s="222" t="s">
        <v>2228</v>
      </c>
      <c r="J1208" s="146">
        <v>30</v>
      </c>
      <c r="K1208" s="147">
        <v>2</v>
      </c>
      <c r="L1208" s="147">
        <v>1</v>
      </c>
      <c r="M1208" s="147">
        <v>3</v>
      </c>
      <c r="N1208" s="289">
        <v>2500</v>
      </c>
      <c r="O1208" s="195">
        <v>0.31</v>
      </c>
      <c r="P1208" s="180">
        <v>45639</v>
      </c>
      <c r="Q1208" s="174">
        <v>0.5</v>
      </c>
      <c r="R1208" s="205">
        <v>0</v>
      </c>
      <c r="S1208" s="165"/>
      <c r="T1208" s="129" t="s">
        <v>36</v>
      </c>
      <c r="U1208" s="147" t="s">
        <v>37</v>
      </c>
      <c r="V1208" s="129"/>
      <c r="W1208" s="147" t="s">
        <v>2213</v>
      </c>
      <c r="X1208" s="215" t="s">
        <v>1938</v>
      </c>
      <c r="Y1208" s="216">
        <v>6077.96875</v>
      </c>
      <c r="Z1208" s="216">
        <v>9116.953125</v>
      </c>
      <c r="AA1208" s="263"/>
      <c r="AB1208" s="305"/>
      <c r="XFB1208" s="242"/>
      <c r="XFC1208" s="242"/>
      <c r="XFD1208" s="242"/>
    </row>
    <row r="1209" spans="1:29 16380:16384" hidden="1" x14ac:dyDescent="0.25">
      <c r="A1209" s="155"/>
      <c r="B1209" s="143">
        <v>1510004</v>
      </c>
      <c r="C1209" s="127" t="s">
        <v>2022</v>
      </c>
      <c r="D1209" s="137" t="s">
        <v>1727</v>
      </c>
      <c r="E1209" s="147" t="s">
        <v>38</v>
      </c>
      <c r="F1209" s="129" t="s">
        <v>2465</v>
      </c>
      <c r="G1209" s="147" t="s">
        <v>1731</v>
      </c>
      <c r="H1209" s="191">
        <f t="shared" ref="H1209:H1272" si="20">Q1209+R1209</f>
        <v>0</v>
      </c>
      <c r="I1209" s="181" t="s">
        <v>2218</v>
      </c>
      <c r="J1209" s="148">
        <v>60</v>
      </c>
      <c r="K1209" s="147">
        <v>1</v>
      </c>
      <c r="L1209" s="147">
        <v>1</v>
      </c>
      <c r="M1209" s="147">
        <v>2</v>
      </c>
      <c r="N1209" s="289"/>
      <c r="O1209" s="195"/>
      <c r="P1209" s="180"/>
      <c r="Q1209" s="174"/>
      <c r="R1209" s="205">
        <v>0</v>
      </c>
      <c r="S1209" s="168"/>
      <c r="T1209" s="129" t="s">
        <v>1852</v>
      </c>
      <c r="U1209" s="147" t="s">
        <v>35</v>
      </c>
      <c r="V1209" s="129"/>
      <c r="W1209" s="147" t="s">
        <v>2464</v>
      </c>
      <c r="X1209" s="215" t="s">
        <v>1906</v>
      </c>
      <c r="Y1209" s="216">
        <v>0</v>
      </c>
      <c r="Z1209" s="216">
        <v>0</v>
      </c>
      <c r="AA1209" s="263"/>
      <c r="AB1209" s="305"/>
      <c r="XFB1209" s="242"/>
      <c r="XFC1209" s="242"/>
      <c r="XFD1209" s="242"/>
    </row>
    <row r="1210" spans="1:29 16380:16384" ht="24" x14ac:dyDescent="0.25">
      <c r="A1210" s="155"/>
      <c r="B1210" s="136">
        <v>1510005</v>
      </c>
      <c r="C1210" s="127" t="s">
        <v>2022</v>
      </c>
      <c r="D1210" s="129" t="s">
        <v>1901</v>
      </c>
      <c r="E1210" s="147" t="s">
        <v>38</v>
      </c>
      <c r="F1210" s="129" t="s">
        <v>2020</v>
      </c>
      <c r="G1210" s="147" t="s">
        <v>1731</v>
      </c>
      <c r="H1210" s="191">
        <f t="shared" si="20"/>
        <v>16.329999999999998</v>
      </c>
      <c r="I1210" s="222" t="s">
        <v>2228</v>
      </c>
      <c r="J1210" s="146">
        <v>30</v>
      </c>
      <c r="K1210" s="147">
        <v>2</v>
      </c>
      <c r="L1210" s="147">
        <v>1</v>
      </c>
      <c r="M1210" s="147">
        <v>3</v>
      </c>
      <c r="N1210" s="289">
        <v>50</v>
      </c>
      <c r="O1210" s="195">
        <v>32.1</v>
      </c>
      <c r="P1210" s="180">
        <v>45639</v>
      </c>
      <c r="Q1210" s="174">
        <v>16.329999999999998</v>
      </c>
      <c r="R1210" s="205">
        <v>0</v>
      </c>
      <c r="S1210" s="168"/>
      <c r="T1210" s="129" t="s">
        <v>1711</v>
      </c>
      <c r="U1210" s="147" t="s">
        <v>37</v>
      </c>
      <c r="V1210" s="129"/>
      <c r="W1210" s="147" t="s">
        <v>2213</v>
      </c>
      <c r="X1210" s="215" t="s">
        <v>1938</v>
      </c>
      <c r="Y1210" s="216">
        <v>25.392857142857139</v>
      </c>
      <c r="Z1210" s="216">
        <v>38.089285714285708</v>
      </c>
      <c r="AA1210" s="263"/>
      <c r="AB1210" s="305"/>
      <c r="XFB1210" s="242"/>
      <c r="XFC1210" s="242"/>
      <c r="XFD1210" s="242"/>
    </row>
    <row r="1211" spans="1:29 16380:16384" ht="24" x14ac:dyDescent="0.25">
      <c r="A1211" s="155"/>
      <c r="B1211" s="143">
        <v>1510006</v>
      </c>
      <c r="C1211" s="127" t="s">
        <v>2022</v>
      </c>
      <c r="D1211" s="137" t="s">
        <v>1892</v>
      </c>
      <c r="E1211" s="147" t="s">
        <v>38</v>
      </c>
      <c r="F1211" s="129" t="s">
        <v>2020</v>
      </c>
      <c r="G1211" s="147" t="s">
        <v>1731</v>
      </c>
      <c r="H1211" s="191">
        <f t="shared" si="20"/>
        <v>0.59460000000000002</v>
      </c>
      <c r="I1211" s="222" t="s">
        <v>2228</v>
      </c>
      <c r="J1211" s="146">
        <v>30</v>
      </c>
      <c r="K1211" s="147">
        <v>2</v>
      </c>
      <c r="L1211" s="147">
        <v>1</v>
      </c>
      <c r="M1211" s="147">
        <v>3</v>
      </c>
      <c r="N1211" s="289">
        <v>600</v>
      </c>
      <c r="O1211" s="176">
        <v>1.92</v>
      </c>
      <c r="P1211" s="180">
        <v>45639</v>
      </c>
      <c r="Q1211" s="176">
        <v>0.59460000000000002</v>
      </c>
      <c r="R1211" s="205">
        <v>0</v>
      </c>
      <c r="S1211" s="168"/>
      <c r="T1211" s="129" t="s">
        <v>1848</v>
      </c>
      <c r="U1211" s="147" t="s">
        <v>35</v>
      </c>
      <c r="V1211" s="129"/>
      <c r="W1211" s="147" t="s">
        <v>2213</v>
      </c>
      <c r="X1211" s="215" t="s">
        <v>1938</v>
      </c>
      <c r="Y1211" s="216">
        <v>492.67500000000018</v>
      </c>
      <c r="Z1211" s="216">
        <v>739.01250000000027</v>
      </c>
      <c r="AA1211" s="263"/>
      <c r="AB1211" s="305"/>
      <c r="XFB1211" s="242"/>
      <c r="XFC1211" s="242"/>
      <c r="XFD1211" s="242"/>
    </row>
    <row r="1212" spans="1:29 16380:16384" x14ac:dyDescent="0.25">
      <c r="A1212" s="155"/>
      <c r="B1212" s="143">
        <v>1510007</v>
      </c>
      <c r="C1212" s="127" t="s">
        <v>2022</v>
      </c>
      <c r="D1212" s="137" t="s">
        <v>1962</v>
      </c>
      <c r="E1212" s="147" t="s">
        <v>38</v>
      </c>
      <c r="F1212" s="129" t="s">
        <v>1891</v>
      </c>
      <c r="G1212" s="147" t="s">
        <v>1731</v>
      </c>
      <c r="H1212" s="191">
        <f t="shared" si="20"/>
        <v>0</v>
      </c>
      <c r="I1212" s="173"/>
      <c r="J1212" s="146">
        <v>30</v>
      </c>
      <c r="K1212" s="147">
        <v>2</v>
      </c>
      <c r="L1212" s="147">
        <v>1</v>
      </c>
      <c r="M1212" s="147">
        <v>3</v>
      </c>
      <c r="N1212" s="289">
        <v>500</v>
      </c>
      <c r="O1212" s="195"/>
      <c r="P1212" s="180"/>
      <c r="Q1212" s="174"/>
      <c r="R1212" s="205">
        <v>0</v>
      </c>
      <c r="S1212" s="168"/>
      <c r="T1212" s="129" t="s">
        <v>242</v>
      </c>
      <c r="U1212" s="147" t="s">
        <v>35</v>
      </c>
      <c r="V1212" s="129"/>
      <c r="W1212" s="147" t="s">
        <v>2213</v>
      </c>
      <c r="X1212" s="215"/>
      <c r="Y1212" s="216">
        <v>0</v>
      </c>
      <c r="Z1212" s="216">
        <v>0</v>
      </c>
      <c r="AA1212" s="263"/>
      <c r="AB1212" s="155"/>
      <c r="AC1212" s="212"/>
      <c r="XFB1212" s="242"/>
      <c r="XFC1212" s="242"/>
      <c r="XFD1212" s="242"/>
    </row>
    <row r="1213" spans="1:29 16380:16384" ht="24" x14ac:dyDescent="0.25">
      <c r="A1213" s="129"/>
      <c r="B1213" s="321">
        <v>1510008</v>
      </c>
      <c r="C1213" s="322" t="s">
        <v>2022</v>
      </c>
      <c r="D1213" s="321" t="s">
        <v>2485</v>
      </c>
      <c r="E1213" s="147" t="s">
        <v>38</v>
      </c>
      <c r="F1213" s="129" t="s">
        <v>2453</v>
      </c>
      <c r="G1213" s="147" t="s">
        <v>1731</v>
      </c>
      <c r="H1213" s="191">
        <f t="shared" si="20"/>
        <v>2.1999999999999997</v>
      </c>
      <c r="I1213" s="222" t="s">
        <v>2461</v>
      </c>
      <c r="J1213" s="146">
        <v>0</v>
      </c>
      <c r="K1213" s="147">
        <v>3</v>
      </c>
      <c r="L1213" s="147">
        <v>1</v>
      </c>
      <c r="M1213" s="147">
        <v>4</v>
      </c>
      <c r="N1213" s="349">
        <v>53</v>
      </c>
      <c r="O1213" s="180"/>
      <c r="P1213" s="180">
        <v>45981</v>
      </c>
      <c r="Q1213" s="176">
        <v>2.15</v>
      </c>
      <c r="R1213" s="290">
        <v>0.05</v>
      </c>
      <c r="S1213" s="147"/>
      <c r="T1213" s="129" t="s">
        <v>2339</v>
      </c>
      <c r="U1213" s="147" t="s">
        <v>37</v>
      </c>
      <c r="V1213" s="216"/>
      <c r="W1213" s="147" t="s">
        <v>2460</v>
      </c>
      <c r="X1213" s="263"/>
      <c r="Y1213" s="263"/>
      <c r="Z1213" s="263"/>
      <c r="AA1213" s="263"/>
      <c r="AB1213" s="242"/>
      <c r="AC1213" s="212"/>
      <c r="XFA1213" s="271"/>
      <c r="XFB1213" s="128"/>
      <c r="XFC1213" s="128"/>
      <c r="XFD1213" s="129"/>
    </row>
    <row r="1214" spans="1:29 16380:16384" ht="24" hidden="1" x14ac:dyDescent="0.25">
      <c r="A1214" s="129"/>
      <c r="B1214" s="129">
        <v>1510009</v>
      </c>
      <c r="C1214" s="127" t="s">
        <v>2022</v>
      </c>
      <c r="D1214" s="129" t="s">
        <v>2486</v>
      </c>
      <c r="E1214" s="147" t="s">
        <v>38</v>
      </c>
      <c r="F1214" s="129" t="s">
        <v>2453</v>
      </c>
      <c r="G1214" s="147" t="s">
        <v>1731</v>
      </c>
      <c r="H1214" s="191">
        <f t="shared" si="20"/>
        <v>8.14</v>
      </c>
      <c r="I1214" s="222" t="s">
        <v>2461</v>
      </c>
      <c r="J1214" s="146">
        <v>0</v>
      </c>
      <c r="K1214" s="147">
        <v>3</v>
      </c>
      <c r="L1214" s="147">
        <v>1</v>
      </c>
      <c r="M1214" s="147">
        <v>4</v>
      </c>
      <c r="N1214" s="349">
        <v>71</v>
      </c>
      <c r="O1214" s="176"/>
      <c r="P1214" s="180">
        <v>45981</v>
      </c>
      <c r="Q1214" s="176">
        <v>8.09</v>
      </c>
      <c r="R1214" s="290">
        <v>0.05</v>
      </c>
      <c r="S1214" s="215"/>
      <c r="T1214" s="129" t="s">
        <v>2339</v>
      </c>
      <c r="U1214" s="147" t="s">
        <v>37</v>
      </c>
      <c r="V1214" s="263"/>
      <c r="W1214" s="147" t="s">
        <v>2464</v>
      </c>
      <c r="X1214" s="263"/>
      <c r="Y1214" s="263"/>
      <c r="Z1214" s="263"/>
      <c r="AA1214" s="242"/>
      <c r="AB1214" s="242"/>
      <c r="AC1214" s="212"/>
      <c r="XEZ1214" s="271"/>
      <c r="XFA1214" s="128"/>
      <c r="XFB1214" s="128"/>
      <c r="XFC1214" s="129"/>
      <c r="XFD1214" s="129"/>
    </row>
    <row r="1215" spans="1:29 16380:16384" ht="24" x14ac:dyDescent="0.25">
      <c r="A1215" s="129"/>
      <c r="B1215" s="321">
        <v>1510010</v>
      </c>
      <c r="C1215" s="322" t="s">
        <v>2022</v>
      </c>
      <c r="D1215" s="321" t="s">
        <v>2499</v>
      </c>
      <c r="E1215" s="147" t="s">
        <v>38</v>
      </c>
      <c r="F1215" s="129" t="s">
        <v>2453</v>
      </c>
      <c r="G1215" s="147" t="s">
        <v>1731</v>
      </c>
      <c r="H1215" s="191">
        <f t="shared" si="20"/>
        <v>3.1599999999999997</v>
      </c>
      <c r="I1215" s="222" t="s">
        <v>2461</v>
      </c>
      <c r="J1215" s="146">
        <v>0</v>
      </c>
      <c r="K1215" s="147">
        <v>3</v>
      </c>
      <c r="L1215" s="147">
        <v>1</v>
      </c>
      <c r="M1215" s="147">
        <v>4</v>
      </c>
      <c r="N1215" s="349">
        <v>33</v>
      </c>
      <c r="O1215" s="176"/>
      <c r="P1215" s="180">
        <v>45981</v>
      </c>
      <c r="Q1215" s="176">
        <v>3.11</v>
      </c>
      <c r="R1215" s="290">
        <v>0.05</v>
      </c>
      <c r="S1215" s="215"/>
      <c r="T1215" s="129" t="s">
        <v>2339</v>
      </c>
      <c r="U1215" s="147" t="s">
        <v>37</v>
      </c>
      <c r="V1215" s="263"/>
      <c r="W1215" s="147" t="s">
        <v>2460</v>
      </c>
      <c r="X1215" s="263"/>
      <c r="Y1215" s="263"/>
      <c r="Z1215" s="263"/>
      <c r="AA1215" s="242"/>
      <c r="AB1215" s="242"/>
      <c r="AC1215" s="212"/>
      <c r="XEZ1215" s="271"/>
      <c r="XFA1215" s="128"/>
      <c r="XFB1215" s="128"/>
      <c r="XFC1215" s="129"/>
      <c r="XFD1215" s="129"/>
    </row>
    <row r="1216" spans="1:29 16380:16384" x14ac:dyDescent="0.25">
      <c r="A1216" s="155"/>
      <c r="B1216" s="136">
        <v>1510011</v>
      </c>
      <c r="C1216" s="127" t="s">
        <v>2022</v>
      </c>
      <c r="D1216" s="127" t="s">
        <v>2456</v>
      </c>
      <c r="E1216" s="147" t="s">
        <v>38</v>
      </c>
      <c r="F1216" s="129" t="s">
        <v>2465</v>
      </c>
      <c r="G1216" s="147" t="s">
        <v>1731</v>
      </c>
      <c r="H1216" s="191">
        <f t="shared" si="20"/>
        <v>0</v>
      </c>
      <c r="I1216" s="181" t="s">
        <v>2218</v>
      </c>
      <c r="J1216" s="148">
        <v>60</v>
      </c>
      <c r="K1216" s="147">
        <v>1</v>
      </c>
      <c r="L1216" s="147">
        <v>1</v>
      </c>
      <c r="M1216" s="147">
        <v>2</v>
      </c>
      <c r="N1216" s="289"/>
      <c r="O1216" s="195"/>
      <c r="P1216" s="180"/>
      <c r="Q1216" s="174"/>
      <c r="R1216" s="205"/>
      <c r="S1216" s="147"/>
      <c r="T1216" s="129" t="s">
        <v>1852</v>
      </c>
      <c r="U1216" s="147" t="s">
        <v>35</v>
      </c>
      <c r="V1216" s="129"/>
      <c r="W1216" s="147" t="s">
        <v>2460</v>
      </c>
      <c r="X1216" s="215" t="s">
        <v>1906</v>
      </c>
      <c r="Y1216" s="216"/>
      <c r="Z1216" s="216"/>
      <c r="AA1216" s="263"/>
      <c r="AB1216" s="155"/>
      <c r="AC1216" s="212"/>
      <c r="XFA1216" s="242"/>
      <c r="XFB1216" s="242"/>
      <c r="XFC1216" s="242"/>
      <c r="XFD1216" s="242"/>
    </row>
    <row r="1217" spans="1:29 16381:16384" x14ac:dyDescent="0.25">
      <c r="A1217" s="155"/>
      <c r="B1217" s="136">
        <v>1510012</v>
      </c>
      <c r="C1217" s="127" t="s">
        <v>2022</v>
      </c>
      <c r="D1217" s="127" t="s">
        <v>2457</v>
      </c>
      <c r="E1217" s="147" t="s">
        <v>38</v>
      </c>
      <c r="F1217" s="129" t="s">
        <v>2465</v>
      </c>
      <c r="G1217" s="147" t="s">
        <v>1731</v>
      </c>
      <c r="H1217" s="191">
        <f t="shared" si="20"/>
        <v>0</v>
      </c>
      <c r="I1217" s="181" t="s">
        <v>2218</v>
      </c>
      <c r="J1217" s="148">
        <v>60</v>
      </c>
      <c r="K1217" s="147">
        <v>1</v>
      </c>
      <c r="L1217" s="147">
        <v>1</v>
      </c>
      <c r="M1217" s="147">
        <v>2</v>
      </c>
      <c r="N1217" s="289"/>
      <c r="O1217" s="195"/>
      <c r="P1217" s="180"/>
      <c r="Q1217" s="174"/>
      <c r="R1217" s="205"/>
      <c r="S1217" s="147"/>
      <c r="T1217" s="129" t="s">
        <v>1852</v>
      </c>
      <c r="U1217" s="147" t="s">
        <v>35</v>
      </c>
      <c r="V1217" s="129"/>
      <c r="W1217" s="147" t="s">
        <v>2460</v>
      </c>
      <c r="X1217" s="215" t="s">
        <v>1906</v>
      </c>
      <c r="Y1217" s="216"/>
      <c r="Z1217" s="216"/>
      <c r="AA1217" s="263"/>
      <c r="AB1217" s="155"/>
      <c r="AC1217" s="212"/>
      <c r="XFA1217" s="242"/>
      <c r="XFB1217" s="242"/>
      <c r="XFC1217" s="242"/>
      <c r="XFD1217" s="242"/>
    </row>
    <row r="1218" spans="1:29 16381:16384" x14ac:dyDescent="0.25">
      <c r="A1218" s="155"/>
      <c r="B1218" s="136">
        <v>1510013</v>
      </c>
      <c r="C1218" s="127" t="s">
        <v>2022</v>
      </c>
      <c r="D1218" s="127" t="s">
        <v>2458</v>
      </c>
      <c r="E1218" s="147" t="s">
        <v>38</v>
      </c>
      <c r="F1218" s="129" t="s">
        <v>2465</v>
      </c>
      <c r="G1218" s="147" t="s">
        <v>1731</v>
      </c>
      <c r="H1218" s="191">
        <f t="shared" si="20"/>
        <v>0</v>
      </c>
      <c r="I1218" s="181" t="s">
        <v>2218</v>
      </c>
      <c r="J1218" s="148">
        <v>60</v>
      </c>
      <c r="K1218" s="147">
        <v>1</v>
      </c>
      <c r="L1218" s="147">
        <v>1</v>
      </c>
      <c r="M1218" s="147">
        <v>2</v>
      </c>
      <c r="N1218" s="289"/>
      <c r="O1218" s="195"/>
      <c r="P1218" s="180"/>
      <c r="Q1218" s="174"/>
      <c r="R1218" s="205"/>
      <c r="S1218" s="147"/>
      <c r="T1218" s="129" t="s">
        <v>1852</v>
      </c>
      <c r="U1218" s="147" t="s">
        <v>35</v>
      </c>
      <c r="V1218" s="129"/>
      <c r="W1218" s="147" t="s">
        <v>2460</v>
      </c>
      <c r="X1218" s="215" t="s">
        <v>1906</v>
      </c>
      <c r="Y1218" s="216"/>
      <c r="Z1218" s="216"/>
      <c r="AA1218" s="263"/>
      <c r="AB1218" s="155"/>
      <c r="AC1218" s="212"/>
      <c r="XFA1218" s="242"/>
      <c r="XFB1218" s="242"/>
      <c r="XFC1218" s="242"/>
      <c r="XFD1218" s="242"/>
    </row>
    <row r="1219" spans="1:29 16381:16384" x14ac:dyDescent="0.25">
      <c r="A1219" s="155"/>
      <c r="B1219" s="136">
        <v>1510014</v>
      </c>
      <c r="C1219" s="127" t="s">
        <v>2022</v>
      </c>
      <c r="D1219" s="127" t="s">
        <v>2612</v>
      </c>
      <c r="E1219" s="147" t="s">
        <v>38</v>
      </c>
      <c r="F1219" s="129" t="s">
        <v>2607</v>
      </c>
      <c r="G1219" s="147" t="s">
        <v>1731</v>
      </c>
      <c r="H1219" s="191">
        <f t="shared" si="20"/>
        <v>0.4</v>
      </c>
      <c r="I1219" s="222" t="s">
        <v>2084</v>
      </c>
      <c r="J1219" s="146">
        <v>0</v>
      </c>
      <c r="K1219" s="147">
        <v>3</v>
      </c>
      <c r="L1219" s="147">
        <v>1</v>
      </c>
      <c r="M1219" s="147">
        <v>4</v>
      </c>
      <c r="N1219" s="289"/>
      <c r="O1219" s="195"/>
      <c r="P1219" s="180"/>
      <c r="Q1219" s="176">
        <v>0.4</v>
      </c>
      <c r="R1219" s="205">
        <v>0</v>
      </c>
      <c r="S1219" s="147"/>
      <c r="T1219" s="129" t="s">
        <v>2339</v>
      </c>
      <c r="U1219" s="147" t="s">
        <v>37</v>
      </c>
      <c r="V1219" s="129"/>
      <c r="W1219" s="147" t="s">
        <v>2215</v>
      </c>
      <c r="X1219" s="215"/>
      <c r="Y1219" s="216"/>
      <c r="Z1219" s="216"/>
      <c r="AA1219" s="263"/>
      <c r="AB1219" s="155"/>
      <c r="AC1219" s="212"/>
      <c r="XFA1219" s="242"/>
      <c r="XFB1219" s="242"/>
      <c r="XFC1219" s="242"/>
      <c r="XFD1219" s="242"/>
    </row>
    <row r="1220" spans="1:29 16381:16384" ht="24" hidden="1" x14ac:dyDescent="0.25">
      <c r="A1220" s="155"/>
      <c r="B1220" s="136">
        <v>1510015</v>
      </c>
      <c r="C1220" s="127" t="s">
        <v>2022</v>
      </c>
      <c r="D1220" s="127" t="s">
        <v>2488</v>
      </c>
      <c r="E1220" s="147" t="s">
        <v>38</v>
      </c>
      <c r="F1220" s="129" t="s">
        <v>2453</v>
      </c>
      <c r="G1220" s="147" t="s">
        <v>1731</v>
      </c>
      <c r="H1220" s="191">
        <f t="shared" si="20"/>
        <v>0</v>
      </c>
      <c r="I1220" s="222" t="s">
        <v>2461</v>
      </c>
      <c r="J1220" s="146">
        <v>0</v>
      </c>
      <c r="K1220" s="147">
        <v>3</v>
      </c>
      <c r="L1220" s="147">
        <v>1</v>
      </c>
      <c r="M1220" s="147">
        <v>4</v>
      </c>
      <c r="N1220" s="289"/>
      <c r="O1220" s="195"/>
      <c r="P1220" s="180"/>
      <c r="Q1220" s="174"/>
      <c r="R1220" s="205"/>
      <c r="S1220" s="147"/>
      <c r="T1220" s="129" t="s">
        <v>2339</v>
      </c>
      <c r="U1220" s="147" t="s">
        <v>37</v>
      </c>
      <c r="V1220" s="129"/>
      <c r="W1220" s="147" t="s">
        <v>2464</v>
      </c>
      <c r="X1220" s="215"/>
      <c r="Y1220" s="216"/>
      <c r="Z1220" s="216"/>
      <c r="AA1220" s="263"/>
      <c r="AB1220" s="155"/>
      <c r="AC1220" s="212"/>
      <c r="XFA1220" s="242"/>
      <c r="XFB1220" s="242"/>
      <c r="XFC1220" s="242"/>
      <c r="XFD1220" s="242"/>
    </row>
    <row r="1221" spans="1:29 16381:16384" ht="24" hidden="1" x14ac:dyDescent="0.25">
      <c r="A1221" s="155"/>
      <c r="B1221" s="136">
        <v>1510016</v>
      </c>
      <c r="C1221" s="127" t="s">
        <v>2022</v>
      </c>
      <c r="D1221" s="127" t="s">
        <v>2489</v>
      </c>
      <c r="E1221" s="147" t="s">
        <v>38</v>
      </c>
      <c r="F1221" s="129" t="s">
        <v>2453</v>
      </c>
      <c r="G1221" s="147" t="s">
        <v>1731</v>
      </c>
      <c r="H1221" s="191">
        <f t="shared" si="20"/>
        <v>0</v>
      </c>
      <c r="I1221" s="222" t="s">
        <v>2461</v>
      </c>
      <c r="J1221" s="146">
        <v>0</v>
      </c>
      <c r="K1221" s="147">
        <v>3</v>
      </c>
      <c r="L1221" s="147">
        <v>1</v>
      </c>
      <c r="M1221" s="147">
        <v>4</v>
      </c>
      <c r="N1221" s="289"/>
      <c r="O1221" s="195"/>
      <c r="P1221" s="180"/>
      <c r="Q1221" s="174"/>
      <c r="R1221" s="205"/>
      <c r="S1221" s="147"/>
      <c r="T1221" s="129" t="s">
        <v>2339</v>
      </c>
      <c r="U1221" s="147" t="s">
        <v>37</v>
      </c>
      <c r="V1221" s="129"/>
      <c r="W1221" s="147" t="s">
        <v>2464</v>
      </c>
      <c r="X1221" s="215"/>
      <c r="Y1221" s="216"/>
      <c r="Z1221" s="216"/>
      <c r="AA1221" s="263"/>
      <c r="AB1221" s="155"/>
      <c r="AC1221" s="212"/>
      <c r="XFA1221" s="242"/>
      <c r="XFB1221" s="242"/>
      <c r="XFC1221" s="242"/>
      <c r="XFD1221" s="242"/>
    </row>
    <row r="1222" spans="1:29 16381:16384" ht="24" x14ac:dyDescent="0.25">
      <c r="A1222" s="155"/>
      <c r="B1222" s="321">
        <v>1510017</v>
      </c>
      <c r="C1222" s="322" t="s">
        <v>2022</v>
      </c>
      <c r="D1222" s="321" t="s">
        <v>2487</v>
      </c>
      <c r="E1222" s="147" t="s">
        <v>38</v>
      </c>
      <c r="F1222" s="129" t="s">
        <v>2453</v>
      </c>
      <c r="G1222" s="147" t="s">
        <v>1731</v>
      </c>
      <c r="H1222" s="191">
        <f t="shared" si="20"/>
        <v>0</v>
      </c>
      <c r="I1222" s="222" t="s">
        <v>2461</v>
      </c>
      <c r="J1222" s="146">
        <v>0</v>
      </c>
      <c r="K1222" s="147">
        <v>3</v>
      </c>
      <c r="L1222" s="147">
        <v>1</v>
      </c>
      <c r="M1222" s="147">
        <v>4</v>
      </c>
      <c r="N1222" s="289"/>
      <c r="O1222" s="187"/>
      <c r="P1222" s="180"/>
      <c r="Q1222" s="176"/>
      <c r="R1222" s="205"/>
      <c r="S1222" s="165"/>
      <c r="T1222" s="129" t="s">
        <v>2339</v>
      </c>
      <c r="U1222" s="147" t="s">
        <v>37</v>
      </c>
      <c r="V1222" s="129"/>
      <c r="W1222" s="147" t="s">
        <v>2460</v>
      </c>
      <c r="X1222" s="215"/>
      <c r="Y1222" s="216"/>
      <c r="Z1222" s="216"/>
      <c r="AA1222" s="263"/>
      <c r="AB1222" s="305"/>
      <c r="XFA1222" s="242"/>
      <c r="XFB1222" s="242"/>
      <c r="XFC1222" s="242"/>
      <c r="XFD1222" s="242"/>
    </row>
    <row r="1223" spans="1:29 16381:16384" ht="36" x14ac:dyDescent="0.25">
      <c r="A1223" s="155"/>
      <c r="B1223" s="129">
        <v>1510018</v>
      </c>
      <c r="C1223" s="127" t="s">
        <v>2022</v>
      </c>
      <c r="D1223" s="129" t="s">
        <v>2509</v>
      </c>
      <c r="E1223" s="147" t="s">
        <v>38</v>
      </c>
      <c r="F1223" s="129" t="s">
        <v>1360</v>
      </c>
      <c r="G1223" s="147" t="s">
        <v>1731</v>
      </c>
      <c r="H1223" s="191">
        <f t="shared" si="20"/>
        <v>6.7500000000000004E-2</v>
      </c>
      <c r="I1223" s="222" t="s">
        <v>2511</v>
      </c>
      <c r="J1223" s="146">
        <v>30</v>
      </c>
      <c r="K1223" s="147">
        <v>4</v>
      </c>
      <c r="L1223" s="147">
        <v>1</v>
      </c>
      <c r="M1223" s="147">
        <v>5</v>
      </c>
      <c r="N1223" s="289">
        <f>16666/25</f>
        <v>666.64</v>
      </c>
      <c r="O1223" s="187"/>
      <c r="P1223" s="180">
        <v>46038</v>
      </c>
      <c r="Q1223" s="176">
        <f>5.4/80</f>
        <v>6.7500000000000004E-2</v>
      </c>
      <c r="R1223" s="205">
        <v>0</v>
      </c>
      <c r="S1223" s="165"/>
      <c r="T1223" s="129" t="s">
        <v>2091</v>
      </c>
      <c r="U1223" s="147" t="s">
        <v>37</v>
      </c>
      <c r="V1223" s="129"/>
      <c r="W1223" s="147" t="s">
        <v>2510</v>
      </c>
      <c r="X1223" s="215" t="s">
        <v>1906</v>
      </c>
      <c r="Y1223" s="216"/>
      <c r="Z1223" s="216"/>
      <c r="AA1223" s="263"/>
      <c r="AB1223" s="305"/>
      <c r="XFA1223" s="242"/>
      <c r="XFB1223" s="242"/>
      <c r="XFC1223" s="242"/>
      <c r="XFD1223" s="242"/>
    </row>
    <row r="1224" spans="1:29 16381:16384" ht="36" x14ac:dyDescent="0.25">
      <c r="A1224" s="155"/>
      <c r="B1224" s="129">
        <v>1510019</v>
      </c>
      <c r="C1224" s="127" t="s">
        <v>2022</v>
      </c>
      <c r="D1224" s="129" t="s">
        <v>2606</v>
      </c>
      <c r="E1224" s="147" t="s">
        <v>38</v>
      </c>
      <c r="F1224" s="129" t="s">
        <v>2607</v>
      </c>
      <c r="G1224" s="147" t="s">
        <v>1731</v>
      </c>
      <c r="H1224" s="191">
        <f t="shared" si="20"/>
        <v>3.79</v>
      </c>
      <c r="I1224" s="222" t="s">
        <v>2581</v>
      </c>
      <c r="J1224" s="146">
        <v>0</v>
      </c>
      <c r="K1224" s="147">
        <v>3</v>
      </c>
      <c r="L1224" s="147">
        <v>1</v>
      </c>
      <c r="M1224" s="147">
        <v>4</v>
      </c>
      <c r="N1224" s="289"/>
      <c r="O1224" s="176">
        <v>7.35</v>
      </c>
      <c r="P1224" s="180">
        <v>46076</v>
      </c>
      <c r="Q1224" s="176">
        <v>3.79</v>
      </c>
      <c r="R1224" s="205">
        <v>0</v>
      </c>
      <c r="S1224" s="165"/>
      <c r="T1224" s="129" t="s">
        <v>2339</v>
      </c>
      <c r="U1224" s="147" t="s">
        <v>37</v>
      </c>
      <c r="V1224" s="129"/>
      <c r="W1224" s="147" t="s">
        <v>2215</v>
      </c>
      <c r="X1224" s="215"/>
      <c r="Y1224" s="216"/>
      <c r="Z1224" s="216"/>
      <c r="AA1224" s="263"/>
      <c r="AB1224" s="305"/>
      <c r="XFA1224" s="242"/>
      <c r="XFB1224" s="242"/>
      <c r="XFC1224" s="242"/>
      <c r="XFD1224" s="242"/>
    </row>
    <row r="1225" spans="1:29 16381:16384" ht="36" x14ac:dyDescent="0.25">
      <c r="A1225" s="155"/>
      <c r="B1225" s="129">
        <v>1510020</v>
      </c>
      <c r="C1225" s="127" t="s">
        <v>2022</v>
      </c>
      <c r="D1225" s="129" t="s">
        <v>2608</v>
      </c>
      <c r="E1225" s="147" t="s">
        <v>38</v>
      </c>
      <c r="F1225" s="129" t="s">
        <v>2607</v>
      </c>
      <c r="G1225" s="147" t="s">
        <v>1731</v>
      </c>
      <c r="H1225" s="191">
        <f t="shared" si="20"/>
        <v>3.65</v>
      </c>
      <c r="I1225" s="222" t="s">
        <v>2533</v>
      </c>
      <c r="J1225" s="146">
        <v>0</v>
      </c>
      <c r="K1225" s="147">
        <v>3</v>
      </c>
      <c r="L1225" s="147">
        <v>1</v>
      </c>
      <c r="M1225" s="147">
        <v>4</v>
      </c>
      <c r="N1225" s="289"/>
      <c r="O1225" s="187"/>
      <c r="P1225" s="180"/>
      <c r="Q1225" s="176">
        <v>3.65</v>
      </c>
      <c r="R1225" s="205">
        <v>0</v>
      </c>
      <c r="S1225" s="165"/>
      <c r="T1225" s="129" t="s">
        <v>2339</v>
      </c>
      <c r="U1225" s="147" t="s">
        <v>37</v>
      </c>
      <c r="V1225" s="129"/>
      <c r="W1225" s="147" t="s">
        <v>2215</v>
      </c>
      <c r="X1225" s="215"/>
      <c r="Y1225" s="216"/>
      <c r="Z1225" s="216"/>
      <c r="AA1225" s="263"/>
      <c r="AB1225" s="305"/>
      <c r="XFA1225" s="242"/>
      <c r="XFB1225" s="242"/>
      <c r="XFC1225" s="242"/>
      <c r="XFD1225" s="242"/>
    </row>
    <row r="1226" spans="1:29 16381:16384" ht="36" x14ac:dyDescent="0.25">
      <c r="A1226" s="155"/>
      <c r="B1226" s="129">
        <v>1510021</v>
      </c>
      <c r="C1226" s="127" t="s">
        <v>2022</v>
      </c>
      <c r="D1226" s="129" t="s">
        <v>2609</v>
      </c>
      <c r="E1226" s="147" t="s">
        <v>38</v>
      </c>
      <c r="F1226" s="129" t="s">
        <v>2607</v>
      </c>
      <c r="G1226" s="147" t="s">
        <v>1731</v>
      </c>
      <c r="H1226" s="191">
        <f t="shared" si="20"/>
        <v>8.35</v>
      </c>
      <c r="I1226" s="222" t="s">
        <v>2582</v>
      </c>
      <c r="J1226" s="146">
        <v>0</v>
      </c>
      <c r="K1226" s="147">
        <v>3</v>
      </c>
      <c r="L1226" s="147">
        <v>1</v>
      </c>
      <c r="M1226" s="147">
        <v>4</v>
      </c>
      <c r="N1226" s="289"/>
      <c r="O1226" s="176">
        <v>7.75</v>
      </c>
      <c r="P1226" s="180">
        <v>46076</v>
      </c>
      <c r="Q1226" s="176">
        <v>8.35</v>
      </c>
      <c r="R1226" s="205">
        <v>0</v>
      </c>
      <c r="S1226" s="165"/>
      <c r="T1226" s="129" t="s">
        <v>2339</v>
      </c>
      <c r="U1226" s="147" t="s">
        <v>37</v>
      </c>
      <c r="V1226" s="129"/>
      <c r="W1226" s="147" t="s">
        <v>2215</v>
      </c>
      <c r="X1226" s="215"/>
      <c r="Y1226" s="216"/>
      <c r="Z1226" s="216"/>
      <c r="AA1226" s="263"/>
      <c r="AB1226" s="305"/>
      <c r="XFA1226" s="242"/>
      <c r="XFB1226" s="242"/>
      <c r="XFC1226" s="242"/>
      <c r="XFD1226" s="242"/>
    </row>
    <row r="1227" spans="1:29 16381:16384" ht="36" x14ac:dyDescent="0.25">
      <c r="A1227" s="155"/>
      <c r="B1227" s="129">
        <v>1510022</v>
      </c>
      <c r="C1227" s="127" t="s">
        <v>2022</v>
      </c>
      <c r="D1227" s="129" t="s">
        <v>2610</v>
      </c>
      <c r="E1227" s="147" t="s">
        <v>38</v>
      </c>
      <c r="F1227" s="129" t="s">
        <v>2607</v>
      </c>
      <c r="G1227" s="147" t="s">
        <v>1731</v>
      </c>
      <c r="H1227" s="191">
        <f t="shared" si="20"/>
        <v>10.86</v>
      </c>
      <c r="I1227" s="222" t="s">
        <v>2534</v>
      </c>
      <c r="J1227" s="146">
        <v>0</v>
      </c>
      <c r="K1227" s="147">
        <v>3</v>
      </c>
      <c r="L1227" s="147">
        <v>1</v>
      </c>
      <c r="M1227" s="147">
        <v>4</v>
      </c>
      <c r="N1227" s="289"/>
      <c r="O1227" s="187"/>
      <c r="P1227" s="180"/>
      <c r="Q1227" s="176">
        <v>10.86</v>
      </c>
      <c r="R1227" s="205">
        <v>0</v>
      </c>
      <c r="S1227" s="165"/>
      <c r="T1227" s="129" t="s">
        <v>2339</v>
      </c>
      <c r="U1227" s="147" t="s">
        <v>37</v>
      </c>
      <c r="V1227" s="129"/>
      <c r="W1227" s="147" t="s">
        <v>2215</v>
      </c>
      <c r="X1227" s="215"/>
      <c r="Y1227" s="216"/>
      <c r="Z1227" s="216"/>
      <c r="AA1227" s="263"/>
      <c r="AB1227" s="305"/>
      <c r="XFA1227" s="242"/>
      <c r="XFB1227" s="242"/>
      <c r="XFC1227" s="242"/>
      <c r="XFD1227" s="242"/>
    </row>
    <row r="1228" spans="1:29 16381:16384" ht="36" x14ac:dyDescent="0.25">
      <c r="A1228" s="155"/>
      <c r="B1228" s="129">
        <v>1510023</v>
      </c>
      <c r="C1228" s="127" t="s">
        <v>2022</v>
      </c>
      <c r="D1228" s="129" t="s">
        <v>2611</v>
      </c>
      <c r="E1228" s="147" t="s">
        <v>38</v>
      </c>
      <c r="F1228" s="129" t="s">
        <v>2607</v>
      </c>
      <c r="G1228" s="147" t="s">
        <v>1731</v>
      </c>
      <c r="H1228" s="191">
        <f t="shared" si="20"/>
        <v>8.4</v>
      </c>
      <c r="I1228" s="222" t="s">
        <v>2535</v>
      </c>
      <c r="J1228" s="146">
        <v>0</v>
      </c>
      <c r="K1228" s="147">
        <v>3</v>
      </c>
      <c r="L1228" s="147">
        <v>1</v>
      </c>
      <c r="M1228" s="147">
        <v>4</v>
      </c>
      <c r="N1228" s="289"/>
      <c r="O1228" s="187"/>
      <c r="P1228" s="180"/>
      <c r="Q1228" s="176">
        <v>8.4</v>
      </c>
      <c r="R1228" s="205">
        <v>0</v>
      </c>
      <c r="S1228" s="165"/>
      <c r="T1228" s="129" t="s">
        <v>2339</v>
      </c>
      <c r="U1228" s="147" t="s">
        <v>37</v>
      </c>
      <c r="V1228" s="129"/>
      <c r="W1228" s="147" t="s">
        <v>2215</v>
      </c>
      <c r="X1228" s="215"/>
      <c r="Y1228" s="216"/>
      <c r="Z1228" s="216"/>
      <c r="AA1228" s="263"/>
      <c r="AB1228" s="305"/>
      <c r="XFA1228" s="242"/>
      <c r="XFB1228" s="242"/>
      <c r="XFC1228" s="242"/>
      <c r="XFD1228" s="242"/>
    </row>
    <row r="1229" spans="1:29 16381:16384" hidden="1" x14ac:dyDescent="0.25">
      <c r="A1229" s="143"/>
      <c r="B1229" s="129">
        <v>1510024</v>
      </c>
      <c r="C1229" s="127" t="s">
        <v>2022</v>
      </c>
      <c r="D1229" s="129" t="s">
        <v>2583</v>
      </c>
      <c r="E1229" s="147" t="s">
        <v>38</v>
      </c>
      <c r="F1229" s="129" t="s">
        <v>1891</v>
      </c>
      <c r="G1229" s="147" t="s">
        <v>1731</v>
      </c>
      <c r="H1229" s="191">
        <f t="shared" si="20"/>
        <v>0</v>
      </c>
      <c r="I1229" s="146"/>
      <c r="J1229" s="146">
        <v>0</v>
      </c>
      <c r="K1229" s="147">
        <v>11</v>
      </c>
      <c r="L1229" s="147">
        <v>1</v>
      </c>
      <c r="M1229" s="147">
        <v>12</v>
      </c>
      <c r="N1229" s="281"/>
      <c r="O1229" s="180"/>
      <c r="P1229" s="174"/>
      <c r="Q1229" s="206"/>
      <c r="R1229" s="168"/>
      <c r="S1229" s="129"/>
      <c r="T1229" s="129" t="s">
        <v>2339</v>
      </c>
      <c r="U1229" s="147" t="s">
        <v>37</v>
      </c>
      <c r="V1229" s="163"/>
      <c r="W1229" s="147" t="s">
        <v>2464</v>
      </c>
      <c r="X1229" s="216"/>
      <c r="Y1229" s="216"/>
      <c r="Z1229" s="263"/>
      <c r="AA1229" s="155"/>
      <c r="AB1229" s="242"/>
      <c r="AC1229" s="212"/>
      <c r="XFA1229" s="242"/>
      <c r="XFB1229" s="242"/>
      <c r="XFC1229" s="242"/>
      <c r="XFD1229" s="143"/>
    </row>
    <row r="1230" spans="1:29 16381:16384" hidden="1" x14ac:dyDescent="0.25">
      <c r="A1230" s="155">
        <v>1</v>
      </c>
      <c r="B1230" s="129">
        <v>1601001</v>
      </c>
      <c r="C1230" s="127" t="s">
        <v>1445</v>
      </c>
      <c r="D1230" s="127" t="s">
        <v>1446</v>
      </c>
      <c r="E1230" s="147" t="s">
        <v>38</v>
      </c>
      <c r="F1230" s="129" t="s">
        <v>1447</v>
      </c>
      <c r="G1230" s="147" t="s">
        <v>34</v>
      </c>
      <c r="H1230" s="191">
        <f t="shared" si="20"/>
        <v>3.4</v>
      </c>
      <c r="I1230" s="134"/>
      <c r="J1230" s="150"/>
      <c r="K1230" s="147"/>
      <c r="L1230" s="147"/>
      <c r="M1230" s="147">
        <v>2</v>
      </c>
      <c r="N1230" s="289">
        <v>55</v>
      </c>
      <c r="O1230" s="196"/>
      <c r="P1230" s="180"/>
      <c r="Q1230" s="174">
        <v>2.8</v>
      </c>
      <c r="R1230" s="205">
        <v>0.6</v>
      </c>
      <c r="S1230" s="165"/>
      <c r="T1230" s="129" t="s">
        <v>1448</v>
      </c>
      <c r="U1230" s="147" t="s">
        <v>37</v>
      </c>
      <c r="V1230" s="129"/>
      <c r="W1230" s="147" t="s">
        <v>2214</v>
      </c>
      <c r="X1230" s="215"/>
      <c r="Y1230" s="216">
        <v>0</v>
      </c>
      <c r="Z1230" s="216">
        <v>0</v>
      </c>
      <c r="AA1230" s="263"/>
      <c r="AB1230" s="155"/>
      <c r="AC1230" s="212"/>
      <c r="XFA1230" s="242"/>
      <c r="XFB1230" s="242"/>
      <c r="XFC1230" s="242"/>
      <c r="XFD1230" s="242"/>
    </row>
    <row r="1231" spans="1:29 16381:16384" hidden="1" x14ac:dyDescent="0.25">
      <c r="A1231" s="155">
        <v>1</v>
      </c>
      <c r="B1231" s="136">
        <v>1601001</v>
      </c>
      <c r="C1231" s="128" t="s">
        <v>956</v>
      </c>
      <c r="D1231" s="127" t="s">
        <v>1452</v>
      </c>
      <c r="E1231" s="147" t="s">
        <v>38</v>
      </c>
      <c r="F1231" s="138" t="s">
        <v>57</v>
      </c>
      <c r="G1231" s="147" t="s">
        <v>1731</v>
      </c>
      <c r="H1231" s="191">
        <f t="shared" si="20"/>
        <v>2.8</v>
      </c>
      <c r="I1231" s="225"/>
      <c r="J1231" s="149"/>
      <c r="K1231" s="147">
        <v>12</v>
      </c>
      <c r="L1231" s="147">
        <v>1</v>
      </c>
      <c r="M1231" s="147">
        <v>13</v>
      </c>
      <c r="N1231" s="289"/>
      <c r="O1231" s="196"/>
      <c r="P1231" s="180"/>
      <c r="Q1231" s="174">
        <v>2.8</v>
      </c>
      <c r="R1231" s="205"/>
      <c r="S1231" s="168"/>
      <c r="T1231" s="138" t="s">
        <v>57</v>
      </c>
      <c r="U1231" s="147" t="s">
        <v>37</v>
      </c>
      <c r="V1231" s="129"/>
      <c r="W1231" s="147" t="s">
        <v>2214</v>
      </c>
      <c r="X1231" s="215"/>
      <c r="Y1231" s="216">
        <v>0</v>
      </c>
      <c r="Z1231" s="216">
        <v>0</v>
      </c>
      <c r="AA1231" s="263"/>
      <c r="AB1231" s="155"/>
      <c r="AC1231" s="212"/>
      <c r="XFA1231" s="242"/>
      <c r="XFB1231" s="242"/>
      <c r="XFC1231" s="242"/>
      <c r="XFD1231" s="242"/>
    </row>
    <row r="1232" spans="1:29 16381:16384" hidden="1" x14ac:dyDescent="0.25">
      <c r="A1232" s="155">
        <v>1</v>
      </c>
      <c r="B1232" s="129">
        <v>1601002</v>
      </c>
      <c r="C1232" s="127" t="s">
        <v>1445</v>
      </c>
      <c r="D1232" s="127" t="s">
        <v>1453</v>
      </c>
      <c r="E1232" s="147" t="s">
        <v>38</v>
      </c>
      <c r="F1232" s="129" t="s">
        <v>1447</v>
      </c>
      <c r="G1232" s="147" t="s">
        <v>34</v>
      </c>
      <c r="H1232" s="191">
        <f t="shared" si="20"/>
        <v>0</v>
      </c>
      <c r="I1232" s="225"/>
      <c r="J1232" s="149"/>
      <c r="K1232" s="147"/>
      <c r="L1232" s="147"/>
      <c r="M1232" s="147">
        <v>2</v>
      </c>
      <c r="N1232" s="289">
        <v>55</v>
      </c>
      <c r="O1232" s="196"/>
      <c r="P1232" s="180"/>
      <c r="Q1232" s="174"/>
      <c r="R1232" s="206">
        <v>0</v>
      </c>
      <c r="S1232" s="165"/>
      <c r="T1232" s="129" t="s">
        <v>1448</v>
      </c>
      <c r="U1232" s="147" t="s">
        <v>37</v>
      </c>
      <c r="V1232" s="129"/>
      <c r="W1232" s="163" t="s">
        <v>54</v>
      </c>
      <c r="X1232" s="215"/>
      <c r="Y1232" s="216">
        <v>0</v>
      </c>
      <c r="Z1232" s="216">
        <v>0</v>
      </c>
      <c r="AA1232" s="263"/>
      <c r="AB1232" s="155"/>
      <c r="AC1232" s="212"/>
      <c r="XFA1232" s="242"/>
      <c r="XFB1232" s="242"/>
      <c r="XFC1232" s="242"/>
      <c r="XFD1232" s="242"/>
    </row>
    <row r="1233" spans="1:29 16380:16384" hidden="1" x14ac:dyDescent="0.25">
      <c r="A1233" s="155">
        <v>1</v>
      </c>
      <c r="B1233" s="136">
        <v>1601003</v>
      </c>
      <c r="C1233" s="127" t="s">
        <v>1445</v>
      </c>
      <c r="D1233" s="127" t="s">
        <v>1454</v>
      </c>
      <c r="E1233" s="147" t="s">
        <v>38</v>
      </c>
      <c r="F1233" s="129" t="s">
        <v>1725</v>
      </c>
      <c r="G1233" s="147" t="s">
        <v>34</v>
      </c>
      <c r="H1233" s="191">
        <f t="shared" si="20"/>
        <v>3.69</v>
      </c>
      <c r="I1233" s="222" t="s">
        <v>2084</v>
      </c>
      <c r="J1233" s="146">
        <v>30</v>
      </c>
      <c r="K1233" s="147">
        <v>1</v>
      </c>
      <c r="L1233" s="147">
        <v>1</v>
      </c>
      <c r="M1233" s="147">
        <v>2</v>
      </c>
      <c r="N1233" s="289">
        <v>55</v>
      </c>
      <c r="O1233" s="195">
        <v>3.7</v>
      </c>
      <c r="P1233" s="180">
        <v>45176</v>
      </c>
      <c r="Q1233" s="174">
        <v>3.64</v>
      </c>
      <c r="R1233" s="205">
        <v>0.05</v>
      </c>
      <c r="S1233" s="165"/>
      <c r="T1233" s="129" t="s">
        <v>1448</v>
      </c>
      <c r="U1233" s="147" t="s">
        <v>37</v>
      </c>
      <c r="V1233" s="129"/>
      <c r="W1233" s="147" t="s">
        <v>2214</v>
      </c>
      <c r="X1233" s="215" t="s">
        <v>1009</v>
      </c>
      <c r="Y1233" s="216">
        <v>0</v>
      </c>
      <c r="Z1233" s="216">
        <v>0</v>
      </c>
      <c r="AA1233" s="263"/>
      <c r="AB1233" s="155"/>
      <c r="AC1233" s="212"/>
      <c r="XFA1233" s="242"/>
      <c r="XFB1233" s="242"/>
      <c r="XFC1233" s="242"/>
      <c r="XFD1233" s="242"/>
    </row>
    <row r="1234" spans="1:29 16380:16384" hidden="1" x14ac:dyDescent="0.25">
      <c r="A1234" s="155"/>
      <c r="B1234" s="156">
        <v>1601004</v>
      </c>
      <c r="C1234" s="127" t="s">
        <v>1445</v>
      </c>
      <c r="D1234" s="127" t="s">
        <v>1751</v>
      </c>
      <c r="E1234" s="147" t="s">
        <v>38</v>
      </c>
      <c r="F1234" s="129" t="s">
        <v>1752</v>
      </c>
      <c r="G1234" s="147" t="s">
        <v>607</v>
      </c>
      <c r="H1234" s="191">
        <f t="shared" si="20"/>
        <v>8.5</v>
      </c>
      <c r="I1234" s="222" t="s">
        <v>2084</v>
      </c>
      <c r="J1234" s="146">
        <v>30</v>
      </c>
      <c r="K1234" s="147"/>
      <c r="L1234" s="147"/>
      <c r="M1234" s="147">
        <v>2</v>
      </c>
      <c r="N1234" s="289">
        <v>100</v>
      </c>
      <c r="O1234" s="196"/>
      <c r="P1234" s="180">
        <v>45329</v>
      </c>
      <c r="Q1234" s="174">
        <v>8</v>
      </c>
      <c r="R1234" s="205">
        <v>0.5</v>
      </c>
      <c r="S1234" s="165"/>
      <c r="T1234" s="129" t="s">
        <v>1448</v>
      </c>
      <c r="U1234" s="147" t="s">
        <v>37</v>
      </c>
      <c r="V1234" s="129"/>
      <c r="W1234" s="147" t="s">
        <v>2214</v>
      </c>
      <c r="X1234" s="215" t="s">
        <v>1967</v>
      </c>
      <c r="Y1234" s="216">
        <v>229.64583333333334</v>
      </c>
      <c r="Z1234" s="216">
        <v>367.43333333333334</v>
      </c>
      <c r="AA1234" s="263"/>
      <c r="AB1234" s="155"/>
      <c r="AC1234" s="212"/>
      <c r="XFA1234" s="242"/>
      <c r="XFB1234" s="242"/>
      <c r="XFC1234" s="242"/>
      <c r="XFD1234" s="242"/>
    </row>
    <row r="1235" spans="1:29 16380:16384" ht="36" x14ac:dyDescent="0.25">
      <c r="A1235" s="155"/>
      <c r="B1235" s="136">
        <v>1601005</v>
      </c>
      <c r="C1235" s="128" t="s">
        <v>1445</v>
      </c>
      <c r="D1235" s="127" t="s">
        <v>1988</v>
      </c>
      <c r="E1235" s="147" t="s">
        <v>38</v>
      </c>
      <c r="F1235" s="129" t="s">
        <v>1861</v>
      </c>
      <c r="G1235" s="147" t="s">
        <v>34</v>
      </c>
      <c r="H1235" s="191">
        <f t="shared" si="20"/>
        <v>5.8500000000000005</v>
      </c>
      <c r="I1235" s="222" t="s">
        <v>2234</v>
      </c>
      <c r="J1235" s="146">
        <v>30</v>
      </c>
      <c r="K1235" s="147">
        <v>6</v>
      </c>
      <c r="L1235" s="147">
        <v>1</v>
      </c>
      <c r="M1235" s="147">
        <v>7</v>
      </c>
      <c r="N1235" s="289">
        <v>250</v>
      </c>
      <c r="O1235" s="195"/>
      <c r="P1235" s="180"/>
      <c r="Q1235" s="174">
        <v>4.6500000000000004</v>
      </c>
      <c r="R1235" s="291">
        <f>300/N1235</f>
        <v>1.2</v>
      </c>
      <c r="S1235" s="147"/>
      <c r="T1235" s="129" t="s">
        <v>1448</v>
      </c>
      <c r="U1235" s="147" t="s">
        <v>37</v>
      </c>
      <c r="V1235" s="129"/>
      <c r="W1235" s="147" t="s">
        <v>2213</v>
      </c>
      <c r="X1235" s="215" t="s">
        <v>1989</v>
      </c>
      <c r="Y1235" s="216">
        <v>0</v>
      </c>
      <c r="Z1235" s="216">
        <v>0</v>
      </c>
      <c r="AA1235" s="263"/>
      <c r="AB1235" s="305"/>
      <c r="XFA1235" s="242"/>
      <c r="XFB1235" s="242"/>
      <c r="XFC1235" s="242"/>
      <c r="XFD1235" s="242"/>
    </row>
    <row r="1236" spans="1:29 16380:16384" ht="36" x14ac:dyDescent="0.25">
      <c r="A1236" s="155"/>
      <c r="B1236" s="158">
        <v>1601006</v>
      </c>
      <c r="C1236" s="128" t="s">
        <v>1445</v>
      </c>
      <c r="D1236" s="127" t="s">
        <v>2071</v>
      </c>
      <c r="E1236" s="147" t="s">
        <v>38</v>
      </c>
      <c r="F1236" s="129" t="s">
        <v>1861</v>
      </c>
      <c r="G1236" s="147" t="s">
        <v>34</v>
      </c>
      <c r="H1236" s="191">
        <f t="shared" si="20"/>
        <v>3</v>
      </c>
      <c r="I1236" s="222" t="s">
        <v>2234</v>
      </c>
      <c r="J1236" s="146">
        <v>30</v>
      </c>
      <c r="K1236" s="147">
        <v>5</v>
      </c>
      <c r="L1236" s="147">
        <v>1</v>
      </c>
      <c r="M1236" s="147">
        <v>6</v>
      </c>
      <c r="N1236" s="289">
        <v>1000</v>
      </c>
      <c r="O1236" s="195"/>
      <c r="P1236" s="180">
        <v>45708</v>
      </c>
      <c r="Q1236" s="174">
        <v>2.7</v>
      </c>
      <c r="R1236" s="291">
        <f>300/N1236</f>
        <v>0.3</v>
      </c>
      <c r="S1236" s="147"/>
      <c r="T1236" s="129" t="s">
        <v>1448</v>
      </c>
      <c r="U1236" s="147" t="s">
        <v>37</v>
      </c>
      <c r="V1236" s="129"/>
      <c r="W1236" s="147" t="s">
        <v>2213</v>
      </c>
      <c r="X1236" s="215" t="s">
        <v>1989</v>
      </c>
      <c r="Y1236" s="216"/>
      <c r="Z1236" s="216"/>
      <c r="AA1236" s="263"/>
      <c r="AB1236" s="305"/>
      <c r="XEZ1236" s="242"/>
      <c r="XFA1236" s="242"/>
      <c r="XFB1236" s="242"/>
      <c r="XFC1236" s="242"/>
      <c r="XFD1236" s="242"/>
    </row>
    <row r="1237" spans="1:29 16380:16384" hidden="1" x14ac:dyDescent="0.25">
      <c r="A1237" s="155">
        <v>1</v>
      </c>
      <c r="B1237" s="136">
        <v>1701001</v>
      </c>
      <c r="C1237" s="128" t="s">
        <v>956</v>
      </c>
      <c r="D1237" s="129" t="s">
        <v>1456</v>
      </c>
      <c r="E1237" s="147" t="s">
        <v>38</v>
      </c>
      <c r="F1237" s="129" t="s">
        <v>1457</v>
      </c>
      <c r="G1237" s="147" t="s">
        <v>1731</v>
      </c>
      <c r="H1237" s="191">
        <f t="shared" si="20"/>
        <v>0</v>
      </c>
      <c r="I1237" s="225"/>
      <c r="J1237" s="149"/>
      <c r="K1237" s="147">
        <v>11</v>
      </c>
      <c r="L1237" s="147">
        <v>1</v>
      </c>
      <c r="M1237" s="147">
        <v>12</v>
      </c>
      <c r="N1237" s="289"/>
      <c r="O1237" s="196"/>
      <c r="P1237" s="180"/>
      <c r="Q1237" s="174"/>
      <c r="R1237" s="206">
        <v>0</v>
      </c>
      <c r="S1237" s="168"/>
      <c r="T1237" s="129" t="s">
        <v>1457</v>
      </c>
      <c r="U1237" s="147" t="s">
        <v>37</v>
      </c>
      <c r="V1237" s="129"/>
      <c r="W1237" s="163" t="s">
        <v>2531</v>
      </c>
      <c r="X1237" s="215"/>
      <c r="Y1237" s="216">
        <v>0</v>
      </c>
      <c r="Z1237" s="216">
        <v>0</v>
      </c>
      <c r="AA1237" s="263"/>
      <c r="AB1237" s="155"/>
      <c r="AC1237" s="212"/>
      <c r="XEZ1237" s="242"/>
      <c r="XFA1237" s="242"/>
      <c r="XFB1237" s="242"/>
      <c r="XFC1237" s="242"/>
      <c r="XFD1237" s="242"/>
    </row>
    <row r="1238" spans="1:29 16380:16384" hidden="1" x14ac:dyDescent="0.25">
      <c r="A1238" s="155">
        <v>1</v>
      </c>
      <c r="B1238" s="136">
        <v>1701002</v>
      </c>
      <c r="C1238" s="128" t="s">
        <v>956</v>
      </c>
      <c r="D1238" s="129" t="s">
        <v>1458</v>
      </c>
      <c r="E1238" s="147" t="s">
        <v>38</v>
      </c>
      <c r="F1238" s="129" t="s">
        <v>1457</v>
      </c>
      <c r="G1238" s="147" t="s">
        <v>1731</v>
      </c>
      <c r="H1238" s="191">
        <f t="shared" si="20"/>
        <v>0</v>
      </c>
      <c r="I1238" s="225"/>
      <c r="J1238" s="149"/>
      <c r="K1238" s="147">
        <v>11</v>
      </c>
      <c r="L1238" s="147">
        <v>1</v>
      </c>
      <c r="M1238" s="147">
        <v>12</v>
      </c>
      <c r="N1238" s="289"/>
      <c r="O1238" s="196"/>
      <c r="P1238" s="180"/>
      <c r="Q1238" s="174"/>
      <c r="R1238" s="206">
        <v>0</v>
      </c>
      <c r="S1238" s="168"/>
      <c r="T1238" s="129" t="s">
        <v>1457</v>
      </c>
      <c r="U1238" s="147" t="s">
        <v>37</v>
      </c>
      <c r="V1238" s="129"/>
      <c r="W1238" s="163" t="s">
        <v>2531</v>
      </c>
      <c r="X1238" s="215"/>
      <c r="Y1238" s="216">
        <v>0</v>
      </c>
      <c r="Z1238" s="216">
        <v>0</v>
      </c>
      <c r="AA1238" s="263"/>
      <c r="AB1238" s="155"/>
      <c r="AC1238" s="212"/>
      <c r="XEZ1238" s="242"/>
      <c r="XFA1238" s="242"/>
      <c r="XFB1238" s="242"/>
      <c r="XFC1238" s="242"/>
      <c r="XFD1238" s="242"/>
    </row>
    <row r="1239" spans="1:29 16380:16384" hidden="1" x14ac:dyDescent="0.25">
      <c r="A1239" s="155">
        <v>1</v>
      </c>
      <c r="B1239" s="136">
        <v>1701003</v>
      </c>
      <c r="C1239" s="128" t="s">
        <v>956</v>
      </c>
      <c r="D1239" s="129" t="s">
        <v>1459</v>
      </c>
      <c r="E1239" s="147" t="s">
        <v>38</v>
      </c>
      <c r="F1239" s="129" t="s">
        <v>1457</v>
      </c>
      <c r="G1239" s="147" t="s">
        <v>1731</v>
      </c>
      <c r="H1239" s="191">
        <f t="shared" si="20"/>
        <v>0</v>
      </c>
      <c r="I1239" s="225"/>
      <c r="J1239" s="149"/>
      <c r="K1239" s="147">
        <v>11</v>
      </c>
      <c r="L1239" s="147">
        <v>1</v>
      </c>
      <c r="M1239" s="147">
        <v>12</v>
      </c>
      <c r="N1239" s="289"/>
      <c r="O1239" s="196"/>
      <c r="P1239" s="180"/>
      <c r="Q1239" s="174"/>
      <c r="R1239" s="206">
        <v>0</v>
      </c>
      <c r="S1239" s="168"/>
      <c r="T1239" s="129" t="s">
        <v>1457</v>
      </c>
      <c r="U1239" s="147" t="s">
        <v>37</v>
      </c>
      <c r="V1239" s="129"/>
      <c r="W1239" s="163" t="s">
        <v>2531</v>
      </c>
      <c r="X1239" s="215"/>
      <c r="Y1239" s="216">
        <v>0</v>
      </c>
      <c r="Z1239" s="216">
        <v>0</v>
      </c>
      <c r="AA1239" s="263"/>
      <c r="AB1239" s="155"/>
      <c r="AC1239" s="212"/>
      <c r="XFD1239" s="242"/>
    </row>
    <row r="1240" spans="1:29 16380:16384" hidden="1" x14ac:dyDescent="0.25">
      <c r="A1240" s="155">
        <v>1</v>
      </c>
      <c r="B1240" s="136">
        <v>1701004</v>
      </c>
      <c r="C1240" s="128" t="s">
        <v>956</v>
      </c>
      <c r="D1240" s="129" t="s">
        <v>1460</v>
      </c>
      <c r="E1240" s="147" t="s">
        <v>38</v>
      </c>
      <c r="F1240" s="129" t="s">
        <v>1457</v>
      </c>
      <c r="G1240" s="147" t="s">
        <v>1731</v>
      </c>
      <c r="H1240" s="191">
        <f t="shared" si="20"/>
        <v>0</v>
      </c>
      <c r="I1240" s="225"/>
      <c r="J1240" s="149"/>
      <c r="K1240" s="147">
        <v>11</v>
      </c>
      <c r="L1240" s="147">
        <v>1</v>
      </c>
      <c r="M1240" s="147">
        <v>12</v>
      </c>
      <c r="N1240" s="289"/>
      <c r="O1240" s="196"/>
      <c r="P1240" s="180"/>
      <c r="Q1240" s="174"/>
      <c r="R1240" s="206">
        <v>0</v>
      </c>
      <c r="S1240" s="168"/>
      <c r="T1240" s="129" t="s">
        <v>1457</v>
      </c>
      <c r="U1240" s="147" t="s">
        <v>37</v>
      </c>
      <c r="V1240" s="129"/>
      <c r="W1240" s="163" t="s">
        <v>2531</v>
      </c>
      <c r="X1240" s="215"/>
      <c r="Y1240" s="216">
        <v>0</v>
      </c>
      <c r="Z1240" s="216">
        <v>0</v>
      </c>
      <c r="AA1240" s="263"/>
      <c r="AB1240" s="155"/>
      <c r="AC1240" s="212"/>
      <c r="XFC1240" s="242"/>
      <c r="XFD1240" s="242"/>
    </row>
    <row r="1241" spans="1:29 16380:16384" hidden="1" x14ac:dyDescent="0.25">
      <c r="A1241" s="155">
        <v>1</v>
      </c>
      <c r="B1241" s="136">
        <v>1701005</v>
      </c>
      <c r="C1241" s="278" t="s">
        <v>956</v>
      </c>
      <c r="D1241" s="137" t="s">
        <v>1461</v>
      </c>
      <c r="E1241" s="147" t="s">
        <v>38</v>
      </c>
      <c r="F1241" s="129" t="s">
        <v>1457</v>
      </c>
      <c r="G1241" s="147" t="s">
        <v>1731</v>
      </c>
      <c r="H1241" s="191">
        <f t="shared" si="20"/>
        <v>0</v>
      </c>
      <c r="I1241" s="225"/>
      <c r="J1241" s="149"/>
      <c r="K1241" s="147">
        <v>11</v>
      </c>
      <c r="L1241" s="147">
        <v>1</v>
      </c>
      <c r="M1241" s="147">
        <v>12</v>
      </c>
      <c r="N1241" s="289"/>
      <c r="O1241" s="196"/>
      <c r="P1241" s="180"/>
      <c r="Q1241" s="174"/>
      <c r="R1241" s="206">
        <v>0</v>
      </c>
      <c r="S1241" s="168"/>
      <c r="T1241" s="129" t="s">
        <v>1457</v>
      </c>
      <c r="U1241" s="147" t="s">
        <v>37</v>
      </c>
      <c r="V1241" s="129"/>
      <c r="W1241" s="163" t="s">
        <v>2531</v>
      </c>
      <c r="X1241" s="215"/>
      <c r="Y1241" s="216">
        <v>0</v>
      </c>
      <c r="Z1241" s="216">
        <v>0</v>
      </c>
      <c r="AA1241" s="263"/>
      <c r="AB1241" s="155"/>
      <c r="AC1241" s="212"/>
      <c r="XFD1241" s="242"/>
    </row>
    <row r="1242" spans="1:29 16380:16384" hidden="1" x14ac:dyDescent="0.25">
      <c r="A1242" s="155">
        <v>1</v>
      </c>
      <c r="B1242" s="136">
        <v>1701006</v>
      </c>
      <c r="C1242" s="128" t="s">
        <v>956</v>
      </c>
      <c r="D1242" s="137" t="s">
        <v>1462</v>
      </c>
      <c r="E1242" s="147" t="s">
        <v>38</v>
      </c>
      <c r="F1242" s="129" t="s">
        <v>1457</v>
      </c>
      <c r="G1242" s="147" t="s">
        <v>1731</v>
      </c>
      <c r="H1242" s="191">
        <f t="shared" si="20"/>
        <v>0</v>
      </c>
      <c r="I1242" s="225"/>
      <c r="J1242" s="149"/>
      <c r="K1242" s="147">
        <v>11</v>
      </c>
      <c r="L1242" s="147">
        <v>1</v>
      </c>
      <c r="M1242" s="147">
        <v>12</v>
      </c>
      <c r="N1242" s="289"/>
      <c r="O1242" s="196"/>
      <c r="P1242" s="180"/>
      <c r="Q1242" s="174"/>
      <c r="R1242" s="206">
        <v>0</v>
      </c>
      <c r="S1242" s="168"/>
      <c r="T1242" s="129" t="s">
        <v>1457</v>
      </c>
      <c r="U1242" s="147" t="s">
        <v>37</v>
      </c>
      <c r="V1242" s="129"/>
      <c r="W1242" s="163" t="s">
        <v>2531</v>
      </c>
      <c r="X1242" s="215"/>
      <c r="Y1242" s="216">
        <v>0</v>
      </c>
      <c r="Z1242" s="216">
        <v>0</v>
      </c>
      <c r="AA1242" s="263"/>
      <c r="AB1242" s="155"/>
      <c r="AC1242" s="212"/>
      <c r="XFD1242" s="242"/>
    </row>
    <row r="1243" spans="1:29 16380:16384" hidden="1" x14ac:dyDescent="0.25">
      <c r="A1243" s="155">
        <v>1</v>
      </c>
      <c r="B1243" s="136">
        <v>1701007</v>
      </c>
      <c r="C1243" s="128" t="s">
        <v>956</v>
      </c>
      <c r="D1243" s="137" t="s">
        <v>1463</v>
      </c>
      <c r="E1243" s="147" t="s">
        <v>38</v>
      </c>
      <c r="F1243" s="129" t="s">
        <v>1457</v>
      </c>
      <c r="G1243" s="147" t="s">
        <v>1731</v>
      </c>
      <c r="H1243" s="191">
        <f t="shared" si="20"/>
        <v>0</v>
      </c>
      <c r="I1243" s="225"/>
      <c r="J1243" s="149"/>
      <c r="K1243" s="147">
        <v>11</v>
      </c>
      <c r="L1243" s="147">
        <v>1</v>
      </c>
      <c r="M1243" s="147">
        <v>12</v>
      </c>
      <c r="N1243" s="289"/>
      <c r="O1243" s="196"/>
      <c r="P1243" s="180"/>
      <c r="Q1243" s="174"/>
      <c r="R1243" s="206">
        <v>0</v>
      </c>
      <c r="S1243" s="168"/>
      <c r="T1243" s="129" t="s">
        <v>1457</v>
      </c>
      <c r="U1243" s="147" t="s">
        <v>37</v>
      </c>
      <c r="V1243" s="129"/>
      <c r="W1243" s="163" t="s">
        <v>2531</v>
      </c>
      <c r="X1243" s="215"/>
      <c r="Y1243" s="216">
        <v>0</v>
      </c>
      <c r="Z1243" s="216">
        <v>0</v>
      </c>
      <c r="AA1243" s="263"/>
      <c r="AB1243" s="155"/>
      <c r="AC1243" s="212"/>
      <c r="XFD1243" s="242"/>
    </row>
    <row r="1244" spans="1:29 16380:16384" hidden="1" x14ac:dyDescent="0.25">
      <c r="A1244" s="155">
        <v>1</v>
      </c>
      <c r="B1244" s="136">
        <v>1701008</v>
      </c>
      <c r="C1244" s="128" t="s">
        <v>956</v>
      </c>
      <c r="D1244" s="137" t="s">
        <v>1464</v>
      </c>
      <c r="E1244" s="147" t="s">
        <v>38</v>
      </c>
      <c r="F1244" s="129" t="s">
        <v>1457</v>
      </c>
      <c r="G1244" s="147" t="s">
        <v>1731</v>
      </c>
      <c r="H1244" s="191">
        <f t="shared" si="20"/>
        <v>0</v>
      </c>
      <c r="I1244" s="225"/>
      <c r="J1244" s="149"/>
      <c r="K1244" s="147">
        <v>11</v>
      </c>
      <c r="L1244" s="147">
        <v>1</v>
      </c>
      <c r="M1244" s="147">
        <v>12</v>
      </c>
      <c r="N1244" s="289"/>
      <c r="O1244" s="196"/>
      <c r="P1244" s="180"/>
      <c r="Q1244" s="174"/>
      <c r="R1244" s="206">
        <v>0</v>
      </c>
      <c r="S1244" s="168"/>
      <c r="T1244" s="129" t="s">
        <v>1457</v>
      </c>
      <c r="U1244" s="147" t="s">
        <v>37</v>
      </c>
      <c r="V1244" s="129"/>
      <c r="W1244" s="163" t="s">
        <v>2531</v>
      </c>
      <c r="X1244" s="215"/>
      <c r="Y1244" s="216">
        <v>0</v>
      </c>
      <c r="Z1244" s="216">
        <v>0</v>
      </c>
      <c r="AA1244" s="263"/>
      <c r="AB1244" s="155"/>
      <c r="AC1244" s="212"/>
      <c r="XFD1244" s="242"/>
    </row>
    <row r="1245" spans="1:29 16380:16384" hidden="1" x14ac:dyDescent="0.25">
      <c r="A1245" s="155">
        <v>1</v>
      </c>
      <c r="B1245" s="136">
        <v>1702001</v>
      </c>
      <c r="C1245" s="128" t="s">
        <v>956</v>
      </c>
      <c r="D1245" s="129" t="s">
        <v>1465</v>
      </c>
      <c r="E1245" s="147" t="s">
        <v>38</v>
      </c>
      <c r="F1245" s="129" t="s">
        <v>1457</v>
      </c>
      <c r="G1245" s="147" t="s">
        <v>1731</v>
      </c>
      <c r="H1245" s="191">
        <f t="shared" si="20"/>
        <v>0</v>
      </c>
      <c r="I1245" s="225"/>
      <c r="J1245" s="149"/>
      <c r="K1245" s="147">
        <v>11</v>
      </c>
      <c r="L1245" s="147">
        <v>1</v>
      </c>
      <c r="M1245" s="147">
        <v>12</v>
      </c>
      <c r="N1245" s="289"/>
      <c r="O1245" s="196"/>
      <c r="P1245" s="180"/>
      <c r="Q1245" s="174"/>
      <c r="R1245" s="206">
        <v>0</v>
      </c>
      <c r="S1245" s="168"/>
      <c r="T1245" s="129" t="s">
        <v>1457</v>
      </c>
      <c r="U1245" s="147" t="s">
        <v>37</v>
      </c>
      <c r="V1245" s="129"/>
      <c r="W1245" s="163" t="s">
        <v>2531</v>
      </c>
      <c r="X1245" s="215"/>
      <c r="Y1245" s="216">
        <v>0</v>
      </c>
      <c r="Z1245" s="216">
        <v>0</v>
      </c>
      <c r="AA1245" s="263"/>
      <c r="AB1245" s="155"/>
      <c r="AC1245" s="212"/>
      <c r="XFD1245" s="242"/>
    </row>
    <row r="1246" spans="1:29 16380:16384" hidden="1" x14ac:dyDescent="0.25">
      <c r="A1246" s="155">
        <v>1</v>
      </c>
      <c r="B1246" s="136">
        <v>1702002</v>
      </c>
      <c r="C1246" s="128" t="s">
        <v>956</v>
      </c>
      <c r="D1246" s="129" t="s">
        <v>1466</v>
      </c>
      <c r="E1246" s="147" t="s">
        <v>38</v>
      </c>
      <c r="F1246" s="129" t="s">
        <v>1457</v>
      </c>
      <c r="G1246" s="147" t="s">
        <v>1731</v>
      </c>
      <c r="H1246" s="191">
        <f t="shared" si="20"/>
        <v>0</v>
      </c>
      <c r="I1246" s="225"/>
      <c r="J1246" s="149"/>
      <c r="K1246" s="147">
        <v>11</v>
      </c>
      <c r="L1246" s="147">
        <v>1</v>
      </c>
      <c r="M1246" s="147">
        <v>12</v>
      </c>
      <c r="N1246" s="289"/>
      <c r="O1246" s="196"/>
      <c r="P1246" s="180"/>
      <c r="Q1246" s="174"/>
      <c r="R1246" s="206">
        <v>0</v>
      </c>
      <c r="S1246" s="168"/>
      <c r="T1246" s="129" t="s">
        <v>1457</v>
      </c>
      <c r="U1246" s="147" t="s">
        <v>37</v>
      </c>
      <c r="V1246" s="129"/>
      <c r="W1246" s="163" t="s">
        <v>2531</v>
      </c>
      <c r="X1246" s="215"/>
      <c r="Y1246" s="216">
        <v>0</v>
      </c>
      <c r="Z1246" s="216">
        <v>0</v>
      </c>
      <c r="AA1246" s="263"/>
      <c r="AB1246" s="155"/>
      <c r="AC1246" s="212"/>
      <c r="XFB1246" s="242"/>
      <c r="XFC1246" s="242"/>
      <c r="XFD1246" s="242"/>
    </row>
    <row r="1247" spans="1:29 16380:16384" hidden="1" x14ac:dyDescent="0.25">
      <c r="A1247" s="155">
        <v>1</v>
      </c>
      <c r="B1247" s="136">
        <v>1702003</v>
      </c>
      <c r="C1247" s="128" t="s">
        <v>956</v>
      </c>
      <c r="D1247" s="129" t="s">
        <v>1467</v>
      </c>
      <c r="E1247" s="147" t="s">
        <v>38</v>
      </c>
      <c r="F1247" s="129" t="s">
        <v>1457</v>
      </c>
      <c r="G1247" s="147" t="s">
        <v>1731</v>
      </c>
      <c r="H1247" s="191">
        <f t="shared" si="20"/>
        <v>0</v>
      </c>
      <c r="I1247" s="225"/>
      <c r="J1247" s="149"/>
      <c r="K1247" s="147">
        <v>11</v>
      </c>
      <c r="L1247" s="147">
        <v>1</v>
      </c>
      <c r="M1247" s="147">
        <v>12</v>
      </c>
      <c r="N1247" s="289"/>
      <c r="O1247" s="196"/>
      <c r="P1247" s="180"/>
      <c r="Q1247" s="174"/>
      <c r="R1247" s="206">
        <v>0</v>
      </c>
      <c r="S1247" s="168"/>
      <c r="T1247" s="129" t="s">
        <v>1457</v>
      </c>
      <c r="U1247" s="147" t="s">
        <v>37</v>
      </c>
      <c r="V1247" s="129"/>
      <c r="W1247" s="163" t="s">
        <v>2531</v>
      </c>
      <c r="X1247" s="215"/>
      <c r="Y1247" s="216">
        <v>0</v>
      </c>
      <c r="Z1247" s="216">
        <v>0</v>
      </c>
      <c r="AA1247" s="263"/>
      <c r="AB1247" s="155"/>
      <c r="AC1247" s="212"/>
      <c r="XFB1247" s="242"/>
      <c r="XFC1247" s="242"/>
      <c r="XFD1247" s="242"/>
    </row>
    <row r="1248" spans="1:29 16380:16384" hidden="1" x14ac:dyDescent="0.25">
      <c r="A1248" s="155">
        <v>1</v>
      </c>
      <c r="B1248" s="136">
        <v>1702004</v>
      </c>
      <c r="C1248" s="128" t="s">
        <v>956</v>
      </c>
      <c r="D1248" s="129" t="s">
        <v>1468</v>
      </c>
      <c r="E1248" s="147" t="s">
        <v>38</v>
      </c>
      <c r="F1248" s="129" t="s">
        <v>1457</v>
      </c>
      <c r="G1248" s="147" t="s">
        <v>1731</v>
      </c>
      <c r="H1248" s="191">
        <f t="shared" si="20"/>
        <v>0</v>
      </c>
      <c r="I1248" s="225"/>
      <c r="J1248" s="149"/>
      <c r="K1248" s="147">
        <v>11</v>
      </c>
      <c r="L1248" s="147">
        <v>1</v>
      </c>
      <c r="M1248" s="147">
        <v>12</v>
      </c>
      <c r="N1248" s="289"/>
      <c r="O1248" s="196"/>
      <c r="P1248" s="180"/>
      <c r="Q1248" s="174"/>
      <c r="R1248" s="206">
        <v>0</v>
      </c>
      <c r="S1248" s="168"/>
      <c r="T1248" s="129" t="s">
        <v>1457</v>
      </c>
      <c r="U1248" s="147" t="s">
        <v>37</v>
      </c>
      <c r="V1248" s="129"/>
      <c r="W1248" s="163" t="s">
        <v>2531</v>
      </c>
      <c r="X1248" s="215"/>
      <c r="Y1248" s="216">
        <v>0</v>
      </c>
      <c r="Z1248" s="216">
        <v>0</v>
      </c>
      <c r="AA1248" s="263"/>
      <c r="AB1248" s="155"/>
      <c r="AC1248" s="212"/>
      <c r="XFB1248" s="242"/>
      <c r="XFC1248" s="242"/>
      <c r="XFD1248" s="242"/>
    </row>
    <row r="1249" spans="1:28 16381:16384" s="212" customFormat="1" hidden="1" x14ac:dyDescent="0.25">
      <c r="A1249" s="155">
        <v>1</v>
      </c>
      <c r="B1249" s="136">
        <v>1702005</v>
      </c>
      <c r="C1249" s="128" t="s">
        <v>956</v>
      </c>
      <c r="D1249" s="129" t="s">
        <v>1469</v>
      </c>
      <c r="E1249" s="147" t="s">
        <v>38</v>
      </c>
      <c r="F1249" s="129" t="s">
        <v>1457</v>
      </c>
      <c r="G1249" s="147" t="s">
        <v>1731</v>
      </c>
      <c r="H1249" s="191">
        <f t="shared" si="20"/>
        <v>0</v>
      </c>
      <c r="I1249" s="225"/>
      <c r="J1249" s="149"/>
      <c r="K1249" s="147">
        <v>11</v>
      </c>
      <c r="L1249" s="147">
        <v>1</v>
      </c>
      <c r="M1249" s="147">
        <v>12</v>
      </c>
      <c r="N1249" s="289"/>
      <c r="O1249" s="196"/>
      <c r="P1249" s="180"/>
      <c r="Q1249" s="174"/>
      <c r="R1249" s="206">
        <v>0</v>
      </c>
      <c r="S1249" s="168"/>
      <c r="T1249" s="129" t="s">
        <v>1457</v>
      </c>
      <c r="U1249" s="147" t="s">
        <v>37</v>
      </c>
      <c r="V1249" s="129"/>
      <c r="W1249" s="163" t="s">
        <v>2531</v>
      </c>
      <c r="X1249" s="215"/>
      <c r="Y1249" s="216">
        <v>0</v>
      </c>
      <c r="Z1249" s="216">
        <v>0</v>
      </c>
      <c r="AA1249" s="263"/>
      <c r="AB1249" s="155"/>
      <c r="XFA1249" s="242"/>
      <c r="XFB1249" s="242"/>
      <c r="XFC1249" s="242"/>
      <c r="XFD1249" s="242"/>
    </row>
    <row r="1250" spans="1:28 16381:16384" s="212" customFormat="1" hidden="1" x14ac:dyDescent="0.25">
      <c r="A1250" s="155">
        <v>1</v>
      </c>
      <c r="B1250" s="136">
        <v>1702006</v>
      </c>
      <c r="C1250" s="128" t="s">
        <v>956</v>
      </c>
      <c r="D1250" s="129" t="s">
        <v>1470</v>
      </c>
      <c r="E1250" s="147" t="s">
        <v>38</v>
      </c>
      <c r="F1250" s="129" t="s">
        <v>1457</v>
      </c>
      <c r="G1250" s="147" t="s">
        <v>1731</v>
      </c>
      <c r="H1250" s="191">
        <f t="shared" si="20"/>
        <v>0</v>
      </c>
      <c r="I1250" s="225"/>
      <c r="J1250" s="149"/>
      <c r="K1250" s="147">
        <v>11</v>
      </c>
      <c r="L1250" s="147">
        <v>1</v>
      </c>
      <c r="M1250" s="147">
        <v>12</v>
      </c>
      <c r="N1250" s="289"/>
      <c r="O1250" s="196"/>
      <c r="P1250" s="180"/>
      <c r="Q1250" s="174"/>
      <c r="R1250" s="206">
        <v>0</v>
      </c>
      <c r="S1250" s="168"/>
      <c r="T1250" s="129" t="s">
        <v>1457</v>
      </c>
      <c r="U1250" s="147" t="s">
        <v>37</v>
      </c>
      <c r="V1250" s="129"/>
      <c r="W1250" s="163" t="s">
        <v>2531</v>
      </c>
      <c r="X1250" s="215"/>
      <c r="Y1250" s="216">
        <v>0</v>
      </c>
      <c r="Z1250" s="216">
        <v>0</v>
      </c>
      <c r="AA1250" s="263"/>
      <c r="AB1250" s="155"/>
      <c r="XFA1250" s="242"/>
      <c r="XFB1250" s="242"/>
      <c r="XFC1250" s="242"/>
      <c r="XFD1250" s="242"/>
    </row>
    <row r="1251" spans="1:28 16381:16384" s="212" customFormat="1" hidden="1" x14ac:dyDescent="0.25">
      <c r="A1251" s="155">
        <v>1</v>
      </c>
      <c r="B1251" s="136">
        <v>1702007</v>
      </c>
      <c r="C1251" s="128" t="s">
        <v>956</v>
      </c>
      <c r="D1251" s="129" t="s">
        <v>1471</v>
      </c>
      <c r="E1251" s="147" t="s">
        <v>38</v>
      </c>
      <c r="F1251" s="129" t="s">
        <v>1457</v>
      </c>
      <c r="G1251" s="147" t="s">
        <v>1731</v>
      </c>
      <c r="H1251" s="191">
        <f t="shared" si="20"/>
        <v>0</v>
      </c>
      <c r="I1251" s="225"/>
      <c r="J1251" s="149"/>
      <c r="K1251" s="147">
        <v>11</v>
      </c>
      <c r="L1251" s="147">
        <v>1</v>
      </c>
      <c r="M1251" s="147">
        <v>12</v>
      </c>
      <c r="N1251" s="289"/>
      <c r="O1251" s="196"/>
      <c r="P1251" s="180"/>
      <c r="Q1251" s="174"/>
      <c r="R1251" s="206">
        <v>0</v>
      </c>
      <c r="S1251" s="168"/>
      <c r="T1251" s="129" t="s">
        <v>1457</v>
      </c>
      <c r="U1251" s="147" t="s">
        <v>37</v>
      </c>
      <c r="V1251" s="129"/>
      <c r="W1251" s="163" t="s">
        <v>2531</v>
      </c>
      <c r="X1251" s="215"/>
      <c r="Y1251" s="216">
        <v>0</v>
      </c>
      <c r="Z1251" s="216">
        <v>0</v>
      </c>
      <c r="AA1251" s="263"/>
      <c r="AB1251" s="155"/>
      <c r="XFA1251" s="242"/>
      <c r="XFB1251" s="242"/>
      <c r="XFC1251" s="242"/>
      <c r="XFD1251" s="242"/>
    </row>
    <row r="1252" spans="1:28 16381:16384" s="212" customFormat="1" hidden="1" x14ac:dyDescent="0.25">
      <c r="A1252" s="155">
        <v>1</v>
      </c>
      <c r="B1252" s="136">
        <v>1702008</v>
      </c>
      <c r="C1252" s="128" t="s">
        <v>956</v>
      </c>
      <c r="D1252" s="129" t="s">
        <v>1472</v>
      </c>
      <c r="E1252" s="147" t="s">
        <v>38</v>
      </c>
      <c r="F1252" s="129" t="s">
        <v>1457</v>
      </c>
      <c r="G1252" s="147" t="s">
        <v>1731</v>
      </c>
      <c r="H1252" s="191">
        <f t="shared" si="20"/>
        <v>0</v>
      </c>
      <c r="I1252" s="225"/>
      <c r="J1252" s="149"/>
      <c r="K1252" s="147">
        <v>11</v>
      </c>
      <c r="L1252" s="147">
        <v>1</v>
      </c>
      <c r="M1252" s="147">
        <v>12</v>
      </c>
      <c r="N1252" s="289"/>
      <c r="O1252" s="196"/>
      <c r="P1252" s="180"/>
      <c r="Q1252" s="174"/>
      <c r="R1252" s="206">
        <v>0</v>
      </c>
      <c r="S1252" s="168"/>
      <c r="T1252" s="129" t="s">
        <v>1457</v>
      </c>
      <c r="U1252" s="147" t="s">
        <v>37</v>
      </c>
      <c r="V1252" s="129"/>
      <c r="W1252" s="163" t="s">
        <v>2531</v>
      </c>
      <c r="X1252" s="215"/>
      <c r="Y1252" s="216">
        <v>0</v>
      </c>
      <c r="Z1252" s="216">
        <v>0</v>
      </c>
      <c r="AA1252" s="263"/>
      <c r="AB1252" s="155"/>
      <c r="XFA1252" s="242"/>
      <c r="XFB1252" s="242"/>
      <c r="XFC1252" s="242"/>
      <c r="XFD1252" s="242"/>
    </row>
    <row r="1253" spans="1:28 16381:16384" s="212" customFormat="1" hidden="1" x14ac:dyDescent="0.25">
      <c r="A1253" s="155">
        <v>1</v>
      </c>
      <c r="B1253" s="136">
        <v>1702009</v>
      </c>
      <c r="C1253" s="128" t="s">
        <v>956</v>
      </c>
      <c r="D1253" s="137" t="s">
        <v>1473</v>
      </c>
      <c r="E1253" s="147" t="s">
        <v>38</v>
      </c>
      <c r="F1253" s="129" t="s">
        <v>1457</v>
      </c>
      <c r="G1253" s="147" t="s">
        <v>1731</v>
      </c>
      <c r="H1253" s="191">
        <f t="shared" si="20"/>
        <v>0</v>
      </c>
      <c r="I1253" s="225"/>
      <c r="J1253" s="149"/>
      <c r="K1253" s="147">
        <v>11</v>
      </c>
      <c r="L1253" s="147">
        <v>1</v>
      </c>
      <c r="M1253" s="147">
        <v>12</v>
      </c>
      <c r="N1253" s="289"/>
      <c r="O1253" s="196"/>
      <c r="P1253" s="180"/>
      <c r="Q1253" s="174"/>
      <c r="R1253" s="206">
        <v>0</v>
      </c>
      <c r="S1253" s="168"/>
      <c r="T1253" s="129" t="s">
        <v>1457</v>
      </c>
      <c r="U1253" s="147" t="s">
        <v>37</v>
      </c>
      <c r="V1253" s="129"/>
      <c r="W1253" s="163" t="s">
        <v>2531</v>
      </c>
      <c r="X1253" s="215"/>
      <c r="Y1253" s="216">
        <v>0</v>
      </c>
      <c r="Z1253" s="216">
        <v>0</v>
      </c>
      <c r="AA1253" s="263"/>
      <c r="AB1253" s="155"/>
      <c r="XFA1253" s="242"/>
      <c r="XFB1253" s="242"/>
      <c r="XFC1253" s="242"/>
      <c r="XFD1253" s="242"/>
    </row>
    <row r="1254" spans="1:28 16381:16384" s="212" customFormat="1" hidden="1" x14ac:dyDescent="0.25">
      <c r="A1254" s="155">
        <v>1</v>
      </c>
      <c r="B1254" s="136">
        <v>1702010</v>
      </c>
      <c r="C1254" s="128" t="s">
        <v>956</v>
      </c>
      <c r="D1254" s="137" t="s">
        <v>1474</v>
      </c>
      <c r="E1254" s="147" t="s">
        <v>38</v>
      </c>
      <c r="F1254" s="129" t="s">
        <v>1457</v>
      </c>
      <c r="G1254" s="147" t="s">
        <v>1731</v>
      </c>
      <c r="H1254" s="191">
        <f t="shared" si="20"/>
        <v>0</v>
      </c>
      <c r="I1254" s="225"/>
      <c r="J1254" s="149"/>
      <c r="K1254" s="147">
        <v>11</v>
      </c>
      <c r="L1254" s="147">
        <v>1</v>
      </c>
      <c r="M1254" s="147">
        <v>12</v>
      </c>
      <c r="N1254" s="289"/>
      <c r="O1254" s="196"/>
      <c r="P1254" s="180"/>
      <c r="Q1254" s="174"/>
      <c r="R1254" s="206">
        <v>0</v>
      </c>
      <c r="S1254" s="168"/>
      <c r="T1254" s="129" t="s">
        <v>1457</v>
      </c>
      <c r="U1254" s="147" t="s">
        <v>37</v>
      </c>
      <c r="V1254" s="129"/>
      <c r="W1254" s="163" t="s">
        <v>2531</v>
      </c>
      <c r="X1254" s="215"/>
      <c r="Y1254" s="216">
        <v>0</v>
      </c>
      <c r="Z1254" s="216">
        <v>0</v>
      </c>
      <c r="AA1254" s="263"/>
      <c r="AB1254" s="155"/>
      <c r="XFA1254" s="242"/>
      <c r="XFB1254" s="242"/>
      <c r="XFC1254" s="242"/>
      <c r="XFD1254" s="242"/>
    </row>
    <row r="1255" spans="1:28 16381:16384" s="212" customFormat="1" hidden="1" x14ac:dyDescent="0.25">
      <c r="A1255" s="155">
        <v>1</v>
      </c>
      <c r="B1255" s="136">
        <v>1702011</v>
      </c>
      <c r="C1255" s="128" t="s">
        <v>956</v>
      </c>
      <c r="D1255" s="137" t="s">
        <v>1475</v>
      </c>
      <c r="E1255" s="147" t="s">
        <v>38</v>
      </c>
      <c r="F1255" s="129" t="s">
        <v>1457</v>
      </c>
      <c r="G1255" s="147" t="s">
        <v>1731</v>
      </c>
      <c r="H1255" s="191">
        <f t="shared" si="20"/>
        <v>0</v>
      </c>
      <c r="I1255" s="225"/>
      <c r="J1255" s="149"/>
      <c r="K1255" s="147">
        <v>11</v>
      </c>
      <c r="L1255" s="147">
        <v>1</v>
      </c>
      <c r="M1255" s="147">
        <v>12</v>
      </c>
      <c r="N1255" s="289"/>
      <c r="O1255" s="196"/>
      <c r="P1255" s="180"/>
      <c r="Q1255" s="174"/>
      <c r="R1255" s="206">
        <v>0</v>
      </c>
      <c r="S1255" s="168"/>
      <c r="T1255" s="129" t="s">
        <v>1457</v>
      </c>
      <c r="U1255" s="147" t="s">
        <v>37</v>
      </c>
      <c r="V1255" s="129"/>
      <c r="W1255" s="163" t="s">
        <v>2531</v>
      </c>
      <c r="X1255" s="215"/>
      <c r="Y1255" s="216">
        <v>0</v>
      </c>
      <c r="Z1255" s="216">
        <v>0</v>
      </c>
      <c r="AA1255" s="263"/>
      <c r="AB1255" s="155"/>
      <c r="XFA1255" s="242"/>
      <c r="XFB1255" s="242"/>
      <c r="XFC1255" s="242"/>
      <c r="XFD1255" s="242"/>
    </row>
    <row r="1256" spans="1:28 16381:16384" s="212" customFormat="1" hidden="1" x14ac:dyDescent="0.25">
      <c r="A1256" s="155">
        <v>1</v>
      </c>
      <c r="B1256" s="136">
        <v>1702012</v>
      </c>
      <c r="C1256" s="128" t="s">
        <v>956</v>
      </c>
      <c r="D1256" s="137" t="s">
        <v>1476</v>
      </c>
      <c r="E1256" s="147" t="s">
        <v>38</v>
      </c>
      <c r="F1256" s="129" t="s">
        <v>1457</v>
      </c>
      <c r="G1256" s="147" t="s">
        <v>1731</v>
      </c>
      <c r="H1256" s="191">
        <f t="shared" si="20"/>
        <v>0</v>
      </c>
      <c r="I1256" s="225"/>
      <c r="J1256" s="149"/>
      <c r="K1256" s="147">
        <v>11</v>
      </c>
      <c r="L1256" s="147">
        <v>1</v>
      </c>
      <c r="M1256" s="147">
        <v>12</v>
      </c>
      <c r="N1256" s="289"/>
      <c r="O1256" s="196"/>
      <c r="P1256" s="180"/>
      <c r="Q1256" s="174"/>
      <c r="R1256" s="206">
        <v>0</v>
      </c>
      <c r="S1256" s="168"/>
      <c r="T1256" s="129" t="s">
        <v>1457</v>
      </c>
      <c r="U1256" s="147" t="s">
        <v>37</v>
      </c>
      <c r="V1256" s="129"/>
      <c r="W1256" s="163" t="s">
        <v>2531</v>
      </c>
      <c r="X1256" s="215"/>
      <c r="Y1256" s="216">
        <v>0</v>
      </c>
      <c r="Z1256" s="216">
        <v>0</v>
      </c>
      <c r="AA1256" s="263"/>
      <c r="AB1256" s="155"/>
      <c r="XFA1256" s="242"/>
      <c r="XFB1256" s="242"/>
      <c r="XFC1256" s="242"/>
      <c r="XFD1256" s="242"/>
    </row>
    <row r="1257" spans="1:28 16381:16384" s="212" customFormat="1" hidden="1" x14ac:dyDescent="0.25">
      <c r="A1257" s="155">
        <v>1</v>
      </c>
      <c r="B1257" s="136">
        <v>1702013</v>
      </c>
      <c r="C1257" s="128" t="s">
        <v>956</v>
      </c>
      <c r="D1257" s="137" t="s">
        <v>1477</v>
      </c>
      <c r="E1257" s="147" t="s">
        <v>38</v>
      </c>
      <c r="F1257" s="129" t="s">
        <v>1457</v>
      </c>
      <c r="G1257" s="147" t="s">
        <v>1731</v>
      </c>
      <c r="H1257" s="191">
        <f t="shared" si="20"/>
        <v>0</v>
      </c>
      <c r="I1257" s="225"/>
      <c r="J1257" s="149"/>
      <c r="K1257" s="147">
        <v>11</v>
      </c>
      <c r="L1257" s="147">
        <v>1</v>
      </c>
      <c r="M1257" s="147">
        <v>12</v>
      </c>
      <c r="N1257" s="289"/>
      <c r="O1257" s="196"/>
      <c r="P1257" s="180"/>
      <c r="Q1257" s="174"/>
      <c r="R1257" s="206">
        <v>0</v>
      </c>
      <c r="S1257" s="168"/>
      <c r="T1257" s="129" t="s">
        <v>1457</v>
      </c>
      <c r="U1257" s="147" t="s">
        <v>37</v>
      </c>
      <c r="V1257" s="129"/>
      <c r="W1257" s="163" t="s">
        <v>2531</v>
      </c>
      <c r="X1257" s="215"/>
      <c r="Y1257" s="216">
        <v>0</v>
      </c>
      <c r="Z1257" s="216">
        <v>0</v>
      </c>
      <c r="AA1257" s="263"/>
      <c r="AB1257" s="155"/>
      <c r="XFA1257" s="242"/>
      <c r="XFB1257" s="242"/>
      <c r="XFC1257" s="242"/>
      <c r="XFD1257" s="242"/>
    </row>
    <row r="1258" spans="1:28 16381:16384" s="212" customFormat="1" hidden="1" x14ac:dyDescent="0.25">
      <c r="A1258" s="155">
        <v>1</v>
      </c>
      <c r="B1258" s="136">
        <v>1702014</v>
      </c>
      <c r="C1258" s="128" t="s">
        <v>956</v>
      </c>
      <c r="D1258" s="137" t="s">
        <v>1478</v>
      </c>
      <c r="E1258" s="147" t="s">
        <v>38</v>
      </c>
      <c r="F1258" s="129" t="s">
        <v>1457</v>
      </c>
      <c r="G1258" s="147" t="s">
        <v>1731</v>
      </c>
      <c r="H1258" s="191">
        <f t="shared" si="20"/>
        <v>0</v>
      </c>
      <c r="I1258" s="225"/>
      <c r="J1258" s="149"/>
      <c r="K1258" s="147">
        <v>11</v>
      </c>
      <c r="L1258" s="147">
        <v>1</v>
      </c>
      <c r="M1258" s="147">
        <v>12</v>
      </c>
      <c r="N1258" s="289"/>
      <c r="O1258" s="196"/>
      <c r="P1258" s="180"/>
      <c r="Q1258" s="174"/>
      <c r="R1258" s="206">
        <v>0</v>
      </c>
      <c r="S1258" s="168"/>
      <c r="T1258" s="129" t="s">
        <v>1457</v>
      </c>
      <c r="U1258" s="147" t="s">
        <v>37</v>
      </c>
      <c r="V1258" s="129"/>
      <c r="W1258" s="163" t="s">
        <v>2531</v>
      </c>
      <c r="X1258" s="215"/>
      <c r="Y1258" s="216">
        <v>0</v>
      </c>
      <c r="Z1258" s="216">
        <v>0</v>
      </c>
      <c r="AA1258" s="263"/>
      <c r="AB1258" s="155"/>
      <c r="XFA1258" s="242"/>
      <c r="XFB1258" s="242"/>
      <c r="XFC1258" s="242"/>
      <c r="XFD1258" s="242"/>
    </row>
    <row r="1259" spans="1:28 16381:16384" s="212" customFormat="1" hidden="1" x14ac:dyDescent="0.25">
      <c r="A1259" s="155">
        <v>1</v>
      </c>
      <c r="B1259" s="136">
        <v>1702015</v>
      </c>
      <c r="C1259" s="128" t="s">
        <v>956</v>
      </c>
      <c r="D1259" s="137" t="s">
        <v>1479</v>
      </c>
      <c r="E1259" s="147" t="s">
        <v>38</v>
      </c>
      <c r="F1259" s="129" t="s">
        <v>1457</v>
      </c>
      <c r="G1259" s="147" t="s">
        <v>1731</v>
      </c>
      <c r="H1259" s="191">
        <f t="shared" si="20"/>
        <v>0</v>
      </c>
      <c r="I1259" s="225"/>
      <c r="J1259" s="149"/>
      <c r="K1259" s="147">
        <v>11</v>
      </c>
      <c r="L1259" s="147">
        <v>1</v>
      </c>
      <c r="M1259" s="147">
        <v>12</v>
      </c>
      <c r="N1259" s="289"/>
      <c r="O1259" s="196"/>
      <c r="P1259" s="180"/>
      <c r="Q1259" s="174"/>
      <c r="R1259" s="206">
        <v>0</v>
      </c>
      <c r="S1259" s="168"/>
      <c r="T1259" s="129" t="s">
        <v>1457</v>
      </c>
      <c r="U1259" s="147" t="s">
        <v>37</v>
      </c>
      <c r="V1259" s="129"/>
      <c r="W1259" s="163" t="s">
        <v>2531</v>
      </c>
      <c r="X1259" s="215"/>
      <c r="Y1259" s="216">
        <v>0</v>
      </c>
      <c r="Z1259" s="216">
        <v>0</v>
      </c>
      <c r="AA1259" s="263"/>
      <c r="AB1259" s="155"/>
      <c r="XFA1259" s="242"/>
      <c r="XFB1259" s="242"/>
      <c r="XFC1259" s="242"/>
      <c r="XFD1259" s="242"/>
    </row>
    <row r="1260" spans="1:28 16381:16384" s="212" customFormat="1" hidden="1" x14ac:dyDescent="0.25">
      <c r="A1260" s="155">
        <v>1</v>
      </c>
      <c r="B1260" s="136">
        <v>1702016</v>
      </c>
      <c r="C1260" s="128" t="s">
        <v>956</v>
      </c>
      <c r="D1260" s="137" t="s">
        <v>1480</v>
      </c>
      <c r="E1260" s="147" t="s">
        <v>38</v>
      </c>
      <c r="F1260" s="129" t="s">
        <v>1457</v>
      </c>
      <c r="G1260" s="147" t="s">
        <v>1731</v>
      </c>
      <c r="H1260" s="191">
        <f t="shared" si="20"/>
        <v>0</v>
      </c>
      <c r="I1260" s="225"/>
      <c r="J1260" s="149"/>
      <c r="K1260" s="147">
        <v>11</v>
      </c>
      <c r="L1260" s="147">
        <v>1</v>
      </c>
      <c r="M1260" s="147">
        <v>12</v>
      </c>
      <c r="N1260" s="289"/>
      <c r="O1260" s="196"/>
      <c r="P1260" s="180"/>
      <c r="Q1260" s="174"/>
      <c r="R1260" s="206">
        <v>0</v>
      </c>
      <c r="S1260" s="168"/>
      <c r="T1260" s="129" t="s">
        <v>1457</v>
      </c>
      <c r="U1260" s="147" t="s">
        <v>37</v>
      </c>
      <c r="V1260" s="129"/>
      <c r="W1260" s="163" t="s">
        <v>2531</v>
      </c>
      <c r="X1260" s="215"/>
      <c r="Y1260" s="216">
        <v>0</v>
      </c>
      <c r="Z1260" s="216">
        <v>0</v>
      </c>
      <c r="AA1260" s="263"/>
      <c r="AB1260" s="155"/>
      <c r="XFA1260" s="242"/>
      <c r="XFB1260" s="242"/>
      <c r="XFC1260" s="242"/>
      <c r="XFD1260" s="242"/>
    </row>
    <row r="1261" spans="1:28 16381:16384" s="212" customFormat="1" hidden="1" x14ac:dyDescent="0.25">
      <c r="A1261" s="155">
        <v>1</v>
      </c>
      <c r="B1261" s="136">
        <v>1702017</v>
      </c>
      <c r="C1261" s="128" t="s">
        <v>956</v>
      </c>
      <c r="D1261" s="137" t="s">
        <v>1481</v>
      </c>
      <c r="E1261" s="147" t="s">
        <v>38</v>
      </c>
      <c r="F1261" s="129" t="s">
        <v>1457</v>
      </c>
      <c r="G1261" s="147" t="s">
        <v>1731</v>
      </c>
      <c r="H1261" s="191">
        <f t="shared" si="20"/>
        <v>0</v>
      </c>
      <c r="I1261" s="225"/>
      <c r="J1261" s="149"/>
      <c r="K1261" s="147">
        <v>11</v>
      </c>
      <c r="L1261" s="147">
        <v>1</v>
      </c>
      <c r="M1261" s="147">
        <v>12</v>
      </c>
      <c r="N1261" s="289"/>
      <c r="O1261" s="196"/>
      <c r="P1261" s="180"/>
      <c r="Q1261" s="174"/>
      <c r="R1261" s="206">
        <v>0</v>
      </c>
      <c r="S1261" s="168"/>
      <c r="T1261" s="129" t="s">
        <v>1457</v>
      </c>
      <c r="U1261" s="147" t="s">
        <v>37</v>
      </c>
      <c r="V1261" s="129"/>
      <c r="W1261" s="163" t="s">
        <v>2531</v>
      </c>
      <c r="X1261" s="215"/>
      <c r="Y1261" s="216">
        <v>0</v>
      </c>
      <c r="Z1261" s="216">
        <v>0</v>
      </c>
      <c r="AA1261" s="263"/>
      <c r="AB1261" s="155"/>
      <c r="XFC1261" s="242"/>
      <c r="XFD1261" s="242"/>
    </row>
    <row r="1262" spans="1:28 16381:16384" s="212" customFormat="1" hidden="1" x14ac:dyDescent="0.25">
      <c r="A1262" s="155">
        <v>1</v>
      </c>
      <c r="B1262" s="136">
        <v>1702018</v>
      </c>
      <c r="C1262" s="128" t="s">
        <v>956</v>
      </c>
      <c r="D1262" s="137" t="s">
        <v>1482</v>
      </c>
      <c r="E1262" s="147" t="s">
        <v>38</v>
      </c>
      <c r="F1262" s="129" t="s">
        <v>1457</v>
      </c>
      <c r="G1262" s="147" t="s">
        <v>1731</v>
      </c>
      <c r="H1262" s="191">
        <f t="shared" si="20"/>
        <v>0</v>
      </c>
      <c r="I1262" s="225"/>
      <c r="J1262" s="149"/>
      <c r="K1262" s="147">
        <v>11</v>
      </c>
      <c r="L1262" s="147">
        <v>1</v>
      </c>
      <c r="M1262" s="147">
        <v>12</v>
      </c>
      <c r="N1262" s="289"/>
      <c r="O1262" s="196"/>
      <c r="P1262" s="180"/>
      <c r="Q1262" s="174"/>
      <c r="R1262" s="206">
        <v>0</v>
      </c>
      <c r="S1262" s="168"/>
      <c r="T1262" s="129" t="s">
        <v>1457</v>
      </c>
      <c r="U1262" s="147" t="s">
        <v>37</v>
      </c>
      <c r="V1262" s="129" t="s">
        <v>29</v>
      </c>
      <c r="W1262" s="163" t="s">
        <v>2531</v>
      </c>
      <c r="X1262" s="215"/>
      <c r="Y1262" s="216">
        <v>0</v>
      </c>
      <c r="Z1262" s="216">
        <v>0</v>
      </c>
      <c r="AA1262" s="263"/>
      <c r="AB1262" s="155"/>
      <c r="XFC1262" s="242"/>
      <c r="XFD1262" s="242"/>
    </row>
    <row r="1263" spans="1:28 16381:16384" s="212" customFormat="1" hidden="1" x14ac:dyDescent="0.25">
      <c r="A1263" s="155">
        <v>1</v>
      </c>
      <c r="B1263" s="136">
        <v>1702019</v>
      </c>
      <c r="C1263" s="128" t="s">
        <v>956</v>
      </c>
      <c r="D1263" s="137" t="s">
        <v>1483</v>
      </c>
      <c r="E1263" s="147" t="s">
        <v>38</v>
      </c>
      <c r="F1263" s="129" t="s">
        <v>1457</v>
      </c>
      <c r="G1263" s="147" t="s">
        <v>1731</v>
      </c>
      <c r="H1263" s="191">
        <f t="shared" si="20"/>
        <v>0</v>
      </c>
      <c r="I1263" s="225"/>
      <c r="J1263" s="149"/>
      <c r="K1263" s="147">
        <v>11</v>
      </c>
      <c r="L1263" s="147">
        <v>1</v>
      </c>
      <c r="M1263" s="147">
        <v>12</v>
      </c>
      <c r="N1263" s="289"/>
      <c r="O1263" s="196"/>
      <c r="P1263" s="180"/>
      <c r="Q1263" s="174"/>
      <c r="R1263" s="206">
        <v>0</v>
      </c>
      <c r="S1263" s="168"/>
      <c r="T1263" s="129" t="s">
        <v>1457</v>
      </c>
      <c r="U1263" s="147" t="s">
        <v>37</v>
      </c>
      <c r="V1263" s="129" t="s">
        <v>29</v>
      </c>
      <c r="W1263" s="163" t="s">
        <v>2531</v>
      </c>
      <c r="X1263" s="215"/>
      <c r="Y1263" s="216">
        <v>0</v>
      </c>
      <c r="Z1263" s="216">
        <v>0</v>
      </c>
      <c r="AA1263" s="263"/>
      <c r="AB1263" s="155"/>
      <c r="XFC1263" s="242"/>
      <c r="XFD1263" s="242"/>
    </row>
    <row r="1264" spans="1:28 16381:16384" s="212" customFormat="1" hidden="1" x14ac:dyDescent="0.25">
      <c r="A1264" s="155">
        <v>1</v>
      </c>
      <c r="B1264" s="136">
        <v>1702020</v>
      </c>
      <c r="C1264" s="128" t="s">
        <v>956</v>
      </c>
      <c r="D1264" s="137" t="s">
        <v>1484</v>
      </c>
      <c r="E1264" s="147" t="s">
        <v>38</v>
      </c>
      <c r="F1264" s="129" t="s">
        <v>1457</v>
      </c>
      <c r="G1264" s="147" t="s">
        <v>1731</v>
      </c>
      <c r="H1264" s="191">
        <f t="shared" si="20"/>
        <v>0</v>
      </c>
      <c r="I1264" s="225"/>
      <c r="J1264" s="149"/>
      <c r="K1264" s="147">
        <v>11</v>
      </c>
      <c r="L1264" s="147">
        <v>1</v>
      </c>
      <c r="M1264" s="147">
        <v>12</v>
      </c>
      <c r="N1264" s="289"/>
      <c r="O1264" s="196"/>
      <c r="P1264" s="180"/>
      <c r="Q1264" s="174"/>
      <c r="R1264" s="206">
        <v>0</v>
      </c>
      <c r="S1264" s="168"/>
      <c r="T1264" s="129" t="s">
        <v>1457</v>
      </c>
      <c r="U1264" s="147" t="s">
        <v>37</v>
      </c>
      <c r="V1264" s="129"/>
      <c r="W1264" s="163" t="s">
        <v>2531</v>
      </c>
      <c r="X1264" s="215"/>
      <c r="Y1264" s="216">
        <v>0</v>
      </c>
      <c r="Z1264" s="216">
        <v>0</v>
      </c>
      <c r="AA1264" s="263"/>
      <c r="AB1264" s="155"/>
      <c r="XFC1264" s="242"/>
      <c r="XFD1264" s="242"/>
    </row>
    <row r="1265" spans="1:29 16382:16384" hidden="1" x14ac:dyDescent="0.25">
      <c r="A1265" s="155">
        <v>1</v>
      </c>
      <c r="B1265" s="136">
        <v>1702021</v>
      </c>
      <c r="C1265" s="128" t="s">
        <v>956</v>
      </c>
      <c r="D1265" s="137" t="s">
        <v>1485</v>
      </c>
      <c r="E1265" s="147" t="s">
        <v>38</v>
      </c>
      <c r="F1265" s="129" t="s">
        <v>1457</v>
      </c>
      <c r="G1265" s="147" t="s">
        <v>1731</v>
      </c>
      <c r="H1265" s="191">
        <f t="shared" si="20"/>
        <v>0</v>
      </c>
      <c r="I1265" s="225"/>
      <c r="J1265" s="149"/>
      <c r="K1265" s="147">
        <v>11</v>
      </c>
      <c r="L1265" s="147">
        <v>1</v>
      </c>
      <c r="M1265" s="147">
        <v>12</v>
      </c>
      <c r="N1265" s="289"/>
      <c r="O1265" s="196"/>
      <c r="P1265" s="180"/>
      <c r="Q1265" s="174"/>
      <c r="R1265" s="206">
        <v>0</v>
      </c>
      <c r="S1265" s="168"/>
      <c r="T1265" s="129" t="s">
        <v>1457</v>
      </c>
      <c r="U1265" s="147" t="s">
        <v>37</v>
      </c>
      <c r="V1265" s="129"/>
      <c r="W1265" s="163" t="s">
        <v>2531</v>
      </c>
      <c r="X1265" s="215"/>
      <c r="Y1265" s="216">
        <v>0</v>
      </c>
      <c r="Z1265" s="216">
        <v>0</v>
      </c>
      <c r="AA1265" s="263"/>
      <c r="AB1265" s="155"/>
      <c r="AC1265" s="212"/>
      <c r="XFC1265" s="242"/>
      <c r="XFD1265" s="242"/>
    </row>
    <row r="1266" spans="1:29 16382:16384" hidden="1" x14ac:dyDescent="0.25">
      <c r="A1266" s="155">
        <v>1</v>
      </c>
      <c r="B1266" s="136">
        <v>1702022</v>
      </c>
      <c r="C1266" s="128" t="s">
        <v>956</v>
      </c>
      <c r="D1266" s="137" t="s">
        <v>1486</v>
      </c>
      <c r="E1266" s="147" t="s">
        <v>38</v>
      </c>
      <c r="F1266" s="129" t="s">
        <v>1457</v>
      </c>
      <c r="G1266" s="147" t="s">
        <v>1731</v>
      </c>
      <c r="H1266" s="191">
        <f t="shared" si="20"/>
        <v>0</v>
      </c>
      <c r="I1266" s="225"/>
      <c r="J1266" s="149"/>
      <c r="K1266" s="147">
        <v>11</v>
      </c>
      <c r="L1266" s="147">
        <v>1</v>
      </c>
      <c r="M1266" s="147">
        <v>12</v>
      </c>
      <c r="N1266" s="289"/>
      <c r="O1266" s="196"/>
      <c r="P1266" s="180"/>
      <c r="Q1266" s="174"/>
      <c r="R1266" s="206">
        <v>0</v>
      </c>
      <c r="S1266" s="168"/>
      <c r="T1266" s="129" t="s">
        <v>1457</v>
      </c>
      <c r="U1266" s="147" t="s">
        <v>37</v>
      </c>
      <c r="V1266" s="129"/>
      <c r="W1266" s="163" t="s">
        <v>2531</v>
      </c>
      <c r="X1266" s="215"/>
      <c r="Y1266" s="216">
        <v>0</v>
      </c>
      <c r="Z1266" s="216">
        <v>0</v>
      </c>
      <c r="AA1266" s="263"/>
      <c r="AB1266" s="155"/>
      <c r="AC1266" s="212"/>
      <c r="XFC1266" s="242"/>
      <c r="XFD1266" s="242"/>
    </row>
    <row r="1267" spans="1:29 16382:16384" hidden="1" x14ac:dyDescent="0.25">
      <c r="A1267" s="155"/>
      <c r="B1267" s="129">
        <v>1702023</v>
      </c>
      <c r="C1267" s="129" t="s">
        <v>956</v>
      </c>
      <c r="D1267" s="129" t="s">
        <v>1706</v>
      </c>
      <c r="E1267" s="147" t="s">
        <v>38</v>
      </c>
      <c r="F1267" s="129" t="s">
        <v>1707</v>
      </c>
      <c r="G1267" s="147" t="s">
        <v>1731</v>
      </c>
      <c r="H1267" s="191">
        <f t="shared" si="20"/>
        <v>8.5000000000000006E-2</v>
      </c>
      <c r="I1267" s="134" t="s">
        <v>2084</v>
      </c>
      <c r="J1267" s="146">
        <v>30</v>
      </c>
      <c r="K1267" s="147">
        <v>2</v>
      </c>
      <c r="L1267" s="147">
        <v>2</v>
      </c>
      <c r="M1267" s="147">
        <v>4</v>
      </c>
      <c r="N1267" s="289">
        <v>50000</v>
      </c>
      <c r="O1267" s="187"/>
      <c r="P1267" s="180"/>
      <c r="Q1267" s="176">
        <v>3.5000000000000003E-2</v>
      </c>
      <c r="R1267" s="205">
        <v>0.05</v>
      </c>
      <c r="S1267" s="165"/>
      <c r="T1267" s="129" t="s">
        <v>1705</v>
      </c>
      <c r="U1267" s="147" t="s">
        <v>37</v>
      </c>
      <c r="V1267" s="129"/>
      <c r="W1267" s="163" t="s">
        <v>54</v>
      </c>
      <c r="X1267" s="215" t="s">
        <v>1009</v>
      </c>
      <c r="Y1267" s="216">
        <v>0</v>
      </c>
      <c r="Z1267" s="216">
        <v>0</v>
      </c>
      <c r="AA1267" s="263"/>
      <c r="AB1267" s="305"/>
      <c r="XFC1267" s="242"/>
    </row>
    <row r="1268" spans="1:29 16382:16384" ht="24" x14ac:dyDescent="0.25">
      <c r="A1268" s="155"/>
      <c r="B1268" s="129">
        <v>1702024</v>
      </c>
      <c r="C1268" s="127" t="s">
        <v>2022</v>
      </c>
      <c r="D1268" s="129" t="s">
        <v>1968</v>
      </c>
      <c r="E1268" s="147" t="s">
        <v>38</v>
      </c>
      <c r="F1268" s="129" t="s">
        <v>1711</v>
      </c>
      <c r="G1268" s="147" t="s">
        <v>1731</v>
      </c>
      <c r="H1268" s="191">
        <f t="shared" si="20"/>
        <v>3.5000000000000003E-2</v>
      </c>
      <c r="I1268" s="222" t="s">
        <v>2461</v>
      </c>
      <c r="J1268" s="146">
        <v>0</v>
      </c>
      <c r="K1268" s="147">
        <v>1</v>
      </c>
      <c r="L1268" s="147">
        <v>1</v>
      </c>
      <c r="M1268" s="147">
        <v>2</v>
      </c>
      <c r="N1268" s="289">
        <v>0</v>
      </c>
      <c r="O1268" s="198"/>
      <c r="P1268" s="180"/>
      <c r="Q1268" s="176">
        <v>3.5000000000000003E-2</v>
      </c>
      <c r="R1268" s="205">
        <v>0</v>
      </c>
      <c r="S1268" s="165"/>
      <c r="T1268" s="129" t="s">
        <v>1711</v>
      </c>
      <c r="U1268" s="147" t="s">
        <v>37</v>
      </c>
      <c r="V1268" s="129"/>
      <c r="W1268" s="147" t="s">
        <v>2459</v>
      </c>
      <c r="X1268" s="215" t="s">
        <v>1967</v>
      </c>
      <c r="Y1268" s="216">
        <v>0</v>
      </c>
      <c r="Z1268" s="216">
        <v>0</v>
      </c>
      <c r="AA1268" s="263"/>
      <c r="AB1268" s="155"/>
      <c r="AC1268" s="212"/>
      <c r="XFC1268" s="242"/>
    </row>
    <row r="1269" spans="1:29 16382:16384" hidden="1" x14ac:dyDescent="0.25">
      <c r="A1269" s="155"/>
      <c r="B1269" s="136">
        <v>1702025</v>
      </c>
      <c r="C1269" s="129" t="s">
        <v>956</v>
      </c>
      <c r="D1269" s="127" t="s">
        <v>2305</v>
      </c>
      <c r="E1269" s="147" t="s">
        <v>38</v>
      </c>
      <c r="F1269" s="129" t="s">
        <v>2304</v>
      </c>
      <c r="G1269" s="147" t="s">
        <v>1731</v>
      </c>
      <c r="H1269" s="191">
        <f t="shared" si="20"/>
        <v>0.34916666666666668</v>
      </c>
      <c r="I1269" s="134" t="s">
        <v>2084</v>
      </c>
      <c r="J1269" s="146">
        <v>30</v>
      </c>
      <c r="K1269" s="147">
        <v>10</v>
      </c>
      <c r="L1269" s="147">
        <v>1</v>
      </c>
      <c r="M1269" s="147">
        <v>11</v>
      </c>
      <c r="N1269" s="289">
        <v>6000</v>
      </c>
      <c r="O1269" s="195"/>
      <c r="P1269" s="180">
        <v>45911</v>
      </c>
      <c r="Q1269" s="174">
        <v>0.33</v>
      </c>
      <c r="R1269" s="205">
        <f>115/6000</f>
        <v>1.9166666666666665E-2</v>
      </c>
      <c r="S1269" s="147"/>
      <c r="T1269" s="129" t="s">
        <v>2211</v>
      </c>
      <c r="U1269" s="147" t="s">
        <v>37</v>
      </c>
      <c r="V1269" s="129"/>
      <c r="W1269" s="147" t="s">
        <v>2214</v>
      </c>
      <c r="X1269" s="215"/>
      <c r="Y1269" s="216"/>
      <c r="Z1269" s="216"/>
      <c r="AA1269" s="263"/>
      <c r="AB1269" s="155"/>
      <c r="AC1269" s="212"/>
    </row>
    <row r="1270" spans="1:29 16382:16384" x14ac:dyDescent="0.25">
      <c r="A1270" s="155"/>
      <c r="B1270" s="136">
        <v>1702026</v>
      </c>
      <c r="C1270" s="128" t="s">
        <v>657</v>
      </c>
      <c r="D1270" s="127" t="s">
        <v>2312</v>
      </c>
      <c r="E1270" s="147" t="s">
        <v>38</v>
      </c>
      <c r="F1270" s="129" t="s">
        <v>2313</v>
      </c>
      <c r="G1270" s="147" t="s">
        <v>87</v>
      </c>
      <c r="H1270" s="191">
        <f t="shared" si="20"/>
        <v>65.05</v>
      </c>
      <c r="I1270" s="222" t="s">
        <v>2084</v>
      </c>
      <c r="J1270" s="146">
        <v>0</v>
      </c>
      <c r="K1270" s="147">
        <v>1</v>
      </c>
      <c r="L1270" s="147">
        <v>9</v>
      </c>
      <c r="M1270" s="147">
        <v>10</v>
      </c>
      <c r="N1270" s="289">
        <v>1</v>
      </c>
      <c r="O1270" s="195"/>
      <c r="P1270" s="180">
        <v>45925</v>
      </c>
      <c r="Q1270" s="174">
        <v>22.5</v>
      </c>
      <c r="R1270" s="205">
        <f>42.5+0.05</f>
        <v>42.55</v>
      </c>
      <c r="S1270" s="147"/>
      <c r="T1270" s="129" t="s">
        <v>2091</v>
      </c>
      <c r="U1270" s="147" t="s">
        <v>37</v>
      </c>
      <c r="V1270" s="129"/>
      <c r="W1270" s="147" t="s">
        <v>2215</v>
      </c>
      <c r="X1270" s="215" t="s">
        <v>1856</v>
      </c>
      <c r="Y1270" s="216"/>
      <c r="Z1270" s="216"/>
      <c r="AA1270" s="263"/>
      <c r="AB1270" s="305"/>
      <c r="AC1270" s="212"/>
      <c r="XFC1270" s="242"/>
    </row>
    <row r="1271" spans="1:29 16382:16384" ht="24" x14ac:dyDescent="0.25">
      <c r="A1271" s="155"/>
      <c r="B1271" s="158">
        <v>1702027</v>
      </c>
      <c r="C1271" s="129" t="s">
        <v>956</v>
      </c>
      <c r="D1271" s="127" t="s">
        <v>2408</v>
      </c>
      <c r="E1271" s="147" t="s">
        <v>38</v>
      </c>
      <c r="F1271" s="129" t="s">
        <v>1943</v>
      </c>
      <c r="G1271" s="147" t="s">
        <v>1731</v>
      </c>
      <c r="H1271" s="191">
        <f t="shared" si="20"/>
        <v>0</v>
      </c>
      <c r="I1271" s="222" t="s">
        <v>2461</v>
      </c>
      <c r="J1271" s="146"/>
      <c r="K1271" s="147">
        <v>1</v>
      </c>
      <c r="L1271" s="147">
        <v>1</v>
      </c>
      <c r="M1271" s="147">
        <v>2</v>
      </c>
      <c r="N1271" s="289"/>
      <c r="O1271" s="195"/>
      <c r="P1271" s="180"/>
      <c r="Q1271" s="174"/>
      <c r="R1271" s="205"/>
      <c r="S1271" s="147"/>
      <c r="T1271" s="129" t="s">
        <v>242</v>
      </c>
      <c r="U1271" s="147" t="s">
        <v>35</v>
      </c>
      <c r="V1271" s="129"/>
      <c r="W1271" s="147" t="s">
        <v>2459</v>
      </c>
      <c r="X1271" s="215"/>
      <c r="Y1271" s="216"/>
      <c r="Z1271" s="216"/>
      <c r="AA1271" s="263"/>
      <c r="AB1271" s="155"/>
      <c r="AC1271" s="212"/>
      <c r="XFC1271" s="242"/>
    </row>
    <row r="1272" spans="1:29 16382:16384" ht="24" hidden="1" x14ac:dyDescent="0.25">
      <c r="A1272" s="155"/>
      <c r="B1272" s="136">
        <v>1702028</v>
      </c>
      <c r="C1272" s="127" t="s">
        <v>2022</v>
      </c>
      <c r="D1272" s="127" t="s">
        <v>2484</v>
      </c>
      <c r="E1272" s="147" t="s">
        <v>38</v>
      </c>
      <c r="F1272" s="129" t="s">
        <v>2453</v>
      </c>
      <c r="G1272" s="147" t="s">
        <v>1731</v>
      </c>
      <c r="H1272" s="191">
        <f t="shared" si="20"/>
        <v>0</v>
      </c>
      <c r="I1272" s="222" t="s">
        <v>2461</v>
      </c>
      <c r="J1272" s="146">
        <v>0</v>
      </c>
      <c r="K1272" s="147">
        <v>3</v>
      </c>
      <c r="L1272" s="147">
        <v>1</v>
      </c>
      <c r="M1272" s="147">
        <v>4</v>
      </c>
      <c r="N1272" s="289"/>
      <c r="O1272" s="195"/>
      <c r="P1272" s="180"/>
      <c r="Q1272" s="174"/>
      <c r="R1272" s="205"/>
      <c r="S1272" s="147"/>
      <c r="T1272" s="129" t="s">
        <v>2339</v>
      </c>
      <c r="U1272" s="147" t="s">
        <v>37</v>
      </c>
      <c r="V1272" s="129"/>
      <c r="W1272" s="147" t="s">
        <v>2464</v>
      </c>
      <c r="X1272" s="215"/>
      <c r="Y1272" s="216"/>
      <c r="Z1272" s="216"/>
      <c r="AA1272" s="263"/>
      <c r="AB1272" s="155"/>
      <c r="AC1272" s="212"/>
      <c r="XFD1272" s="242"/>
    </row>
    <row r="1273" spans="1:29 16382:16384" hidden="1" x14ac:dyDescent="0.25">
      <c r="A1273" s="155">
        <v>1</v>
      </c>
      <c r="B1273" s="136">
        <v>1703001</v>
      </c>
      <c r="C1273" s="155"/>
      <c r="D1273" s="129" t="s">
        <v>1487</v>
      </c>
      <c r="E1273" s="147" t="s">
        <v>38</v>
      </c>
      <c r="F1273" s="129" t="s">
        <v>1457</v>
      </c>
      <c r="G1273" s="147" t="s">
        <v>1731</v>
      </c>
      <c r="H1273" s="191">
        <f t="shared" ref="H1273:H1281" si="21">Q1273+R1273</f>
        <v>0</v>
      </c>
      <c r="I1273" s="225"/>
      <c r="J1273" s="146">
        <v>0</v>
      </c>
      <c r="K1273" s="147">
        <v>11</v>
      </c>
      <c r="L1273" s="147">
        <v>1</v>
      </c>
      <c r="M1273" s="147">
        <v>12</v>
      </c>
      <c r="N1273" s="289"/>
      <c r="O1273" s="196"/>
      <c r="P1273" s="180"/>
      <c r="Q1273" s="174"/>
      <c r="R1273" s="206">
        <v>0</v>
      </c>
      <c r="S1273" s="168"/>
      <c r="T1273" s="129" t="s">
        <v>1457</v>
      </c>
      <c r="U1273" s="147" t="s">
        <v>37</v>
      </c>
      <c r="V1273" s="129"/>
      <c r="W1273" s="163" t="s">
        <v>2531</v>
      </c>
      <c r="X1273" s="215"/>
      <c r="Y1273" s="216">
        <v>0</v>
      </c>
      <c r="Z1273" s="216">
        <v>0</v>
      </c>
      <c r="AA1273" s="263"/>
      <c r="AB1273" s="155"/>
      <c r="AC1273" s="212"/>
      <c r="XFD1273" s="242"/>
    </row>
    <row r="1274" spans="1:29 16382:16384" hidden="1" x14ac:dyDescent="0.25">
      <c r="A1274" s="155">
        <v>1</v>
      </c>
      <c r="B1274" s="143">
        <v>1703004</v>
      </c>
      <c r="C1274" s="127" t="s">
        <v>2022</v>
      </c>
      <c r="D1274" s="137" t="s">
        <v>1488</v>
      </c>
      <c r="E1274" s="147" t="s">
        <v>38</v>
      </c>
      <c r="F1274" s="129" t="s">
        <v>1457</v>
      </c>
      <c r="G1274" s="147" t="s">
        <v>1731</v>
      </c>
      <c r="H1274" s="191">
        <f t="shared" si="21"/>
        <v>0</v>
      </c>
      <c r="I1274" s="225"/>
      <c r="J1274" s="146">
        <v>0</v>
      </c>
      <c r="K1274" s="147">
        <v>11</v>
      </c>
      <c r="L1274" s="147">
        <v>1</v>
      </c>
      <c r="M1274" s="147">
        <v>12</v>
      </c>
      <c r="N1274" s="289"/>
      <c r="O1274" s="196"/>
      <c r="P1274" s="180"/>
      <c r="Q1274" s="174"/>
      <c r="R1274" s="206">
        <v>0</v>
      </c>
      <c r="S1274" s="168"/>
      <c r="T1274" s="129" t="s">
        <v>1457</v>
      </c>
      <c r="U1274" s="147" t="s">
        <v>37</v>
      </c>
      <c r="V1274" s="129"/>
      <c r="W1274" s="163" t="s">
        <v>2531</v>
      </c>
      <c r="X1274" s="215"/>
      <c r="Y1274" s="216">
        <v>0</v>
      </c>
      <c r="Z1274" s="216">
        <v>0</v>
      </c>
      <c r="AA1274" s="263"/>
      <c r="AB1274" s="155"/>
      <c r="AC1274" s="212"/>
      <c r="XFD1274" s="242"/>
    </row>
    <row r="1275" spans="1:29 16382:16384" x14ac:dyDescent="0.25">
      <c r="A1275" s="155">
        <v>1</v>
      </c>
      <c r="B1275" s="129">
        <v>3104020</v>
      </c>
      <c r="C1275" s="128" t="s">
        <v>934</v>
      </c>
      <c r="D1275" s="127" t="s">
        <v>1027</v>
      </c>
      <c r="E1275" s="147" t="s">
        <v>38</v>
      </c>
      <c r="F1275" s="129" t="s">
        <v>1796</v>
      </c>
      <c r="G1275" s="147" t="s">
        <v>1731</v>
      </c>
      <c r="H1275" s="191">
        <f t="shared" si="21"/>
        <v>0.39999999999999997</v>
      </c>
      <c r="I1275" s="222" t="s">
        <v>2084</v>
      </c>
      <c r="J1275" s="148">
        <v>30</v>
      </c>
      <c r="K1275" s="147">
        <v>2</v>
      </c>
      <c r="L1275" s="147">
        <v>2</v>
      </c>
      <c r="M1275" s="147">
        <v>4</v>
      </c>
      <c r="N1275" s="289"/>
      <c r="O1275" s="195">
        <v>0.33</v>
      </c>
      <c r="P1275" s="180">
        <v>45359</v>
      </c>
      <c r="Q1275" s="174">
        <v>0.35</v>
      </c>
      <c r="R1275" s="205">
        <v>0.05</v>
      </c>
      <c r="S1275" s="168"/>
      <c r="T1275" s="129" t="s">
        <v>55</v>
      </c>
      <c r="U1275" s="147" t="s">
        <v>37</v>
      </c>
      <c r="V1275" s="129"/>
      <c r="W1275" s="147" t="s">
        <v>2213</v>
      </c>
      <c r="X1275" s="215" t="s">
        <v>1911</v>
      </c>
      <c r="Y1275" s="216">
        <v>0</v>
      </c>
      <c r="Z1275" s="216">
        <v>0</v>
      </c>
      <c r="AA1275" s="263"/>
      <c r="AB1275" s="305"/>
      <c r="XFD1275" s="242"/>
    </row>
    <row r="1276" spans="1:29 16382:16384" x14ac:dyDescent="0.25">
      <c r="A1276" s="155">
        <v>1</v>
      </c>
      <c r="B1276" s="129">
        <v>3104021</v>
      </c>
      <c r="C1276" s="128" t="s">
        <v>934</v>
      </c>
      <c r="D1276" s="127" t="s">
        <v>1029</v>
      </c>
      <c r="E1276" s="147" t="s">
        <v>38</v>
      </c>
      <c r="F1276" s="129" t="s">
        <v>1796</v>
      </c>
      <c r="G1276" s="147" t="s">
        <v>1731</v>
      </c>
      <c r="H1276" s="191">
        <f t="shared" si="21"/>
        <v>0.39999999999999997</v>
      </c>
      <c r="I1276" s="222" t="s">
        <v>2084</v>
      </c>
      <c r="J1276" s="148">
        <v>30</v>
      </c>
      <c r="K1276" s="147">
        <v>2</v>
      </c>
      <c r="L1276" s="147">
        <v>2</v>
      </c>
      <c r="M1276" s="147">
        <v>4</v>
      </c>
      <c r="N1276" s="289"/>
      <c r="O1276" s="195">
        <v>0.33</v>
      </c>
      <c r="P1276" s="180">
        <v>45359</v>
      </c>
      <c r="Q1276" s="174">
        <v>0.35</v>
      </c>
      <c r="R1276" s="205">
        <v>0.05</v>
      </c>
      <c r="S1276" s="168"/>
      <c r="T1276" s="129" t="s">
        <v>55</v>
      </c>
      <c r="U1276" s="147" t="s">
        <v>37</v>
      </c>
      <c r="V1276" s="129"/>
      <c r="W1276" s="147" t="s">
        <v>2213</v>
      </c>
      <c r="X1276" s="215" t="s">
        <v>1911</v>
      </c>
      <c r="Y1276" s="216">
        <v>0</v>
      </c>
      <c r="Z1276" s="216">
        <v>0</v>
      </c>
      <c r="AA1276" s="263"/>
      <c r="AB1276" s="231"/>
      <c r="XFB1276" s="242"/>
      <c r="XFD1276" s="242"/>
    </row>
    <row r="1277" spans="1:29 16382:16384" x14ac:dyDescent="0.25">
      <c r="A1277" s="155">
        <v>1</v>
      </c>
      <c r="B1277" s="129">
        <v>3104023</v>
      </c>
      <c r="C1277" s="128" t="s">
        <v>934</v>
      </c>
      <c r="D1277" s="127" t="s">
        <v>1031</v>
      </c>
      <c r="E1277" s="147" t="s">
        <v>38</v>
      </c>
      <c r="F1277" s="129" t="s">
        <v>1796</v>
      </c>
      <c r="G1277" s="147" t="s">
        <v>1731</v>
      </c>
      <c r="H1277" s="191">
        <f t="shared" si="21"/>
        <v>0.39999999999999997</v>
      </c>
      <c r="I1277" s="222" t="s">
        <v>2084</v>
      </c>
      <c r="J1277" s="148">
        <v>30</v>
      </c>
      <c r="K1277" s="147">
        <v>2</v>
      </c>
      <c r="L1277" s="147">
        <v>2</v>
      </c>
      <c r="M1277" s="147">
        <v>4</v>
      </c>
      <c r="N1277" s="289"/>
      <c r="O1277" s="195">
        <v>0.33</v>
      </c>
      <c r="P1277" s="180">
        <v>45359</v>
      </c>
      <c r="Q1277" s="174">
        <v>0.35</v>
      </c>
      <c r="R1277" s="205">
        <v>0.05</v>
      </c>
      <c r="S1277" s="168"/>
      <c r="T1277" s="129" t="s">
        <v>55</v>
      </c>
      <c r="U1277" s="147" t="s">
        <v>37</v>
      </c>
      <c r="V1277" s="129"/>
      <c r="W1277" s="147" t="s">
        <v>2213</v>
      </c>
      <c r="X1277" s="215" t="s">
        <v>1911</v>
      </c>
      <c r="Y1277" s="216">
        <v>0</v>
      </c>
      <c r="Z1277" s="216">
        <v>0</v>
      </c>
      <c r="AA1277" s="263"/>
      <c r="AB1277" s="305"/>
      <c r="XFD1277" s="242"/>
    </row>
    <row r="1278" spans="1:29 16382:16384" ht="24" x14ac:dyDescent="0.25">
      <c r="A1278" s="155"/>
      <c r="B1278" s="136" t="s">
        <v>1719</v>
      </c>
      <c r="C1278" s="128" t="s">
        <v>934</v>
      </c>
      <c r="D1278" s="127" t="s">
        <v>2317</v>
      </c>
      <c r="E1278" s="147" t="s">
        <v>38</v>
      </c>
      <c r="F1278" s="129" t="s">
        <v>1943</v>
      </c>
      <c r="G1278" s="147" t="s">
        <v>1731</v>
      </c>
      <c r="H1278" s="191">
        <f t="shared" si="21"/>
        <v>0</v>
      </c>
      <c r="I1278" s="222" t="s">
        <v>2461</v>
      </c>
      <c r="J1278" s="146">
        <v>30</v>
      </c>
      <c r="K1278" s="147">
        <v>21</v>
      </c>
      <c r="L1278" s="147">
        <v>1</v>
      </c>
      <c r="M1278" s="147">
        <v>22</v>
      </c>
      <c r="N1278" s="289"/>
      <c r="O1278" s="195"/>
      <c r="P1278" s="180"/>
      <c r="Q1278" s="174"/>
      <c r="R1278" s="205">
        <v>0</v>
      </c>
      <c r="S1278" s="147"/>
      <c r="T1278" s="129" t="s">
        <v>242</v>
      </c>
      <c r="U1278" s="147" t="s">
        <v>35</v>
      </c>
      <c r="V1278" s="129"/>
      <c r="W1278" s="147" t="s">
        <v>2459</v>
      </c>
      <c r="X1278" s="215" t="s">
        <v>1906</v>
      </c>
      <c r="Y1278" s="216">
        <v>0</v>
      </c>
      <c r="Z1278" s="216">
        <v>0</v>
      </c>
      <c r="AA1278" s="265" t="s">
        <v>2134</v>
      </c>
      <c r="AB1278" s="155"/>
      <c r="AC1278" s="212"/>
      <c r="XFD1278" s="242"/>
    </row>
    <row r="1279" spans="1:29 16382:16384" ht="24" x14ac:dyDescent="0.25">
      <c r="A1279" s="155"/>
      <c r="B1279" s="136" t="s">
        <v>1720</v>
      </c>
      <c r="C1279" s="128" t="s">
        <v>934</v>
      </c>
      <c r="D1279" s="127" t="s">
        <v>2317</v>
      </c>
      <c r="E1279" s="147" t="s">
        <v>38</v>
      </c>
      <c r="F1279" s="129" t="s">
        <v>1943</v>
      </c>
      <c r="G1279" s="147" t="s">
        <v>1731</v>
      </c>
      <c r="H1279" s="191">
        <f t="shared" si="21"/>
        <v>0</v>
      </c>
      <c r="I1279" s="222" t="s">
        <v>2461</v>
      </c>
      <c r="J1279" s="146">
        <v>30</v>
      </c>
      <c r="K1279" s="147">
        <v>21</v>
      </c>
      <c r="L1279" s="147">
        <v>1</v>
      </c>
      <c r="M1279" s="147">
        <v>22</v>
      </c>
      <c r="N1279" s="289"/>
      <c r="O1279" s="195"/>
      <c r="P1279" s="180"/>
      <c r="Q1279" s="174"/>
      <c r="R1279" s="205">
        <v>0</v>
      </c>
      <c r="S1279" s="147"/>
      <c r="T1279" s="129" t="s">
        <v>242</v>
      </c>
      <c r="U1279" s="147" t="s">
        <v>35</v>
      </c>
      <c r="V1279" s="129"/>
      <c r="W1279" s="147" t="s">
        <v>2459</v>
      </c>
      <c r="X1279" s="215" t="s">
        <v>1906</v>
      </c>
      <c r="Y1279" s="216">
        <v>0</v>
      </c>
      <c r="Z1279" s="216">
        <v>0</v>
      </c>
      <c r="AA1279" s="265" t="s">
        <v>2134</v>
      </c>
      <c r="AB1279" s="182"/>
      <c r="AC1279" s="212"/>
      <c r="XFD1279" s="242"/>
    </row>
    <row r="1280" spans="1:29 16382:16384" ht="24" x14ac:dyDescent="0.25">
      <c r="A1280" s="155"/>
      <c r="B1280" s="136" t="s">
        <v>1721</v>
      </c>
      <c r="C1280" s="128" t="s">
        <v>934</v>
      </c>
      <c r="D1280" s="127" t="s">
        <v>2317</v>
      </c>
      <c r="E1280" s="147" t="s">
        <v>38</v>
      </c>
      <c r="F1280" s="129" t="s">
        <v>1943</v>
      </c>
      <c r="G1280" s="147" t="s">
        <v>1731</v>
      </c>
      <c r="H1280" s="191">
        <f t="shared" si="21"/>
        <v>0</v>
      </c>
      <c r="I1280" s="222" t="s">
        <v>2461</v>
      </c>
      <c r="J1280" s="146">
        <v>30</v>
      </c>
      <c r="K1280" s="147">
        <v>21</v>
      </c>
      <c r="L1280" s="147">
        <v>1</v>
      </c>
      <c r="M1280" s="147">
        <v>22</v>
      </c>
      <c r="N1280" s="289"/>
      <c r="O1280" s="195"/>
      <c r="P1280" s="180"/>
      <c r="Q1280" s="174"/>
      <c r="R1280" s="205">
        <v>0</v>
      </c>
      <c r="S1280" s="147"/>
      <c r="T1280" s="129" t="s">
        <v>242</v>
      </c>
      <c r="U1280" s="147" t="s">
        <v>35</v>
      </c>
      <c r="V1280" s="129"/>
      <c r="W1280" s="147" t="s">
        <v>2459</v>
      </c>
      <c r="X1280" s="215" t="s">
        <v>1906</v>
      </c>
      <c r="Y1280" s="216">
        <v>0</v>
      </c>
      <c r="Z1280" s="216">
        <v>0</v>
      </c>
      <c r="AA1280" s="265" t="s">
        <v>2134</v>
      </c>
      <c r="AB1280" s="182"/>
      <c r="AC1280" s="212"/>
      <c r="XFD1280" s="242"/>
    </row>
    <row r="1281" spans="1:28 16384:16384" s="212" customFormat="1" ht="24" x14ac:dyDescent="0.25">
      <c r="A1281" s="155"/>
      <c r="B1281" s="136" t="s">
        <v>1722</v>
      </c>
      <c r="C1281" s="128" t="s">
        <v>934</v>
      </c>
      <c r="D1281" s="127" t="s">
        <v>2317</v>
      </c>
      <c r="E1281" s="147" t="s">
        <v>38</v>
      </c>
      <c r="F1281" s="129" t="s">
        <v>1943</v>
      </c>
      <c r="G1281" s="147" t="s">
        <v>1731</v>
      </c>
      <c r="H1281" s="191">
        <f t="shared" si="21"/>
        <v>0</v>
      </c>
      <c r="I1281" s="222" t="s">
        <v>2461</v>
      </c>
      <c r="J1281" s="146">
        <v>30</v>
      </c>
      <c r="K1281" s="147">
        <v>21</v>
      </c>
      <c r="L1281" s="147">
        <v>1</v>
      </c>
      <c r="M1281" s="147">
        <v>22</v>
      </c>
      <c r="N1281" s="289"/>
      <c r="O1281" s="195"/>
      <c r="P1281" s="180"/>
      <c r="Q1281" s="174"/>
      <c r="R1281" s="205">
        <v>0</v>
      </c>
      <c r="S1281" s="147"/>
      <c r="T1281" s="129" t="s">
        <v>242</v>
      </c>
      <c r="U1281" s="147" t="s">
        <v>35</v>
      </c>
      <c r="V1281" s="129"/>
      <c r="W1281" s="147" t="s">
        <v>2459</v>
      </c>
      <c r="X1281" s="215" t="s">
        <v>1906</v>
      </c>
      <c r="Y1281" s="216">
        <v>0</v>
      </c>
      <c r="Z1281" s="216">
        <v>0</v>
      </c>
      <c r="AA1281" s="265" t="s">
        <v>2134</v>
      </c>
      <c r="AB1281" s="155"/>
      <c r="XFD1281" s="242"/>
    </row>
    <row r="1282" spans="1:28 16384:16384" x14ac:dyDescent="0.25">
      <c r="P1282" s="351"/>
      <c r="S1282" s="354"/>
      <c r="T1282" s="355"/>
    </row>
    <row r="1283" spans="1:28 16384:16384" x14ac:dyDescent="0.25">
      <c r="S1283" s="351"/>
      <c r="T1283" s="356"/>
    </row>
    <row r="1284" spans="1:28 16384:16384" x14ac:dyDescent="0.25">
      <c r="S1284" s="351"/>
      <c r="T1284" s="356"/>
    </row>
    <row r="1286" spans="1:28 16384:16384" x14ac:dyDescent="0.25">
      <c r="T1286" s="355"/>
    </row>
    <row r="1288" spans="1:28 16384:16384" x14ac:dyDescent="0.25">
      <c r="Q1288" s="357"/>
    </row>
  </sheetData>
  <sheetProtection insertColumns="0" insertRows="0" deleteColumns="0" deleteRows="0" selectLockedCells="1" selectUnlockedCells="1"/>
  <autoFilter ref="A2:XFD1281" xr:uid="{00000000-0001-0000-0200-000000000000}">
    <filterColumn colId="22">
      <filters>
        <filter val="Active"/>
        <filter val="Active / Consigned"/>
        <filter val="New Project"/>
        <filter val="New Project / Consigned"/>
      </filters>
    </filterColumn>
    <sortState xmlns:xlrd2="http://schemas.microsoft.com/office/spreadsheetml/2017/richdata2" ref="A3:XFD1281">
      <sortCondition ref="B2"/>
    </sortState>
  </autoFilter>
  <customSheetViews>
    <customSheetView guid="{A3C3765C-EA73-48D0-8F3F-74E623E74581}" scale="115" showGridLines="0" showAutoFilter="1" hiddenColumns="1" topLeftCell="B1">
      <pane xSplit="2" ySplit="2" topLeftCell="D938" activePane="bottomRight" state="frozen"/>
      <selection pane="bottomRight" activeCell="B950" sqref="B950"/>
      <pageMargins left="0.7" right="0.7" top="0.75" bottom="0.75" header="0" footer="0"/>
      <pageSetup orientation="portrait" r:id="rId1"/>
      <headerFooter>
        <oddFooter>&amp;LFS1-010-049&amp;CPag. 1 of 1&amp;RRev. 03 22-NOV-2016.</oddFooter>
      </headerFooter>
      <autoFilter ref="A2:DJ949" xr:uid="{42EE7B1C-A4F1-40E1-B3FF-318F6561B676}"/>
    </customSheetView>
  </customSheetViews>
  <mergeCells count="2">
    <mergeCell ref="K1:M1"/>
    <mergeCell ref="Y1:Z1"/>
  </mergeCells>
  <conditionalFormatting sqref="A990 XFD990">
    <cfRule type="duplicateValues" dxfId="111" priority="62"/>
    <cfRule type="cellIs" dxfId="110" priority="65" operator="equal">
      <formula>1402023</formula>
    </cfRule>
    <cfRule type="duplicateValues" dxfId="109" priority="64"/>
    <cfRule type="duplicateValues" dxfId="108" priority="63"/>
    <cfRule type="duplicateValues" dxfId="107" priority="60"/>
    <cfRule type="duplicateValues" dxfId="106" priority="61"/>
  </conditionalFormatting>
  <conditionalFormatting sqref="A992 XFC1249:XFC1268 XFC1270:XFC1271">
    <cfRule type="cellIs" dxfId="105" priority="122" operator="equal">
      <formula>1402023</formula>
    </cfRule>
  </conditionalFormatting>
  <conditionalFormatting sqref="A1166:A1198 XFD1166:XFD1198">
    <cfRule type="cellIs" dxfId="104" priority="143" operator="equal">
      <formula>1402023</formula>
    </cfRule>
    <cfRule type="duplicateValues" dxfId="103" priority="144"/>
    <cfRule type="duplicateValues" dxfId="102" priority="146"/>
    <cfRule type="duplicateValues" dxfId="101" priority="145"/>
  </conditionalFormatting>
  <conditionalFormatting sqref="A1208:A1213 XFD1208:XFD1213">
    <cfRule type="duplicateValues" dxfId="100" priority="99"/>
    <cfRule type="duplicateValues" dxfId="99" priority="102"/>
    <cfRule type="duplicateValues" dxfId="98" priority="101"/>
    <cfRule type="duplicateValues" dxfId="97" priority="100"/>
    <cfRule type="cellIs" dxfId="96" priority="103" operator="equal">
      <formula>1402023</formula>
    </cfRule>
  </conditionalFormatting>
  <conditionalFormatting sqref="A1214:A1235 XFD1214:XFD1235">
    <cfRule type="duplicateValues" dxfId="95" priority="88"/>
  </conditionalFormatting>
  <conditionalFormatting sqref="A1239 XFD1239">
    <cfRule type="duplicateValues" dxfId="94" priority="75"/>
    <cfRule type="duplicateValues" dxfId="93" priority="74"/>
    <cfRule type="duplicateValues" dxfId="92" priority="73"/>
    <cfRule type="duplicateValues" dxfId="91" priority="72"/>
    <cfRule type="duplicateValues" dxfId="90" priority="76"/>
  </conditionalFormatting>
  <conditionalFormatting sqref="A1239:A1248 XFD1241:XFD1248">
    <cfRule type="cellIs" dxfId="89" priority="35" operator="equal">
      <formula>1402023</formula>
    </cfRule>
  </conditionalFormatting>
  <conditionalFormatting sqref="A1240 XFC1240">
    <cfRule type="duplicateValues" dxfId="88" priority="70"/>
    <cfRule type="duplicateValues" dxfId="87" priority="66"/>
    <cfRule type="duplicateValues" dxfId="86" priority="67"/>
    <cfRule type="duplicateValues" dxfId="85" priority="68"/>
    <cfRule type="duplicateValues" dxfId="84" priority="69"/>
  </conditionalFormatting>
  <conditionalFormatting sqref="A1241:A1244 XFD1241:XFD1244">
    <cfRule type="duplicateValues" dxfId="83" priority="43"/>
    <cfRule type="duplicateValues" dxfId="82" priority="44"/>
    <cfRule type="duplicateValues" dxfId="81" priority="45"/>
    <cfRule type="duplicateValues" dxfId="80" priority="46"/>
    <cfRule type="duplicateValues" dxfId="79" priority="42"/>
  </conditionalFormatting>
  <conditionalFormatting sqref="A1245 XFD1245">
    <cfRule type="duplicateValues" dxfId="78" priority="30"/>
    <cfRule type="duplicateValues" dxfId="77" priority="32"/>
    <cfRule type="duplicateValues" dxfId="76" priority="33"/>
    <cfRule type="duplicateValues" dxfId="75" priority="34"/>
    <cfRule type="duplicateValues" dxfId="74" priority="31"/>
  </conditionalFormatting>
  <conditionalFormatting sqref="A1246:A1248 XFD1246:XFD1248">
    <cfRule type="duplicateValues" dxfId="73" priority="58"/>
    <cfRule type="duplicateValues" dxfId="72" priority="56"/>
    <cfRule type="duplicateValues" dxfId="71" priority="57"/>
    <cfRule type="duplicateValues" dxfId="70" priority="55"/>
    <cfRule type="duplicateValues" dxfId="69" priority="54"/>
  </conditionalFormatting>
  <conditionalFormatting sqref="A1261:A1271 XFD1261:XFD1266">
    <cfRule type="duplicateValues" dxfId="68" priority="166"/>
  </conditionalFormatting>
  <conditionalFormatting sqref="A1272:A1275 XFD1272:XFD1275">
    <cfRule type="duplicateValues" dxfId="67" priority="11"/>
  </conditionalFormatting>
  <conditionalFormatting sqref="A1276 XFD1276">
    <cfRule type="duplicateValues" dxfId="66" priority="6"/>
  </conditionalFormatting>
  <conditionalFormatting sqref="A1277 XFD1277">
    <cfRule type="duplicateValues" dxfId="65" priority="5"/>
  </conditionalFormatting>
  <conditionalFormatting sqref="A1278 XFD1278">
    <cfRule type="duplicateValues" dxfId="64" priority="4"/>
  </conditionalFormatting>
  <conditionalFormatting sqref="A1279 XFD1279">
    <cfRule type="duplicateValues" dxfId="63" priority="3"/>
  </conditionalFormatting>
  <conditionalFormatting sqref="A1280 XFD1280">
    <cfRule type="duplicateValues" dxfId="62" priority="2"/>
  </conditionalFormatting>
  <conditionalFormatting sqref="A1281 XFD1281">
    <cfRule type="duplicateValues" dxfId="61" priority="1"/>
  </conditionalFormatting>
  <conditionalFormatting sqref="B1277:B1278 B1280:B1048576 B1:B1273">
    <cfRule type="duplicateValues" dxfId="60" priority="17"/>
  </conditionalFormatting>
  <conditionalFormatting sqref="D320:D335">
    <cfRule type="duplicateValues" dxfId="59" priority="120"/>
  </conditionalFormatting>
  <conditionalFormatting sqref="D1049">
    <cfRule type="duplicateValues" dxfId="58" priority="119"/>
  </conditionalFormatting>
  <conditionalFormatting sqref="XEZ1236:XEZ1238">
    <cfRule type="duplicateValues" dxfId="57" priority="86"/>
    <cfRule type="duplicateValues" dxfId="56" priority="85"/>
    <cfRule type="cellIs" dxfId="55" priority="84" operator="equal">
      <formula>1402023</formula>
    </cfRule>
    <cfRule type="duplicateValues" dxfId="54" priority="87"/>
  </conditionalFormatting>
  <conditionalFormatting sqref="XFA1214:XFA1235">
    <cfRule type="duplicateValues" dxfId="53" priority="96"/>
    <cfRule type="duplicateValues" dxfId="52" priority="97"/>
    <cfRule type="cellIs" dxfId="51" priority="94" operator="equal">
      <formula>1402023</formula>
    </cfRule>
    <cfRule type="duplicateValues" dxfId="50" priority="95"/>
  </conditionalFormatting>
  <conditionalFormatting sqref="XFA1249:XFA1260">
    <cfRule type="duplicateValues" dxfId="49" priority="180"/>
    <cfRule type="duplicateValues" dxfId="48" priority="181"/>
    <cfRule type="duplicateValues" dxfId="47" priority="182"/>
    <cfRule type="duplicateValues" dxfId="46" priority="183"/>
    <cfRule type="duplicateValues" dxfId="45" priority="184"/>
    <cfRule type="cellIs" dxfId="44" priority="185" operator="equal">
      <formula>1402023</formula>
    </cfRule>
  </conditionalFormatting>
  <conditionalFormatting sqref="XFB1208:XFB1213">
    <cfRule type="cellIs" dxfId="43" priority="104" operator="equal">
      <formula>1402023</formula>
    </cfRule>
    <cfRule type="duplicateValues" dxfId="42" priority="105"/>
    <cfRule type="duplicateValues" dxfId="41" priority="106"/>
    <cfRule type="duplicateValues" dxfId="40" priority="107"/>
  </conditionalFormatting>
  <conditionalFormatting sqref="XFB1236:XFB1238">
    <cfRule type="cellIs" dxfId="39" priority="83" operator="equal">
      <formula>1402023</formula>
    </cfRule>
    <cfRule type="duplicateValues" dxfId="38" priority="79"/>
    <cfRule type="duplicateValues" dxfId="37" priority="80"/>
    <cfRule type="duplicateValues" dxfId="36" priority="81"/>
    <cfRule type="duplicateValues" dxfId="35" priority="82"/>
  </conditionalFormatting>
  <conditionalFormatting sqref="XFB1246:XFB1248">
    <cfRule type="cellIs" dxfId="34" priority="53" operator="equal">
      <formula>1402023</formula>
    </cfRule>
    <cfRule type="duplicateValues" dxfId="33" priority="52"/>
    <cfRule type="duplicateValues" dxfId="32" priority="51"/>
    <cfRule type="duplicateValues" dxfId="31" priority="50"/>
    <cfRule type="duplicateValues" dxfId="30" priority="49"/>
    <cfRule type="duplicateValues" dxfId="29" priority="48"/>
  </conditionalFormatting>
  <conditionalFormatting sqref="XFB1276">
    <cfRule type="duplicateValues" dxfId="28" priority="10"/>
    <cfRule type="duplicateValues" dxfId="27" priority="9"/>
    <cfRule type="duplicateValues" dxfId="26" priority="8"/>
    <cfRule type="cellIs" dxfId="25" priority="7" operator="equal">
      <formula>1402023</formula>
    </cfRule>
  </conditionalFormatting>
  <conditionalFormatting sqref="XFC1199:XFC1207">
    <cfRule type="cellIs" dxfId="24" priority="150" operator="equal">
      <formula>1402023</formula>
    </cfRule>
    <cfRule type="duplicateValues" dxfId="23" priority="151"/>
    <cfRule type="duplicateValues" dxfId="22" priority="152"/>
    <cfRule type="duplicateValues" dxfId="21" priority="153"/>
  </conditionalFormatting>
  <conditionalFormatting sqref="XFC1214:XFC1235">
    <cfRule type="duplicateValues" dxfId="20" priority="89"/>
    <cfRule type="duplicateValues" dxfId="19" priority="90"/>
    <cfRule type="duplicateValues" dxfId="18" priority="91"/>
    <cfRule type="duplicateValues" dxfId="17" priority="92"/>
    <cfRule type="cellIs" dxfId="16" priority="93" operator="equal">
      <formula>1402023</formula>
    </cfRule>
  </conditionalFormatting>
  <conditionalFormatting sqref="XFC1236:XFC1238">
    <cfRule type="duplicateValues" dxfId="15" priority="78"/>
  </conditionalFormatting>
  <conditionalFormatting sqref="XFC1240">
    <cfRule type="cellIs" dxfId="14" priority="71" operator="equal">
      <formula>1402023</formula>
    </cfRule>
  </conditionalFormatting>
  <conditionalFormatting sqref="XFC1249:XFC1260">
    <cfRule type="duplicateValues" dxfId="13" priority="196"/>
    <cfRule type="duplicateValues" dxfId="12" priority="192"/>
    <cfRule type="duplicateValues" dxfId="11" priority="193"/>
    <cfRule type="duplicateValues" dxfId="10" priority="194"/>
    <cfRule type="duplicateValues" dxfId="9" priority="195"/>
  </conditionalFormatting>
  <conditionalFormatting sqref="XFC1261:XFC1268 XFC1270:XFC1271">
    <cfRule type="duplicateValues" dxfId="8" priority="172"/>
    <cfRule type="duplicateValues" dxfId="7" priority="173"/>
    <cfRule type="duplicateValues" dxfId="6" priority="171"/>
  </conditionalFormatting>
  <conditionalFormatting sqref="XFD1239">
    <cfRule type="cellIs" dxfId="5" priority="77" operator="equal">
      <formula>1402023</formula>
    </cfRule>
  </conditionalFormatting>
  <pageMargins left="0.7" right="0.7" top="0.75" bottom="0.75" header="0" footer="0"/>
  <pageSetup orientation="portrait" r:id="rId2"/>
  <headerFooter>
    <oddFooter>&amp;LFS1-010-049&amp;CPag. 1 of 1&amp;RRev. 03 22-NOV-2016.</oddFooter>
  </headerFooter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6584-E81B-4FB9-A6B8-C9AEB3BEA8BC}">
  <dimension ref="A1:S90"/>
  <sheetViews>
    <sheetView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90" sqref="J90"/>
    </sheetView>
  </sheetViews>
  <sheetFormatPr defaultColWidth="8.88671875" defaultRowHeight="12" x14ac:dyDescent="0.25"/>
  <cols>
    <col min="1" max="1" width="6.44140625" style="259" bestFit="1" customWidth="1"/>
    <col min="2" max="2" width="31.21875" style="268" bestFit="1" customWidth="1"/>
    <col min="3" max="3" width="23.6640625" style="251" bestFit="1" customWidth="1"/>
    <col min="4" max="4" width="31.77734375" style="251" customWidth="1"/>
    <col min="5" max="5" width="39.109375" style="261" bestFit="1" customWidth="1"/>
    <col min="6" max="6" width="14.77734375" style="251" bestFit="1" customWidth="1"/>
    <col min="7" max="7" width="6.44140625" style="250" customWidth="1"/>
    <col min="8" max="8" width="11.21875" style="250" bestFit="1" customWidth="1"/>
    <col min="9" max="9" width="11.44140625" style="250" bestFit="1" customWidth="1"/>
    <col min="10" max="10" width="18.21875" style="250" bestFit="1" customWidth="1"/>
    <col min="11" max="11" width="18" style="250" customWidth="1"/>
    <col min="12" max="12" width="20" style="250" customWidth="1"/>
    <col min="13" max="13" width="18" style="250" customWidth="1"/>
    <col min="14" max="14" width="37.44140625" style="260" bestFit="1" customWidth="1"/>
    <col min="15" max="15" width="21.109375" style="247" bestFit="1" customWidth="1"/>
    <col min="16" max="16" width="21.109375" style="249" bestFit="1" customWidth="1"/>
    <col min="17" max="17" width="21.109375" style="247" bestFit="1" customWidth="1"/>
    <col min="18" max="18" width="35.6640625" style="247" bestFit="1" customWidth="1"/>
    <col min="19" max="16384" width="8.88671875" style="247"/>
  </cols>
  <sheetData>
    <row r="1" spans="1:19" s="249" customFormat="1" x14ac:dyDescent="0.25">
      <c r="A1" s="369" t="s">
        <v>1993</v>
      </c>
      <c r="B1" s="364" t="s">
        <v>1757</v>
      </c>
      <c r="C1" s="364" t="s">
        <v>1758</v>
      </c>
      <c r="D1" s="364" t="s">
        <v>1762</v>
      </c>
      <c r="E1" s="364" t="s">
        <v>1763</v>
      </c>
      <c r="F1" s="364" t="s">
        <v>2660</v>
      </c>
      <c r="G1" s="364" t="s">
        <v>1753</v>
      </c>
      <c r="H1" s="364" t="s">
        <v>1754</v>
      </c>
      <c r="I1" s="364" t="s">
        <v>2661</v>
      </c>
      <c r="J1" s="366" t="s">
        <v>2133</v>
      </c>
      <c r="K1" s="367"/>
      <c r="L1" s="367"/>
      <c r="M1" s="368"/>
      <c r="N1" s="362" t="s">
        <v>1957</v>
      </c>
      <c r="O1" s="361" t="s">
        <v>2202</v>
      </c>
      <c r="P1" s="361" t="s">
        <v>2203</v>
      </c>
      <c r="Q1" s="361" t="s">
        <v>2272</v>
      </c>
    </row>
    <row r="2" spans="1:19" s="249" customFormat="1" ht="22.8" x14ac:dyDescent="0.25">
      <c r="A2" s="370"/>
      <c r="B2" s="365"/>
      <c r="C2" s="365"/>
      <c r="D2" s="365"/>
      <c r="E2" s="365"/>
      <c r="F2" s="365"/>
      <c r="G2" s="365"/>
      <c r="H2" s="365"/>
      <c r="I2" s="365"/>
      <c r="J2" s="248" t="s">
        <v>1755</v>
      </c>
      <c r="K2" s="248" t="s">
        <v>1768</v>
      </c>
      <c r="L2" s="248" t="s">
        <v>1756</v>
      </c>
      <c r="M2" s="248" t="s">
        <v>1768</v>
      </c>
      <c r="N2" s="363"/>
      <c r="O2" s="361"/>
      <c r="P2" s="361"/>
      <c r="Q2" s="361"/>
    </row>
    <row r="3" spans="1:19" s="221" customFormat="1" x14ac:dyDescent="0.25">
      <c r="A3" s="250" t="s">
        <v>1803</v>
      </c>
      <c r="B3" s="268" t="s">
        <v>1909</v>
      </c>
      <c r="C3" s="251" t="s">
        <v>1960</v>
      </c>
      <c r="D3" s="251" t="s">
        <v>2620</v>
      </c>
      <c r="E3" s="262" t="s">
        <v>2285</v>
      </c>
      <c r="F3" s="251" t="s">
        <v>934</v>
      </c>
      <c r="G3" s="250" t="s">
        <v>1759</v>
      </c>
      <c r="H3" s="250" t="s">
        <v>1761</v>
      </c>
      <c r="I3" s="250" t="s">
        <v>38</v>
      </c>
      <c r="J3" s="276" t="s">
        <v>1958</v>
      </c>
      <c r="K3" s="352">
        <v>46130</v>
      </c>
      <c r="L3" s="244" t="s">
        <v>38</v>
      </c>
      <c r="M3" s="244" t="s">
        <v>38</v>
      </c>
      <c r="N3" s="246" t="s">
        <v>1958</v>
      </c>
      <c r="O3" s="249" t="s">
        <v>2565</v>
      </c>
      <c r="P3" s="249" t="s">
        <v>1009</v>
      </c>
      <c r="Q3" s="323" t="s">
        <v>2564</v>
      </c>
    </row>
    <row r="4" spans="1:19" s="221" customFormat="1" x14ac:dyDescent="0.25">
      <c r="A4" s="250" t="s">
        <v>1803</v>
      </c>
      <c r="B4" s="268" t="s">
        <v>2020</v>
      </c>
      <c r="C4" s="251" t="s">
        <v>2076</v>
      </c>
      <c r="D4" s="251">
        <v>8992847394</v>
      </c>
      <c r="E4" s="261" t="s">
        <v>2075</v>
      </c>
      <c r="F4" s="243" t="s">
        <v>1211</v>
      </c>
      <c r="G4" s="250" t="s">
        <v>1760</v>
      </c>
      <c r="H4" s="250" t="s">
        <v>1761</v>
      </c>
      <c r="I4" s="250" t="s">
        <v>38</v>
      </c>
      <c r="J4" s="276" t="s">
        <v>1958</v>
      </c>
      <c r="K4" s="353">
        <v>46135</v>
      </c>
      <c r="L4" s="244" t="s">
        <v>38</v>
      </c>
      <c r="M4" s="244" t="s">
        <v>38</v>
      </c>
      <c r="N4" s="246" t="s">
        <v>1958</v>
      </c>
      <c r="O4" s="249" t="s">
        <v>2565</v>
      </c>
      <c r="P4" s="249" t="s">
        <v>1009</v>
      </c>
      <c r="Q4" s="323" t="s">
        <v>2564</v>
      </c>
      <c r="R4" s="247"/>
      <c r="S4" s="247"/>
    </row>
    <row r="5" spans="1:19" s="221" customFormat="1" x14ac:dyDescent="0.25">
      <c r="A5" s="250" t="s">
        <v>1803</v>
      </c>
      <c r="B5" s="255" t="s">
        <v>1578</v>
      </c>
      <c r="C5" s="251" t="s">
        <v>979</v>
      </c>
      <c r="D5" s="251" t="s">
        <v>2622</v>
      </c>
      <c r="E5" s="262" t="s">
        <v>1767</v>
      </c>
      <c r="F5" s="243" t="s">
        <v>934</v>
      </c>
      <c r="G5" s="244" t="s">
        <v>1759</v>
      </c>
      <c r="H5" s="250" t="s">
        <v>1761</v>
      </c>
      <c r="I5" s="250" t="s">
        <v>38</v>
      </c>
      <c r="J5" s="276" t="s">
        <v>1958</v>
      </c>
      <c r="K5" s="245">
        <v>46178</v>
      </c>
      <c r="L5" s="244" t="s">
        <v>38</v>
      </c>
      <c r="M5" s="244" t="s">
        <v>38</v>
      </c>
      <c r="N5" s="246" t="s">
        <v>1958</v>
      </c>
      <c r="O5" s="249" t="s">
        <v>1009</v>
      </c>
      <c r="P5" s="249" t="s">
        <v>1009</v>
      </c>
      <c r="Q5" s="221" t="s">
        <v>2567</v>
      </c>
      <c r="S5" s="247"/>
    </row>
    <row r="6" spans="1:19" s="221" customFormat="1" ht="24" x14ac:dyDescent="0.25">
      <c r="A6" s="250" t="s">
        <v>1803</v>
      </c>
      <c r="B6" s="268" t="s">
        <v>2008</v>
      </c>
      <c r="C6" s="251" t="s">
        <v>2147</v>
      </c>
      <c r="D6" s="253" t="s">
        <v>2623</v>
      </c>
      <c r="E6" s="262" t="s">
        <v>2294</v>
      </c>
      <c r="F6" s="251" t="s">
        <v>956</v>
      </c>
      <c r="G6" s="250" t="s">
        <v>1760</v>
      </c>
      <c r="H6" s="250" t="s">
        <v>1761</v>
      </c>
      <c r="I6" s="250" t="s">
        <v>38</v>
      </c>
      <c r="J6" s="276" t="s">
        <v>1958</v>
      </c>
      <c r="K6" s="245">
        <v>46206</v>
      </c>
      <c r="L6" s="244" t="s">
        <v>38</v>
      </c>
      <c r="M6" s="244" t="s">
        <v>38</v>
      </c>
      <c r="N6" s="246" t="s">
        <v>1958</v>
      </c>
      <c r="O6" s="249" t="s">
        <v>1009</v>
      </c>
      <c r="P6" s="249" t="s">
        <v>1009</v>
      </c>
      <c r="Q6" s="221" t="s">
        <v>2567</v>
      </c>
      <c r="R6" s="247"/>
      <c r="S6" s="247"/>
    </row>
    <row r="7" spans="1:19" s="221" customFormat="1" ht="24" x14ac:dyDescent="0.25">
      <c r="A7" s="250" t="s">
        <v>1803</v>
      </c>
      <c r="B7" s="268" t="s">
        <v>1817</v>
      </c>
      <c r="C7" s="251" t="s">
        <v>1871</v>
      </c>
      <c r="D7" s="251">
        <v>13794451969</v>
      </c>
      <c r="E7" s="262" t="s">
        <v>2292</v>
      </c>
      <c r="F7" s="251" t="s">
        <v>934</v>
      </c>
      <c r="G7" s="250" t="s">
        <v>1759</v>
      </c>
      <c r="H7" s="250" t="s">
        <v>1761</v>
      </c>
      <c r="I7" s="250" t="s">
        <v>38</v>
      </c>
      <c r="J7" s="276" t="s">
        <v>1958</v>
      </c>
      <c r="K7" s="252">
        <v>46247</v>
      </c>
      <c r="L7" s="250" t="s">
        <v>38</v>
      </c>
      <c r="M7" s="250" t="s">
        <v>38</v>
      </c>
      <c r="N7" s="246" t="s">
        <v>1958</v>
      </c>
      <c r="O7" s="249" t="s">
        <v>2566</v>
      </c>
      <c r="P7" s="249" t="s">
        <v>1009</v>
      </c>
      <c r="Q7" s="221" t="s">
        <v>2567</v>
      </c>
      <c r="R7" s="247"/>
      <c r="S7" s="247"/>
    </row>
    <row r="8" spans="1:19" s="221" customFormat="1" ht="24" x14ac:dyDescent="0.25">
      <c r="A8" s="259" t="s">
        <v>1803</v>
      </c>
      <c r="B8" s="268" t="s">
        <v>2103</v>
      </c>
      <c r="C8" s="251" t="s">
        <v>2101</v>
      </c>
      <c r="D8" s="253" t="s">
        <v>2624</v>
      </c>
      <c r="E8" s="262" t="s">
        <v>2102</v>
      </c>
      <c r="F8" s="251" t="s">
        <v>940</v>
      </c>
      <c r="G8" s="250" t="s">
        <v>1760</v>
      </c>
      <c r="H8" s="250" t="s">
        <v>1761</v>
      </c>
      <c r="I8" s="250" t="s">
        <v>38</v>
      </c>
      <c r="J8" s="276" t="s">
        <v>1958</v>
      </c>
      <c r="K8" s="252">
        <v>46273</v>
      </c>
      <c r="L8" s="276" t="s">
        <v>1958</v>
      </c>
      <c r="M8" s="252">
        <v>46730</v>
      </c>
      <c r="N8" s="246" t="s">
        <v>1958</v>
      </c>
      <c r="O8" s="249" t="s">
        <v>2565</v>
      </c>
      <c r="P8" s="249" t="s">
        <v>1009</v>
      </c>
      <c r="Q8" s="323" t="s">
        <v>2564</v>
      </c>
      <c r="R8" s="247"/>
      <c r="S8" s="247"/>
    </row>
    <row r="9" spans="1:19" s="221" customFormat="1" ht="24" x14ac:dyDescent="0.25">
      <c r="A9" s="250" t="s">
        <v>1803</v>
      </c>
      <c r="B9" s="255" t="s">
        <v>1788</v>
      </c>
      <c r="C9" s="255" t="s">
        <v>2502</v>
      </c>
      <c r="D9" s="253" t="s">
        <v>2625</v>
      </c>
      <c r="E9" s="262" t="s">
        <v>2503</v>
      </c>
      <c r="F9" s="243" t="s">
        <v>30</v>
      </c>
      <c r="G9" s="244" t="s">
        <v>1759</v>
      </c>
      <c r="H9" s="288" t="s">
        <v>1766</v>
      </c>
      <c r="I9" s="276" t="s">
        <v>1958</v>
      </c>
      <c r="J9" s="276" t="s">
        <v>1958</v>
      </c>
      <c r="K9" s="245">
        <v>46289</v>
      </c>
      <c r="L9" s="244" t="s">
        <v>38</v>
      </c>
      <c r="M9" s="244" t="s">
        <v>38</v>
      </c>
      <c r="N9" s="254" t="s">
        <v>2005</v>
      </c>
      <c r="O9" s="249" t="s">
        <v>1009</v>
      </c>
      <c r="P9" s="249" t="s">
        <v>1009</v>
      </c>
      <c r="Q9" s="221" t="s">
        <v>2567</v>
      </c>
    </row>
    <row r="10" spans="1:19" ht="24" x14ac:dyDescent="0.25">
      <c r="A10" s="250" t="s">
        <v>1803</v>
      </c>
      <c r="B10" s="255" t="s">
        <v>1792</v>
      </c>
      <c r="C10" s="255" t="s">
        <v>2104</v>
      </c>
      <c r="D10" s="253" t="s">
        <v>2631</v>
      </c>
      <c r="E10" s="262" t="s">
        <v>2105</v>
      </c>
      <c r="F10" s="243" t="s">
        <v>657</v>
      </c>
      <c r="G10" s="244" t="s">
        <v>1759</v>
      </c>
      <c r="H10" s="250" t="s">
        <v>1761</v>
      </c>
      <c r="I10" s="250" t="s">
        <v>38</v>
      </c>
      <c r="J10" s="276" t="s">
        <v>1958</v>
      </c>
      <c r="K10" s="245">
        <v>46295</v>
      </c>
      <c r="L10" s="244" t="s">
        <v>38</v>
      </c>
      <c r="M10" s="244" t="s">
        <v>38</v>
      </c>
      <c r="N10" s="256" t="s">
        <v>1958</v>
      </c>
      <c r="O10" s="249" t="s">
        <v>2565</v>
      </c>
      <c r="P10" s="249" t="s">
        <v>1009</v>
      </c>
      <c r="Q10" s="323" t="s">
        <v>2564</v>
      </c>
    </row>
    <row r="11" spans="1:19" s="221" customFormat="1" x14ac:dyDescent="0.25">
      <c r="A11" s="257" t="s">
        <v>2045</v>
      </c>
      <c r="B11" s="268" t="s">
        <v>2591</v>
      </c>
      <c r="C11" s="251" t="s">
        <v>2592</v>
      </c>
      <c r="D11" s="251" t="s">
        <v>2626</v>
      </c>
      <c r="E11" s="261" t="s">
        <v>2593</v>
      </c>
      <c r="F11" s="251" t="s">
        <v>934</v>
      </c>
      <c r="G11" s="250" t="s">
        <v>1759</v>
      </c>
      <c r="H11" s="250" t="s">
        <v>1761</v>
      </c>
      <c r="I11" s="250" t="s">
        <v>38</v>
      </c>
      <c r="J11" s="276" t="s">
        <v>1958</v>
      </c>
      <c r="K11" s="245">
        <v>46313</v>
      </c>
      <c r="L11" s="244" t="s">
        <v>38</v>
      </c>
      <c r="M11" s="244" t="s">
        <v>38</v>
      </c>
      <c r="N11" s="246" t="s">
        <v>1958</v>
      </c>
      <c r="O11" s="249" t="s">
        <v>1009</v>
      </c>
      <c r="P11" s="249" t="s">
        <v>1009</v>
      </c>
      <c r="Q11" s="221" t="s">
        <v>2567</v>
      </c>
      <c r="R11" s="247"/>
    </row>
    <row r="12" spans="1:19" s="221" customFormat="1" x14ac:dyDescent="0.25">
      <c r="A12" s="259" t="s">
        <v>1803</v>
      </c>
      <c r="B12" s="268" t="s">
        <v>2107</v>
      </c>
      <c r="C12" s="251" t="s">
        <v>2114</v>
      </c>
      <c r="D12" s="251" t="s">
        <v>2627</v>
      </c>
      <c r="E12" s="262" t="s">
        <v>2288</v>
      </c>
      <c r="F12" s="251" t="s">
        <v>30</v>
      </c>
      <c r="G12" s="250" t="s">
        <v>1759</v>
      </c>
      <c r="H12" s="250" t="s">
        <v>1761</v>
      </c>
      <c r="I12" s="250" t="s">
        <v>38</v>
      </c>
      <c r="J12" s="276" t="s">
        <v>1958</v>
      </c>
      <c r="K12" s="252">
        <v>46319</v>
      </c>
      <c r="L12" s="250" t="s">
        <v>38</v>
      </c>
      <c r="M12" s="250" t="s">
        <v>38</v>
      </c>
      <c r="N12" s="246" t="s">
        <v>1958</v>
      </c>
      <c r="O12" s="249" t="s">
        <v>1009</v>
      </c>
      <c r="P12" s="249" t="s">
        <v>1009</v>
      </c>
      <c r="Q12" s="221" t="s">
        <v>2567</v>
      </c>
      <c r="S12" s="247"/>
    </row>
    <row r="13" spans="1:19" s="221" customFormat="1" x14ac:dyDescent="0.25">
      <c r="A13" s="257" t="s">
        <v>2045</v>
      </c>
      <c r="B13" s="268" t="s">
        <v>2542</v>
      </c>
      <c r="C13" s="251" t="s">
        <v>2543</v>
      </c>
      <c r="D13" s="251" t="s">
        <v>2650</v>
      </c>
      <c r="E13" s="261" t="s">
        <v>2544</v>
      </c>
      <c r="F13" s="251" t="s">
        <v>934</v>
      </c>
      <c r="G13" s="250" t="s">
        <v>1759</v>
      </c>
      <c r="H13" s="250" t="s">
        <v>1761</v>
      </c>
      <c r="I13" s="250" t="s">
        <v>38</v>
      </c>
      <c r="J13" s="276" t="s">
        <v>1958</v>
      </c>
      <c r="K13" s="252">
        <v>46320</v>
      </c>
      <c r="L13" s="244" t="s">
        <v>38</v>
      </c>
      <c r="M13" s="244" t="s">
        <v>38</v>
      </c>
      <c r="N13" s="269">
        <v>46113</v>
      </c>
      <c r="O13" s="302"/>
      <c r="P13" s="314"/>
      <c r="Q13" s="314"/>
      <c r="R13" s="247"/>
      <c r="S13" s="247"/>
    </row>
    <row r="14" spans="1:19" s="221" customFormat="1" x14ac:dyDescent="0.25">
      <c r="A14" s="250" t="s">
        <v>1803</v>
      </c>
      <c r="B14" s="255" t="s">
        <v>1201</v>
      </c>
      <c r="C14" s="243" t="s">
        <v>1736</v>
      </c>
      <c r="D14" s="251" t="s">
        <v>2628</v>
      </c>
      <c r="E14" s="262" t="s">
        <v>1539</v>
      </c>
      <c r="F14" s="243" t="s">
        <v>934</v>
      </c>
      <c r="G14" s="244" t="s">
        <v>1759</v>
      </c>
      <c r="H14" s="250" t="s">
        <v>1761</v>
      </c>
      <c r="I14" s="250" t="s">
        <v>38</v>
      </c>
      <c r="J14" s="276" t="s">
        <v>1958</v>
      </c>
      <c r="K14" s="245">
        <v>46323</v>
      </c>
      <c r="L14" s="244" t="s">
        <v>38</v>
      </c>
      <c r="M14" s="244" t="s">
        <v>38</v>
      </c>
      <c r="N14" s="246" t="s">
        <v>1958</v>
      </c>
      <c r="O14" s="249" t="s">
        <v>1009</v>
      </c>
      <c r="P14" s="249" t="s">
        <v>1009</v>
      </c>
      <c r="Q14" s="221" t="s">
        <v>2567</v>
      </c>
      <c r="R14" s="247"/>
      <c r="S14" s="247"/>
    </row>
    <row r="15" spans="1:19" ht="24" x14ac:dyDescent="0.25">
      <c r="A15" s="250" t="s">
        <v>1803</v>
      </c>
      <c r="B15" s="255" t="s">
        <v>1611</v>
      </c>
      <c r="C15" s="255" t="s">
        <v>2469</v>
      </c>
      <c r="D15" s="253" t="s">
        <v>2470</v>
      </c>
      <c r="E15" s="262" t="s">
        <v>2471</v>
      </c>
      <c r="F15" s="243" t="s">
        <v>30</v>
      </c>
      <c r="G15" s="244" t="s">
        <v>1759</v>
      </c>
      <c r="H15" s="250" t="s">
        <v>1761</v>
      </c>
      <c r="I15" s="250" t="s">
        <v>38</v>
      </c>
      <c r="J15" s="276" t="s">
        <v>1958</v>
      </c>
      <c r="K15" s="245">
        <v>46339</v>
      </c>
      <c r="L15" s="244" t="s">
        <v>38</v>
      </c>
      <c r="M15" s="244" t="s">
        <v>38</v>
      </c>
      <c r="N15" s="254" t="s">
        <v>2005</v>
      </c>
      <c r="O15" s="249" t="s">
        <v>1009</v>
      </c>
      <c r="P15" s="249" t="s">
        <v>1009</v>
      </c>
      <c r="Q15" s="221" t="s">
        <v>2567</v>
      </c>
      <c r="R15" s="221"/>
    </row>
    <row r="16" spans="1:19" s="221" customFormat="1" x14ac:dyDescent="0.25">
      <c r="A16" s="250" t="s">
        <v>1803</v>
      </c>
      <c r="B16" s="255" t="s">
        <v>936</v>
      </c>
      <c r="C16" s="251" t="s">
        <v>937</v>
      </c>
      <c r="D16" s="251" t="s">
        <v>938</v>
      </c>
      <c r="E16" s="262" t="s">
        <v>939</v>
      </c>
      <c r="F16" s="243" t="s">
        <v>934</v>
      </c>
      <c r="G16" s="244" t="s">
        <v>1759</v>
      </c>
      <c r="H16" s="250" t="s">
        <v>1761</v>
      </c>
      <c r="I16" s="250" t="s">
        <v>38</v>
      </c>
      <c r="J16" s="276" t="s">
        <v>1958</v>
      </c>
      <c r="K16" s="245">
        <v>46340</v>
      </c>
      <c r="L16" s="276" t="s">
        <v>1958</v>
      </c>
      <c r="M16" s="245">
        <v>46340</v>
      </c>
      <c r="N16" s="254" t="s">
        <v>2005</v>
      </c>
      <c r="O16" s="249" t="s">
        <v>1009</v>
      </c>
      <c r="P16" s="249" t="s">
        <v>1009</v>
      </c>
      <c r="Q16" s="221" t="s">
        <v>2567</v>
      </c>
      <c r="R16" s="247"/>
      <c r="S16" s="247"/>
    </row>
    <row r="17" spans="1:19" x14ac:dyDescent="0.25">
      <c r="A17" s="257" t="s">
        <v>2045</v>
      </c>
      <c r="B17" s="268" t="s">
        <v>2517</v>
      </c>
      <c r="C17" s="251" t="s">
        <v>2518</v>
      </c>
      <c r="D17" s="251" t="s">
        <v>2652</v>
      </c>
      <c r="E17" s="261" t="s">
        <v>2519</v>
      </c>
      <c r="F17" s="243" t="s">
        <v>30</v>
      </c>
      <c r="G17" s="244" t="s">
        <v>1759</v>
      </c>
      <c r="H17" s="250" t="s">
        <v>1761</v>
      </c>
      <c r="I17" s="250" t="s">
        <v>38</v>
      </c>
      <c r="J17" s="276" t="s">
        <v>1958</v>
      </c>
      <c r="K17" s="252">
        <v>46341</v>
      </c>
      <c r="L17" s="244" t="s">
        <v>38</v>
      </c>
      <c r="M17" s="244" t="s">
        <v>38</v>
      </c>
      <c r="N17" s="254" t="s">
        <v>2005</v>
      </c>
      <c r="O17" s="249" t="s">
        <v>2565</v>
      </c>
      <c r="P17" s="249" t="s">
        <v>1009</v>
      </c>
      <c r="Q17" s="323" t="s">
        <v>2564</v>
      </c>
    </row>
    <row r="18" spans="1:19" s="221" customFormat="1" ht="24" x14ac:dyDescent="0.25">
      <c r="A18" s="250" t="s">
        <v>1803</v>
      </c>
      <c r="B18" s="255" t="s">
        <v>47</v>
      </c>
      <c r="C18" s="255" t="s">
        <v>2006</v>
      </c>
      <c r="D18" s="253" t="s">
        <v>2629</v>
      </c>
      <c r="E18" s="262" t="s">
        <v>2007</v>
      </c>
      <c r="F18" s="243" t="s">
        <v>30</v>
      </c>
      <c r="G18" s="244" t="s">
        <v>1759</v>
      </c>
      <c r="H18" s="288" t="s">
        <v>1766</v>
      </c>
      <c r="I18" s="276" t="s">
        <v>1958</v>
      </c>
      <c r="J18" s="276" t="s">
        <v>1958</v>
      </c>
      <c r="K18" s="245">
        <v>46346</v>
      </c>
      <c r="L18" s="371" t="s">
        <v>38</v>
      </c>
      <c r="M18" s="244" t="s">
        <v>38</v>
      </c>
      <c r="N18" s="256" t="s">
        <v>1958</v>
      </c>
      <c r="O18" s="249" t="s">
        <v>2565</v>
      </c>
      <c r="P18" s="249" t="s">
        <v>1009</v>
      </c>
      <c r="Q18" s="323" t="s">
        <v>2564</v>
      </c>
    </row>
    <row r="19" spans="1:19" s="221" customFormat="1" x14ac:dyDescent="0.25">
      <c r="A19" s="250" t="s">
        <v>1803</v>
      </c>
      <c r="B19" s="268" t="s">
        <v>1770</v>
      </c>
      <c r="C19" s="251" t="s">
        <v>1772</v>
      </c>
      <c r="D19" s="251" t="s">
        <v>1773</v>
      </c>
      <c r="E19" s="262" t="s">
        <v>1774</v>
      </c>
      <c r="F19" s="251" t="s">
        <v>30</v>
      </c>
      <c r="G19" s="250" t="s">
        <v>1759</v>
      </c>
      <c r="H19" s="288" t="s">
        <v>1766</v>
      </c>
      <c r="I19" s="276" t="s">
        <v>1958</v>
      </c>
      <c r="J19" s="276" t="s">
        <v>1958</v>
      </c>
      <c r="K19" s="252">
        <v>46405</v>
      </c>
      <c r="L19" s="276" t="s">
        <v>1958</v>
      </c>
      <c r="M19" s="252">
        <v>46683</v>
      </c>
      <c r="N19" s="254" t="s">
        <v>2005</v>
      </c>
      <c r="O19" s="249" t="s">
        <v>1009</v>
      </c>
      <c r="P19" s="249" t="s">
        <v>1009</v>
      </c>
      <c r="Q19" s="221" t="s">
        <v>2567</v>
      </c>
    </row>
    <row r="20" spans="1:19" s="221" customFormat="1" ht="24" x14ac:dyDescent="0.25">
      <c r="A20" s="257" t="s">
        <v>2045</v>
      </c>
      <c r="B20" s="268" t="s">
        <v>2615</v>
      </c>
      <c r="C20" s="253" t="s">
        <v>2618</v>
      </c>
      <c r="D20" s="253" t="s">
        <v>2630</v>
      </c>
      <c r="E20" s="334" t="s">
        <v>2619</v>
      </c>
      <c r="F20" s="251" t="s">
        <v>934</v>
      </c>
      <c r="G20" s="250" t="s">
        <v>1759</v>
      </c>
      <c r="H20" s="250" t="s">
        <v>1761</v>
      </c>
      <c r="I20" s="250" t="s">
        <v>38</v>
      </c>
      <c r="J20" s="276" t="s">
        <v>1958</v>
      </c>
      <c r="K20" s="252">
        <v>46407</v>
      </c>
      <c r="L20" s="276" t="s">
        <v>1958</v>
      </c>
      <c r="M20" s="252">
        <v>46407</v>
      </c>
      <c r="N20" s="254" t="s">
        <v>2005</v>
      </c>
      <c r="O20" s="249" t="s">
        <v>2565</v>
      </c>
      <c r="P20" s="249" t="s">
        <v>1009</v>
      </c>
      <c r="Q20" s="323" t="s">
        <v>2564</v>
      </c>
      <c r="R20" s="247"/>
      <c r="S20" s="247"/>
    </row>
    <row r="21" spans="1:19" x14ac:dyDescent="0.25">
      <c r="A21" s="250" t="s">
        <v>1803</v>
      </c>
      <c r="B21" s="268" t="s">
        <v>2060</v>
      </c>
      <c r="C21" s="251" t="s">
        <v>2062</v>
      </c>
      <c r="D21" s="251" t="s">
        <v>2063</v>
      </c>
      <c r="E21" s="262" t="s">
        <v>2281</v>
      </c>
      <c r="F21" s="251" t="s">
        <v>657</v>
      </c>
      <c r="G21" s="250" t="s">
        <v>1759</v>
      </c>
      <c r="H21" s="250" t="s">
        <v>1761</v>
      </c>
      <c r="I21" s="250" t="s">
        <v>38</v>
      </c>
      <c r="J21" s="276" t="s">
        <v>1958</v>
      </c>
      <c r="K21" s="252">
        <v>46429</v>
      </c>
      <c r="L21" s="244" t="s">
        <v>38</v>
      </c>
      <c r="M21" s="244" t="s">
        <v>38</v>
      </c>
      <c r="N21" s="256" t="s">
        <v>1958</v>
      </c>
      <c r="O21" s="249" t="s">
        <v>1009</v>
      </c>
      <c r="P21" s="249" t="s">
        <v>1009</v>
      </c>
      <c r="Q21" s="221" t="s">
        <v>2567</v>
      </c>
      <c r="R21" s="221"/>
      <c r="S21" s="221"/>
    </row>
    <row r="22" spans="1:19" x14ac:dyDescent="0.25">
      <c r="A22" s="250" t="s">
        <v>1803</v>
      </c>
      <c r="B22" s="255" t="s">
        <v>323</v>
      </c>
      <c r="C22" s="243" t="s">
        <v>1984</v>
      </c>
      <c r="D22" s="253" t="s">
        <v>1985</v>
      </c>
      <c r="E22" s="262" t="s">
        <v>2283</v>
      </c>
      <c r="F22" s="243" t="s">
        <v>30</v>
      </c>
      <c r="G22" s="244" t="s">
        <v>1759</v>
      </c>
      <c r="H22" s="288" t="s">
        <v>1766</v>
      </c>
      <c r="I22" s="276" t="s">
        <v>1958</v>
      </c>
      <c r="J22" s="276" t="s">
        <v>1958</v>
      </c>
      <c r="K22" s="258">
        <v>46448</v>
      </c>
      <c r="L22" s="244" t="s">
        <v>38</v>
      </c>
      <c r="M22" s="244" t="s">
        <v>38</v>
      </c>
      <c r="N22" s="246" t="s">
        <v>1958</v>
      </c>
      <c r="O22" s="249" t="s">
        <v>1009</v>
      </c>
      <c r="P22" s="249" t="s">
        <v>1009</v>
      </c>
      <c r="Q22" s="221" t="s">
        <v>2567</v>
      </c>
    </row>
    <row r="23" spans="1:19" ht="24" x14ac:dyDescent="0.25">
      <c r="A23" s="250" t="s">
        <v>1803</v>
      </c>
      <c r="B23" s="268" t="s">
        <v>2036</v>
      </c>
      <c r="C23" s="251" t="s">
        <v>1995</v>
      </c>
      <c r="D23" s="253" t="s">
        <v>2632</v>
      </c>
      <c r="E23" s="262" t="s">
        <v>1996</v>
      </c>
      <c r="F23" s="251" t="s">
        <v>30</v>
      </c>
      <c r="G23" s="250" t="s">
        <v>1759</v>
      </c>
      <c r="H23" s="250" t="s">
        <v>1761</v>
      </c>
      <c r="I23" s="250" t="s">
        <v>38</v>
      </c>
      <c r="J23" s="276" t="s">
        <v>1958</v>
      </c>
      <c r="K23" s="252">
        <v>46463</v>
      </c>
      <c r="L23" s="250" t="s">
        <v>38</v>
      </c>
      <c r="M23" s="250" t="s">
        <v>38</v>
      </c>
      <c r="N23" s="246" t="s">
        <v>1958</v>
      </c>
      <c r="O23" s="249" t="s">
        <v>2565</v>
      </c>
      <c r="P23" s="249" t="s">
        <v>1009</v>
      </c>
      <c r="Q23" s="323" t="s">
        <v>2564</v>
      </c>
      <c r="R23" s="221"/>
      <c r="S23" s="221"/>
    </row>
    <row r="24" spans="1:19" ht="24" x14ac:dyDescent="0.25">
      <c r="A24" s="250" t="s">
        <v>1803</v>
      </c>
      <c r="B24" s="255" t="s">
        <v>389</v>
      </c>
      <c r="C24" s="255" t="s">
        <v>2146</v>
      </c>
      <c r="D24" s="253" t="s">
        <v>2633</v>
      </c>
      <c r="E24" s="262" t="s">
        <v>2018</v>
      </c>
      <c r="F24" s="243" t="s">
        <v>30</v>
      </c>
      <c r="G24" s="244" t="s">
        <v>1759</v>
      </c>
      <c r="H24" s="250" t="s">
        <v>1761</v>
      </c>
      <c r="I24" s="250" t="s">
        <v>38</v>
      </c>
      <c r="J24" s="276" t="s">
        <v>1958</v>
      </c>
      <c r="K24" s="245">
        <v>46472</v>
      </c>
      <c r="L24" s="244" t="s">
        <v>38</v>
      </c>
      <c r="M24" s="244" t="s">
        <v>38</v>
      </c>
      <c r="N24" s="254" t="s">
        <v>2005</v>
      </c>
      <c r="O24" s="249" t="s">
        <v>1009</v>
      </c>
      <c r="P24" s="249" t="s">
        <v>1009</v>
      </c>
      <c r="Q24" s="221" t="s">
        <v>2567</v>
      </c>
    </row>
    <row r="25" spans="1:19" s="221" customFormat="1" x14ac:dyDescent="0.25">
      <c r="A25" s="250" t="s">
        <v>1803</v>
      </c>
      <c r="B25" s="255" t="s">
        <v>1796</v>
      </c>
      <c r="C25" s="251" t="s">
        <v>1795</v>
      </c>
      <c r="D25" s="251"/>
      <c r="E25" s="262" t="s">
        <v>1794</v>
      </c>
      <c r="F25" s="243" t="s">
        <v>1812</v>
      </c>
      <c r="G25" s="244" t="s">
        <v>1760</v>
      </c>
      <c r="H25" s="250" t="s">
        <v>1761</v>
      </c>
      <c r="I25" s="250" t="s">
        <v>38</v>
      </c>
      <c r="J25" s="276" t="s">
        <v>1958</v>
      </c>
      <c r="K25" s="252">
        <v>46515</v>
      </c>
      <c r="L25" s="276" t="s">
        <v>1958</v>
      </c>
      <c r="M25" s="252">
        <v>46515</v>
      </c>
      <c r="N25" s="246" t="s">
        <v>1958</v>
      </c>
      <c r="O25" s="249" t="s">
        <v>1009</v>
      </c>
      <c r="P25" s="249" t="s">
        <v>1009</v>
      </c>
      <c r="Q25" s="221" t="s">
        <v>2567</v>
      </c>
      <c r="R25" s="247"/>
      <c r="S25" s="247"/>
    </row>
    <row r="26" spans="1:19" x14ac:dyDescent="0.25">
      <c r="A26" s="250" t="s">
        <v>1803</v>
      </c>
      <c r="B26" s="268" t="s">
        <v>1954</v>
      </c>
      <c r="C26" s="251" t="s">
        <v>1850</v>
      </c>
      <c r="D26" s="251" t="s">
        <v>1851</v>
      </c>
      <c r="E26" s="262" t="s">
        <v>2293</v>
      </c>
      <c r="F26" s="251" t="s">
        <v>934</v>
      </c>
      <c r="G26" s="250" t="s">
        <v>1759</v>
      </c>
      <c r="H26" s="250" t="s">
        <v>1761</v>
      </c>
      <c r="I26" s="250" t="s">
        <v>38</v>
      </c>
      <c r="J26" s="276" t="s">
        <v>1958</v>
      </c>
      <c r="K26" s="252">
        <v>46536</v>
      </c>
      <c r="L26" s="244" t="s">
        <v>38</v>
      </c>
      <c r="M26" s="244" t="s">
        <v>38</v>
      </c>
      <c r="N26" s="246" t="s">
        <v>1958</v>
      </c>
      <c r="O26" s="249" t="s">
        <v>2566</v>
      </c>
      <c r="P26" s="249" t="s">
        <v>1009</v>
      </c>
      <c r="Q26" s="221" t="s">
        <v>2567</v>
      </c>
    </row>
    <row r="27" spans="1:19" x14ac:dyDescent="0.25">
      <c r="A27" s="250" t="s">
        <v>1803</v>
      </c>
      <c r="B27" s="255" t="s">
        <v>1642</v>
      </c>
      <c r="C27" s="243" t="s">
        <v>1734</v>
      </c>
      <c r="D27" s="251" t="s">
        <v>2634</v>
      </c>
      <c r="E27" s="262" t="s">
        <v>1733</v>
      </c>
      <c r="F27" s="243" t="s">
        <v>30</v>
      </c>
      <c r="G27" s="244" t="s">
        <v>1759</v>
      </c>
      <c r="H27" s="250" t="s">
        <v>1761</v>
      </c>
      <c r="I27" s="250" t="s">
        <v>38</v>
      </c>
      <c r="J27" s="276" t="s">
        <v>1958</v>
      </c>
      <c r="K27" s="245">
        <v>46555</v>
      </c>
      <c r="L27" s="244" t="s">
        <v>38</v>
      </c>
      <c r="M27" s="244" t="s">
        <v>38</v>
      </c>
      <c r="N27" s="254" t="s">
        <v>2005</v>
      </c>
      <c r="O27" s="249" t="s">
        <v>1009</v>
      </c>
      <c r="P27" s="249" t="s">
        <v>1009</v>
      </c>
      <c r="Q27" s="221" t="s">
        <v>2567</v>
      </c>
      <c r="R27" s="221"/>
      <c r="S27" s="221"/>
    </row>
    <row r="28" spans="1:19" ht="24" x14ac:dyDescent="0.25">
      <c r="A28" s="250" t="s">
        <v>1803</v>
      </c>
      <c r="B28" s="255" t="s">
        <v>2000</v>
      </c>
      <c r="C28" s="253" t="s">
        <v>1775</v>
      </c>
      <c r="D28" s="253" t="s">
        <v>1776</v>
      </c>
      <c r="E28" s="262" t="s">
        <v>1777</v>
      </c>
      <c r="F28" s="243" t="s">
        <v>30</v>
      </c>
      <c r="G28" s="244" t="s">
        <v>1759</v>
      </c>
      <c r="H28" s="250" t="s">
        <v>1761</v>
      </c>
      <c r="I28" s="250" t="s">
        <v>38</v>
      </c>
      <c r="J28" s="276" t="s">
        <v>1958</v>
      </c>
      <c r="K28" s="245">
        <v>46555</v>
      </c>
      <c r="L28" s="244" t="s">
        <v>38</v>
      </c>
      <c r="M28" s="244" t="s">
        <v>38</v>
      </c>
      <c r="N28" s="256" t="s">
        <v>1958</v>
      </c>
      <c r="O28" s="249" t="s">
        <v>1009</v>
      </c>
      <c r="P28" s="249" t="s">
        <v>1009</v>
      </c>
      <c r="Q28" s="221" t="s">
        <v>2567</v>
      </c>
      <c r="R28" s="221"/>
      <c r="S28" s="221"/>
    </row>
    <row r="29" spans="1:19" x14ac:dyDescent="0.25">
      <c r="A29" s="250" t="s">
        <v>1803</v>
      </c>
      <c r="B29" s="255" t="s">
        <v>1533</v>
      </c>
      <c r="C29" s="251" t="s">
        <v>1805</v>
      </c>
      <c r="D29" s="251" t="s">
        <v>2635</v>
      </c>
      <c r="E29" s="262" t="s">
        <v>1806</v>
      </c>
      <c r="F29" s="243" t="s">
        <v>934</v>
      </c>
      <c r="G29" s="244" t="s">
        <v>1759</v>
      </c>
      <c r="H29" s="250" t="s">
        <v>1761</v>
      </c>
      <c r="I29" s="250" t="s">
        <v>38</v>
      </c>
      <c r="J29" s="276" t="s">
        <v>1958</v>
      </c>
      <c r="K29" s="245">
        <v>46557</v>
      </c>
      <c r="L29" s="244" t="s">
        <v>38</v>
      </c>
      <c r="M29" s="244" t="s">
        <v>38</v>
      </c>
      <c r="N29" s="269">
        <v>45925</v>
      </c>
      <c r="O29" s="249" t="s">
        <v>1009</v>
      </c>
      <c r="P29" s="249" t="s">
        <v>1009</v>
      </c>
      <c r="Q29" s="221" t="s">
        <v>2567</v>
      </c>
      <c r="S29" s="221"/>
    </row>
    <row r="30" spans="1:19" s="221" customFormat="1" x14ac:dyDescent="0.25">
      <c r="A30" s="250" t="s">
        <v>1803</v>
      </c>
      <c r="B30" s="335" t="s">
        <v>2081</v>
      </c>
      <c r="C30" s="336" t="s">
        <v>2398</v>
      </c>
      <c r="D30" s="336" t="s">
        <v>2399</v>
      </c>
      <c r="E30" s="262" t="s">
        <v>2400</v>
      </c>
      <c r="F30" s="337" t="s">
        <v>30</v>
      </c>
      <c r="G30" s="338" t="s">
        <v>1759</v>
      </c>
      <c r="H30" s="288" t="s">
        <v>1766</v>
      </c>
      <c r="I30" s="276" t="s">
        <v>1958</v>
      </c>
      <c r="J30" s="276" t="s">
        <v>1958</v>
      </c>
      <c r="K30" s="245">
        <v>46562</v>
      </c>
      <c r="L30" s="244" t="s">
        <v>38</v>
      </c>
      <c r="M30" s="244" t="s">
        <v>38</v>
      </c>
      <c r="N30" s="256" t="s">
        <v>1958</v>
      </c>
      <c r="O30" s="249" t="s">
        <v>1009</v>
      </c>
      <c r="P30" s="249" t="s">
        <v>1009</v>
      </c>
      <c r="Q30" s="221" t="s">
        <v>2567</v>
      </c>
    </row>
    <row r="31" spans="1:19" x14ac:dyDescent="0.25">
      <c r="A31" s="250" t="s">
        <v>1803</v>
      </c>
      <c r="B31" s="268" t="s">
        <v>1826</v>
      </c>
      <c r="C31" s="251" t="s">
        <v>1873</v>
      </c>
      <c r="D31" s="251">
        <v>8111546190</v>
      </c>
      <c r="E31" s="262" t="s">
        <v>1872</v>
      </c>
      <c r="F31" s="251" t="s">
        <v>657</v>
      </c>
      <c r="G31" s="250" t="s">
        <v>1760</v>
      </c>
      <c r="H31" s="250" t="s">
        <v>1761</v>
      </c>
      <c r="I31" s="250" t="s">
        <v>38</v>
      </c>
      <c r="J31" s="276" t="s">
        <v>1958</v>
      </c>
      <c r="K31" s="245">
        <v>46575</v>
      </c>
      <c r="L31" s="244" t="s">
        <v>38</v>
      </c>
      <c r="M31" s="244" t="s">
        <v>38</v>
      </c>
      <c r="N31" s="246" t="s">
        <v>1958</v>
      </c>
      <c r="O31" s="249" t="s">
        <v>2565</v>
      </c>
      <c r="P31" s="249" t="s">
        <v>1906</v>
      </c>
      <c r="Q31" s="221" t="s">
        <v>2567</v>
      </c>
    </row>
    <row r="32" spans="1:19" s="221" customFormat="1" x14ac:dyDescent="0.25">
      <c r="A32" s="257" t="s">
        <v>2045</v>
      </c>
      <c r="B32" s="268" t="s">
        <v>2522</v>
      </c>
      <c r="C32" s="251" t="s">
        <v>2523</v>
      </c>
      <c r="D32" s="251"/>
      <c r="E32" s="261" t="s">
        <v>2524</v>
      </c>
      <c r="F32" s="251" t="s">
        <v>934</v>
      </c>
      <c r="G32" s="250" t="s">
        <v>1759</v>
      </c>
      <c r="H32" s="288" t="s">
        <v>1766</v>
      </c>
      <c r="I32" s="267"/>
      <c r="J32" s="276" t="s">
        <v>1958</v>
      </c>
      <c r="K32" s="275">
        <v>46579</v>
      </c>
      <c r="L32" s="276" t="s">
        <v>1958</v>
      </c>
      <c r="M32" s="275">
        <v>46549</v>
      </c>
      <c r="N32" s="269" t="s">
        <v>1958</v>
      </c>
      <c r="O32" s="302"/>
      <c r="P32" s="314"/>
      <c r="Q32" s="314"/>
      <c r="R32" s="247"/>
      <c r="S32" s="247"/>
    </row>
    <row r="33" spans="1:19" s="221" customFormat="1" x14ac:dyDescent="0.25">
      <c r="A33" s="339" t="s">
        <v>1803</v>
      </c>
      <c r="B33" s="340" t="s">
        <v>1943</v>
      </c>
      <c r="C33" s="336" t="s">
        <v>2161</v>
      </c>
      <c r="D33" s="341" t="s">
        <v>2162</v>
      </c>
      <c r="E33" s="262" t="s">
        <v>2289</v>
      </c>
      <c r="F33" s="337" t="s">
        <v>30</v>
      </c>
      <c r="G33" s="338" t="s">
        <v>1759</v>
      </c>
      <c r="H33" s="250" t="s">
        <v>1761</v>
      </c>
      <c r="I33" s="250" t="s">
        <v>38</v>
      </c>
      <c r="J33" s="276" t="s">
        <v>1958</v>
      </c>
      <c r="K33" s="342">
        <v>46587</v>
      </c>
      <c r="L33" s="276" t="s">
        <v>1958</v>
      </c>
      <c r="M33" s="342">
        <v>46544</v>
      </c>
      <c r="N33" s="343" t="s">
        <v>1958</v>
      </c>
      <c r="O33" s="249" t="s">
        <v>2565</v>
      </c>
      <c r="P33" s="249" t="s">
        <v>1009</v>
      </c>
      <c r="Q33" s="323" t="s">
        <v>2564</v>
      </c>
    </row>
    <row r="34" spans="1:19" s="221" customFormat="1" ht="24" x14ac:dyDescent="0.25">
      <c r="A34" s="250" t="s">
        <v>1803</v>
      </c>
      <c r="B34" s="268" t="s">
        <v>2191</v>
      </c>
      <c r="C34" s="251" t="s">
        <v>2192</v>
      </c>
      <c r="D34" s="251" t="s">
        <v>2193</v>
      </c>
      <c r="E34" s="262" t="s">
        <v>2194</v>
      </c>
      <c r="F34" s="251" t="s">
        <v>2195</v>
      </c>
      <c r="G34" s="250" t="s">
        <v>1759</v>
      </c>
      <c r="H34" s="250" t="s">
        <v>1761</v>
      </c>
      <c r="I34" s="250" t="s">
        <v>38</v>
      </c>
      <c r="J34" s="276" t="s">
        <v>1958</v>
      </c>
      <c r="K34" s="252">
        <v>46603</v>
      </c>
      <c r="L34" s="244" t="s">
        <v>38</v>
      </c>
      <c r="M34" s="244" t="s">
        <v>38</v>
      </c>
      <c r="N34" s="269" t="s">
        <v>1958</v>
      </c>
      <c r="O34" s="249" t="s">
        <v>1009</v>
      </c>
      <c r="P34" s="249" t="s">
        <v>1009</v>
      </c>
      <c r="Q34" s="221" t="s">
        <v>2567</v>
      </c>
      <c r="R34" s="247"/>
    </row>
    <row r="35" spans="1:19" s="221" customFormat="1" ht="24" x14ac:dyDescent="0.25">
      <c r="A35" s="250" t="s">
        <v>1803</v>
      </c>
      <c r="B35" s="255" t="s">
        <v>1861</v>
      </c>
      <c r="C35" s="251" t="s">
        <v>1813</v>
      </c>
      <c r="D35" s="253" t="s">
        <v>2636</v>
      </c>
      <c r="E35" s="262" t="s">
        <v>2296</v>
      </c>
      <c r="F35" s="243" t="s">
        <v>657</v>
      </c>
      <c r="G35" s="244" t="s">
        <v>1759</v>
      </c>
      <c r="H35" s="250" t="s">
        <v>1761</v>
      </c>
      <c r="I35" s="250" t="s">
        <v>38</v>
      </c>
      <c r="J35" s="276" t="s">
        <v>1958</v>
      </c>
      <c r="K35" s="245">
        <v>46611</v>
      </c>
      <c r="L35" s="276" t="s">
        <v>1958</v>
      </c>
      <c r="M35" s="245">
        <v>46639</v>
      </c>
      <c r="N35" s="246" t="s">
        <v>1958</v>
      </c>
      <c r="O35" s="249" t="s">
        <v>2565</v>
      </c>
      <c r="P35" s="249" t="s">
        <v>1009</v>
      </c>
      <c r="Q35" s="323" t="s">
        <v>2564</v>
      </c>
      <c r="R35" s="247"/>
      <c r="S35" s="247"/>
    </row>
    <row r="36" spans="1:19" s="221" customFormat="1" x14ac:dyDescent="0.25">
      <c r="A36" s="250" t="s">
        <v>1803</v>
      </c>
      <c r="B36" s="268" t="s">
        <v>2149</v>
      </c>
      <c r="C36" s="251" t="s">
        <v>2150</v>
      </c>
      <c r="D36" s="251" t="s">
        <v>2151</v>
      </c>
      <c r="E36" s="262" t="s">
        <v>2282</v>
      </c>
      <c r="F36" s="251" t="s">
        <v>934</v>
      </c>
      <c r="G36" s="250" t="s">
        <v>1759</v>
      </c>
      <c r="H36" s="250" t="s">
        <v>1761</v>
      </c>
      <c r="I36" s="250" t="s">
        <v>38</v>
      </c>
      <c r="J36" s="276" t="s">
        <v>1958</v>
      </c>
      <c r="K36" s="252">
        <v>46637</v>
      </c>
      <c r="L36" s="276" t="s">
        <v>1958</v>
      </c>
      <c r="M36" s="252">
        <v>46624</v>
      </c>
      <c r="N36" s="246" t="s">
        <v>1958</v>
      </c>
      <c r="O36" s="249" t="s">
        <v>1009</v>
      </c>
      <c r="P36" s="249" t="s">
        <v>1009</v>
      </c>
      <c r="Q36" s="221" t="s">
        <v>2567</v>
      </c>
    </row>
    <row r="37" spans="1:19" s="221" customFormat="1" x14ac:dyDescent="0.25">
      <c r="A37" s="250" t="s">
        <v>1803</v>
      </c>
      <c r="B37" s="255" t="s">
        <v>1075</v>
      </c>
      <c r="C37" s="251" t="s">
        <v>2141</v>
      </c>
      <c r="D37" s="251" t="s">
        <v>1764</v>
      </c>
      <c r="E37" s="262" t="s">
        <v>1765</v>
      </c>
      <c r="F37" s="243" t="s">
        <v>934</v>
      </c>
      <c r="G37" s="244" t="s">
        <v>1759</v>
      </c>
      <c r="H37" s="250" t="s">
        <v>1761</v>
      </c>
      <c r="I37" s="250" t="s">
        <v>38</v>
      </c>
      <c r="J37" s="276" t="s">
        <v>1958</v>
      </c>
      <c r="K37" s="245">
        <v>46643</v>
      </c>
      <c r="L37" s="276" t="s">
        <v>1958</v>
      </c>
      <c r="M37" s="245">
        <v>46736</v>
      </c>
      <c r="N37" s="269">
        <v>45908</v>
      </c>
      <c r="O37" s="249" t="s">
        <v>2565</v>
      </c>
      <c r="P37" s="249" t="s">
        <v>38</v>
      </c>
      <c r="Q37" s="323" t="s">
        <v>2564</v>
      </c>
      <c r="S37" s="247"/>
    </row>
    <row r="38" spans="1:19" x14ac:dyDescent="0.25">
      <c r="A38" s="259" t="s">
        <v>1803</v>
      </c>
      <c r="B38" s="268" t="s">
        <v>2067</v>
      </c>
      <c r="C38" s="251" t="s">
        <v>2068</v>
      </c>
      <c r="D38" s="251" t="s">
        <v>2069</v>
      </c>
      <c r="E38" s="262" t="s">
        <v>2070</v>
      </c>
      <c r="F38" s="251" t="s">
        <v>657</v>
      </c>
      <c r="G38" s="250" t="s">
        <v>1759</v>
      </c>
      <c r="H38" s="250" t="s">
        <v>1761</v>
      </c>
      <c r="I38" s="250" t="s">
        <v>38</v>
      </c>
      <c r="J38" s="276" t="s">
        <v>1958</v>
      </c>
      <c r="K38" s="245">
        <v>46644</v>
      </c>
      <c r="L38" s="245" t="s">
        <v>38</v>
      </c>
      <c r="M38" s="245" t="s">
        <v>38</v>
      </c>
      <c r="N38" s="256" t="s">
        <v>1958</v>
      </c>
      <c r="O38" s="249" t="s">
        <v>1009</v>
      </c>
      <c r="P38" s="249" t="s">
        <v>1009</v>
      </c>
      <c r="Q38" s="221" t="s">
        <v>2567</v>
      </c>
      <c r="R38" s="221"/>
      <c r="S38" s="221"/>
    </row>
    <row r="39" spans="1:19" s="221" customFormat="1" ht="24" x14ac:dyDescent="0.25">
      <c r="A39" s="250" t="s">
        <v>1803</v>
      </c>
      <c r="B39" s="255" t="s">
        <v>1707</v>
      </c>
      <c r="C39" s="255" t="s">
        <v>2140</v>
      </c>
      <c r="D39" s="253" t="s">
        <v>2637</v>
      </c>
      <c r="E39" s="262" t="s">
        <v>1745</v>
      </c>
      <c r="F39" s="243" t="s">
        <v>956</v>
      </c>
      <c r="G39" s="244" t="s">
        <v>1760</v>
      </c>
      <c r="H39" s="250" t="s">
        <v>1761</v>
      </c>
      <c r="I39" s="250" t="s">
        <v>38</v>
      </c>
      <c r="J39" s="276" t="s">
        <v>1958</v>
      </c>
      <c r="K39" s="245">
        <v>46677</v>
      </c>
      <c r="L39" s="276" t="s">
        <v>1958</v>
      </c>
      <c r="M39" s="245">
        <v>46677</v>
      </c>
      <c r="N39" s="246" t="s">
        <v>1958</v>
      </c>
      <c r="O39" s="249" t="s">
        <v>1009</v>
      </c>
      <c r="P39" s="249" t="s">
        <v>1009</v>
      </c>
      <c r="Q39" s="221" t="s">
        <v>2567</v>
      </c>
      <c r="R39" s="247"/>
    </row>
    <row r="40" spans="1:19" x14ac:dyDescent="0.25">
      <c r="A40" s="259" t="s">
        <v>1803</v>
      </c>
      <c r="B40" s="268" t="s">
        <v>2015</v>
      </c>
      <c r="C40" s="251" t="s">
        <v>2064</v>
      </c>
      <c r="D40" s="251" t="s">
        <v>2065</v>
      </c>
      <c r="E40" s="262" t="s">
        <v>2066</v>
      </c>
      <c r="F40" s="251" t="s">
        <v>30</v>
      </c>
      <c r="G40" s="250" t="s">
        <v>1759</v>
      </c>
      <c r="H40" s="250" t="s">
        <v>1761</v>
      </c>
      <c r="I40" s="250" t="s">
        <v>38</v>
      </c>
      <c r="J40" s="276" t="s">
        <v>1958</v>
      </c>
      <c r="K40" s="245">
        <v>46693</v>
      </c>
      <c r="L40" s="244" t="s">
        <v>38</v>
      </c>
      <c r="M40" s="244" t="s">
        <v>38</v>
      </c>
      <c r="N40" s="254" t="s">
        <v>2005</v>
      </c>
      <c r="O40" s="249" t="s">
        <v>1009</v>
      </c>
      <c r="P40" s="249" t="s">
        <v>1009</v>
      </c>
      <c r="Q40" s="221" t="s">
        <v>2567</v>
      </c>
    </row>
    <row r="41" spans="1:19" s="221" customFormat="1" x14ac:dyDescent="0.25">
      <c r="A41" s="250" t="s">
        <v>1803</v>
      </c>
      <c r="B41" s="255" t="s">
        <v>164</v>
      </c>
      <c r="C41" s="243" t="s">
        <v>1737</v>
      </c>
      <c r="D41" s="251" t="s">
        <v>2638</v>
      </c>
      <c r="E41" s="262" t="s">
        <v>1576</v>
      </c>
      <c r="F41" s="243" t="s">
        <v>30</v>
      </c>
      <c r="G41" s="244" t="s">
        <v>1759</v>
      </c>
      <c r="H41" s="250" t="s">
        <v>1761</v>
      </c>
      <c r="I41" s="250" t="s">
        <v>38</v>
      </c>
      <c r="J41" s="276" t="s">
        <v>1958</v>
      </c>
      <c r="K41" s="245">
        <v>46704</v>
      </c>
      <c r="L41" s="276" t="s">
        <v>1958</v>
      </c>
      <c r="M41" s="245">
        <v>46409</v>
      </c>
      <c r="N41" s="246" t="s">
        <v>1958</v>
      </c>
      <c r="O41" s="249" t="s">
        <v>2566</v>
      </c>
      <c r="P41" s="249" t="s">
        <v>1009</v>
      </c>
      <c r="Q41" s="221" t="s">
        <v>2567</v>
      </c>
    </row>
    <row r="42" spans="1:19" s="221" customFormat="1" ht="24" x14ac:dyDescent="0.25">
      <c r="A42" s="250" t="s">
        <v>1803</v>
      </c>
      <c r="B42" s="268" t="s">
        <v>2313</v>
      </c>
      <c r="C42" s="251" t="s">
        <v>2314</v>
      </c>
      <c r="D42" s="251" t="s">
        <v>2639</v>
      </c>
      <c r="E42" s="261" t="s">
        <v>2315</v>
      </c>
      <c r="F42" s="251" t="s">
        <v>956</v>
      </c>
      <c r="G42" s="250" t="s">
        <v>1760</v>
      </c>
      <c r="H42" s="250" t="s">
        <v>1761</v>
      </c>
      <c r="I42" s="250" t="s">
        <v>38</v>
      </c>
      <c r="J42" s="276" t="s">
        <v>1958</v>
      </c>
      <c r="K42" s="245">
        <v>46707</v>
      </c>
      <c r="L42" s="244" t="s">
        <v>38</v>
      </c>
      <c r="M42" s="244" t="s">
        <v>38</v>
      </c>
      <c r="N42" s="269" t="s">
        <v>1958</v>
      </c>
      <c r="O42" s="249" t="s">
        <v>1009</v>
      </c>
      <c r="P42" s="249" t="s">
        <v>1009</v>
      </c>
      <c r="Q42" s="221" t="s">
        <v>2567</v>
      </c>
      <c r="R42" s="247"/>
      <c r="S42" s="247"/>
    </row>
    <row r="43" spans="1:19" s="221" customFormat="1" x14ac:dyDescent="0.25">
      <c r="A43" s="250" t="s">
        <v>1803</v>
      </c>
      <c r="B43" s="255" t="s">
        <v>1685</v>
      </c>
      <c r="C43" s="243" t="s">
        <v>2601</v>
      </c>
      <c r="D43" s="251" t="s">
        <v>2035</v>
      </c>
      <c r="E43" s="262" t="s">
        <v>2034</v>
      </c>
      <c r="F43" s="243" t="s">
        <v>30</v>
      </c>
      <c r="G43" s="244" t="s">
        <v>1759</v>
      </c>
      <c r="H43" s="250" t="s">
        <v>1761</v>
      </c>
      <c r="I43" s="250" t="s">
        <v>38</v>
      </c>
      <c r="J43" s="276" t="s">
        <v>1958</v>
      </c>
      <c r="K43" s="245">
        <v>46715</v>
      </c>
      <c r="L43" s="276" t="s">
        <v>1958</v>
      </c>
      <c r="M43" s="245">
        <v>46715</v>
      </c>
      <c r="N43" s="256" t="s">
        <v>1958</v>
      </c>
      <c r="O43" s="249" t="s">
        <v>2566</v>
      </c>
      <c r="P43" s="249" t="s">
        <v>1009</v>
      </c>
      <c r="Q43" s="221" t="s">
        <v>2567</v>
      </c>
    </row>
    <row r="44" spans="1:19" x14ac:dyDescent="0.25">
      <c r="A44" s="250" t="s">
        <v>1803</v>
      </c>
      <c r="B44" s="268" t="s">
        <v>1910</v>
      </c>
      <c r="C44" s="243" t="s">
        <v>1953</v>
      </c>
      <c r="E44" s="262" t="s">
        <v>2297</v>
      </c>
      <c r="F44" s="251" t="s">
        <v>934</v>
      </c>
      <c r="G44" s="250" t="s">
        <v>1759</v>
      </c>
      <c r="H44" s="288" t="s">
        <v>1766</v>
      </c>
      <c r="I44" s="276" t="s">
        <v>1958</v>
      </c>
      <c r="J44" s="276" t="s">
        <v>1958</v>
      </c>
      <c r="K44" s="252">
        <v>46715</v>
      </c>
      <c r="L44" s="250" t="s">
        <v>38</v>
      </c>
      <c r="M44" s="250" t="s">
        <v>38</v>
      </c>
      <c r="N44" s="246" t="s">
        <v>1958</v>
      </c>
      <c r="O44" s="249" t="s">
        <v>1009</v>
      </c>
      <c r="P44" s="249" t="s">
        <v>1009</v>
      </c>
      <c r="Q44" s="221" t="s">
        <v>2567</v>
      </c>
    </row>
    <row r="45" spans="1:19" ht="24" x14ac:dyDescent="0.25">
      <c r="A45" s="250" t="s">
        <v>1803</v>
      </c>
      <c r="B45" s="268" t="s">
        <v>2132</v>
      </c>
      <c r="C45" s="253" t="s">
        <v>2174</v>
      </c>
      <c r="D45" s="253" t="s">
        <v>2176</v>
      </c>
      <c r="E45" s="262" t="s">
        <v>2175</v>
      </c>
      <c r="F45" s="251" t="s">
        <v>657</v>
      </c>
      <c r="G45" s="250" t="s">
        <v>1759</v>
      </c>
      <c r="H45" s="250" t="s">
        <v>1761</v>
      </c>
      <c r="I45" s="250" t="s">
        <v>38</v>
      </c>
      <c r="J45" s="276" t="s">
        <v>1958</v>
      </c>
      <c r="K45" s="252">
        <v>46718</v>
      </c>
      <c r="L45" s="250" t="s">
        <v>38</v>
      </c>
      <c r="M45" s="250" t="s">
        <v>38</v>
      </c>
      <c r="N45" s="246" t="s">
        <v>1958</v>
      </c>
      <c r="O45" s="249" t="s">
        <v>1009</v>
      </c>
      <c r="P45" s="249" t="s">
        <v>1009</v>
      </c>
      <c r="Q45" s="221" t="s">
        <v>2567</v>
      </c>
      <c r="R45" s="221"/>
      <c r="S45" s="221"/>
    </row>
    <row r="46" spans="1:19" s="221" customFormat="1" x14ac:dyDescent="0.25">
      <c r="A46" s="250" t="s">
        <v>1803</v>
      </c>
      <c r="B46" s="255" t="s">
        <v>976</v>
      </c>
      <c r="C46" s="251" t="s">
        <v>2143</v>
      </c>
      <c r="D46" s="251" t="s">
        <v>1750</v>
      </c>
      <c r="E46" s="262" t="s">
        <v>1749</v>
      </c>
      <c r="F46" s="243" t="s">
        <v>934</v>
      </c>
      <c r="G46" s="244" t="s">
        <v>1759</v>
      </c>
      <c r="H46" s="250" t="s">
        <v>1761</v>
      </c>
      <c r="I46" s="250" t="s">
        <v>38</v>
      </c>
      <c r="J46" s="276" t="s">
        <v>1958</v>
      </c>
      <c r="K46" s="245">
        <v>46730</v>
      </c>
      <c r="L46" s="276" t="s">
        <v>1958</v>
      </c>
      <c r="M46" s="245">
        <v>46730</v>
      </c>
      <c r="N46" s="256" t="s">
        <v>1958</v>
      </c>
      <c r="O46" s="249" t="s">
        <v>1009</v>
      </c>
      <c r="P46" s="249" t="s">
        <v>1009</v>
      </c>
      <c r="Q46" s="221" t="s">
        <v>2567</v>
      </c>
      <c r="R46" s="247"/>
    </row>
    <row r="47" spans="1:19" s="221" customFormat="1" x14ac:dyDescent="0.25">
      <c r="A47" s="250" t="s">
        <v>1803</v>
      </c>
      <c r="B47" s="268" t="s">
        <v>1231</v>
      </c>
      <c r="C47" s="251" t="s">
        <v>2477</v>
      </c>
      <c r="D47" s="253" t="s">
        <v>2640</v>
      </c>
      <c r="E47" s="262" t="s">
        <v>2478</v>
      </c>
      <c r="F47" s="243" t="s">
        <v>1211</v>
      </c>
      <c r="G47" s="250" t="s">
        <v>1760</v>
      </c>
      <c r="H47" s="250" t="s">
        <v>1761</v>
      </c>
      <c r="I47" s="250" t="s">
        <v>38</v>
      </c>
      <c r="J47" s="276" t="s">
        <v>1958</v>
      </c>
      <c r="K47" s="252">
        <v>46737</v>
      </c>
      <c r="L47" s="244" t="s">
        <v>38</v>
      </c>
      <c r="M47" s="244" t="s">
        <v>38</v>
      </c>
      <c r="N47" s="260"/>
      <c r="O47" s="249" t="s">
        <v>2565</v>
      </c>
      <c r="P47" s="249" t="s">
        <v>1906</v>
      </c>
      <c r="Q47" s="221" t="s">
        <v>2567</v>
      </c>
      <c r="R47" s="247"/>
      <c r="S47" s="247"/>
    </row>
    <row r="48" spans="1:19" s="221" customFormat="1" x14ac:dyDescent="0.25">
      <c r="A48" s="250" t="s">
        <v>1803</v>
      </c>
      <c r="B48" s="268" t="s">
        <v>1503</v>
      </c>
      <c r="C48" s="251" t="s">
        <v>2180</v>
      </c>
      <c r="D48" s="253" t="s">
        <v>2641</v>
      </c>
      <c r="E48" s="262" t="s">
        <v>2181</v>
      </c>
      <c r="F48" s="251" t="s">
        <v>657</v>
      </c>
      <c r="G48" s="250" t="s">
        <v>1759</v>
      </c>
      <c r="H48" s="250" t="s">
        <v>1761</v>
      </c>
      <c r="I48" s="250" t="s">
        <v>38</v>
      </c>
      <c r="J48" s="276" t="s">
        <v>1958</v>
      </c>
      <c r="K48" s="245">
        <v>46775</v>
      </c>
      <c r="L48" s="244" t="s">
        <v>38</v>
      </c>
      <c r="M48" s="244" t="s">
        <v>38</v>
      </c>
      <c r="N48" s="269" t="s">
        <v>1958</v>
      </c>
      <c r="O48" s="249" t="s">
        <v>1009</v>
      </c>
      <c r="P48" s="249" t="s">
        <v>1009</v>
      </c>
      <c r="Q48" s="221" t="s">
        <v>2567</v>
      </c>
      <c r="R48" s="247"/>
      <c r="S48" s="247"/>
    </row>
    <row r="49" spans="1:19" x14ac:dyDescent="0.25">
      <c r="A49" s="250" t="s">
        <v>1803</v>
      </c>
      <c r="B49" s="255" t="s">
        <v>283</v>
      </c>
      <c r="C49" s="251" t="s">
        <v>1669</v>
      </c>
      <c r="D49" s="251" t="s">
        <v>286</v>
      </c>
      <c r="E49" s="262" t="s">
        <v>1668</v>
      </c>
      <c r="F49" s="243" t="s">
        <v>30</v>
      </c>
      <c r="G49" s="244" t="s">
        <v>1759</v>
      </c>
      <c r="H49" s="250" t="s">
        <v>1761</v>
      </c>
      <c r="I49" s="250" t="s">
        <v>38</v>
      </c>
      <c r="J49" s="276" t="s">
        <v>1958</v>
      </c>
      <c r="K49" s="245">
        <v>46787</v>
      </c>
      <c r="L49" s="244" t="s">
        <v>38</v>
      </c>
      <c r="M49" s="244" t="s">
        <v>38</v>
      </c>
      <c r="N49" s="246" t="s">
        <v>1958</v>
      </c>
      <c r="O49" s="249" t="s">
        <v>1009</v>
      </c>
      <c r="P49" s="249" t="s">
        <v>1009</v>
      </c>
      <c r="Q49" s="221" t="s">
        <v>2567</v>
      </c>
    </row>
    <row r="50" spans="1:19" s="221" customFormat="1" x14ac:dyDescent="0.25">
      <c r="A50" s="250" t="s">
        <v>1803</v>
      </c>
      <c r="B50" s="255" t="s">
        <v>1797</v>
      </c>
      <c r="C50" s="243" t="s">
        <v>2144</v>
      </c>
      <c r="D50" s="251" t="s">
        <v>1747</v>
      </c>
      <c r="E50" s="262" t="s">
        <v>1746</v>
      </c>
      <c r="F50" s="243" t="s">
        <v>30</v>
      </c>
      <c r="G50" s="244" t="s">
        <v>1759</v>
      </c>
      <c r="H50" s="250" t="s">
        <v>1761</v>
      </c>
      <c r="I50" s="250" t="s">
        <v>38</v>
      </c>
      <c r="J50" s="276" t="s">
        <v>1958</v>
      </c>
      <c r="K50" s="245">
        <v>46811</v>
      </c>
      <c r="L50" s="244" t="s">
        <v>38</v>
      </c>
      <c r="M50" s="244" t="s">
        <v>38</v>
      </c>
      <c r="N50" s="246" t="s">
        <v>1958</v>
      </c>
      <c r="O50" s="249" t="s">
        <v>1009</v>
      </c>
      <c r="P50" s="249" t="s">
        <v>1009</v>
      </c>
      <c r="Q50" s="221" t="s">
        <v>2567</v>
      </c>
    </row>
    <row r="51" spans="1:19" ht="24" x14ac:dyDescent="0.25">
      <c r="A51" s="250" t="s">
        <v>1803</v>
      </c>
      <c r="B51" s="268" t="s">
        <v>1863</v>
      </c>
      <c r="C51" s="251" t="s">
        <v>1874</v>
      </c>
      <c r="D51" s="344" t="s">
        <v>2642</v>
      </c>
      <c r="E51" s="262" t="s">
        <v>1975</v>
      </c>
      <c r="F51" s="251" t="s">
        <v>30</v>
      </c>
      <c r="G51" s="250" t="s">
        <v>1759</v>
      </c>
      <c r="H51" s="250" t="s">
        <v>1761</v>
      </c>
      <c r="I51" s="250" t="s">
        <v>38</v>
      </c>
      <c r="J51" s="276" t="s">
        <v>1958</v>
      </c>
      <c r="K51" s="252">
        <v>46816</v>
      </c>
      <c r="L51" s="276" t="s">
        <v>1958</v>
      </c>
      <c r="M51" s="252">
        <v>46840</v>
      </c>
      <c r="N51" s="246" t="s">
        <v>1958</v>
      </c>
      <c r="O51" s="249" t="s">
        <v>2566</v>
      </c>
      <c r="P51" s="249" t="s">
        <v>1009</v>
      </c>
      <c r="Q51" s="221" t="s">
        <v>2567</v>
      </c>
      <c r="R51" s="221"/>
    </row>
    <row r="52" spans="1:19" s="221" customFormat="1" x14ac:dyDescent="0.25">
      <c r="A52" s="250" t="s">
        <v>1803</v>
      </c>
      <c r="B52" s="268" t="s">
        <v>1956</v>
      </c>
      <c r="C52" s="253" t="s">
        <v>2136</v>
      </c>
      <c r="D52" s="251" t="s">
        <v>2643</v>
      </c>
      <c r="E52" s="262" t="s">
        <v>2280</v>
      </c>
      <c r="F52" s="243" t="s">
        <v>30</v>
      </c>
      <c r="G52" s="244" t="s">
        <v>1759</v>
      </c>
      <c r="H52" s="250" t="s">
        <v>1761</v>
      </c>
      <c r="I52" s="250" t="s">
        <v>38</v>
      </c>
      <c r="J52" s="276" t="s">
        <v>1958</v>
      </c>
      <c r="K52" s="275">
        <v>46823</v>
      </c>
      <c r="L52" s="244" t="s">
        <v>38</v>
      </c>
      <c r="M52" s="244" t="s">
        <v>38</v>
      </c>
      <c r="N52" s="246" t="s">
        <v>1958</v>
      </c>
      <c r="O52" s="249" t="s">
        <v>2566</v>
      </c>
      <c r="P52" s="249" t="s">
        <v>1009</v>
      </c>
      <c r="Q52" s="221" t="s">
        <v>2567</v>
      </c>
    </row>
    <row r="53" spans="1:19" ht="24" x14ac:dyDescent="0.25">
      <c r="A53" s="250" t="s">
        <v>1803</v>
      </c>
      <c r="B53" s="268" t="s">
        <v>1981</v>
      </c>
      <c r="C53" s="251" t="s">
        <v>2177</v>
      </c>
      <c r="D53" s="251" t="s">
        <v>2179</v>
      </c>
      <c r="E53" s="262" t="s">
        <v>2178</v>
      </c>
      <c r="F53" s="251" t="s">
        <v>30</v>
      </c>
      <c r="G53" s="250" t="s">
        <v>1759</v>
      </c>
      <c r="H53" s="250" t="s">
        <v>1761</v>
      </c>
      <c r="I53" s="250" t="s">
        <v>38</v>
      </c>
      <c r="J53" s="276" t="s">
        <v>1958</v>
      </c>
      <c r="K53" s="252">
        <v>46823</v>
      </c>
      <c r="L53" s="244" t="s">
        <v>38</v>
      </c>
      <c r="M53" s="244" t="s">
        <v>38</v>
      </c>
      <c r="N53" s="269" t="s">
        <v>1958</v>
      </c>
      <c r="O53" s="249" t="s">
        <v>2565</v>
      </c>
      <c r="P53" s="249" t="s">
        <v>1009</v>
      </c>
      <c r="Q53" s="323" t="s">
        <v>2564</v>
      </c>
      <c r="R53" s="221"/>
    </row>
    <row r="54" spans="1:19" s="221" customFormat="1" ht="24" x14ac:dyDescent="0.25">
      <c r="A54" s="250" t="s">
        <v>1803</v>
      </c>
      <c r="B54" s="268" t="s">
        <v>1982</v>
      </c>
      <c r="C54" s="251" t="s">
        <v>2177</v>
      </c>
      <c r="D54" s="251" t="s">
        <v>2179</v>
      </c>
      <c r="E54" s="262" t="s">
        <v>2178</v>
      </c>
      <c r="F54" s="251" t="s">
        <v>657</v>
      </c>
      <c r="G54" s="250" t="s">
        <v>1759</v>
      </c>
      <c r="H54" s="250" t="s">
        <v>1761</v>
      </c>
      <c r="I54" s="250" t="s">
        <v>38</v>
      </c>
      <c r="J54" s="276" t="s">
        <v>1958</v>
      </c>
      <c r="K54" s="252">
        <v>46823</v>
      </c>
      <c r="L54" s="244" t="s">
        <v>38</v>
      </c>
      <c r="M54" s="244" t="s">
        <v>38</v>
      </c>
      <c r="N54" s="269" t="s">
        <v>1958</v>
      </c>
      <c r="O54" s="249" t="s">
        <v>2565</v>
      </c>
      <c r="P54" s="249" t="s">
        <v>1009</v>
      </c>
      <c r="Q54" s="323" t="s">
        <v>2564</v>
      </c>
      <c r="R54" s="247"/>
      <c r="S54" s="247"/>
    </row>
    <row r="55" spans="1:19" s="221" customFormat="1" ht="24" x14ac:dyDescent="0.25">
      <c r="A55" s="250" t="s">
        <v>1803</v>
      </c>
      <c r="B55" s="255" t="s">
        <v>1748</v>
      </c>
      <c r="C55" s="253" t="s">
        <v>2692</v>
      </c>
      <c r="D55" s="253" t="s">
        <v>2644</v>
      </c>
      <c r="E55" s="262" t="s">
        <v>2693</v>
      </c>
      <c r="F55" s="243" t="s">
        <v>30</v>
      </c>
      <c r="G55" s="244" t="s">
        <v>1759</v>
      </c>
      <c r="H55" s="250" t="s">
        <v>1761</v>
      </c>
      <c r="I55" s="250" t="s">
        <v>38</v>
      </c>
      <c r="J55" s="276" t="s">
        <v>1958</v>
      </c>
      <c r="K55" s="245">
        <v>46871</v>
      </c>
      <c r="L55" s="244" t="s">
        <v>38</v>
      </c>
      <c r="M55" s="244" t="s">
        <v>38</v>
      </c>
      <c r="N55" s="256" t="s">
        <v>1958</v>
      </c>
      <c r="O55" s="249" t="s">
        <v>1009</v>
      </c>
      <c r="P55" s="249" t="s">
        <v>1009</v>
      </c>
      <c r="Q55" s="221" t="s">
        <v>2567</v>
      </c>
      <c r="R55" s="247"/>
      <c r="S55" s="247"/>
    </row>
    <row r="56" spans="1:19" x14ac:dyDescent="0.25">
      <c r="A56" s="257" t="s">
        <v>2045</v>
      </c>
      <c r="B56" s="268" t="s">
        <v>2607</v>
      </c>
      <c r="C56" s="251" t="s">
        <v>2613</v>
      </c>
      <c r="D56" s="251" t="s">
        <v>2651</v>
      </c>
      <c r="E56" s="261" t="s">
        <v>2614</v>
      </c>
      <c r="F56" s="243" t="s">
        <v>1211</v>
      </c>
      <c r="G56" s="250" t="s">
        <v>1760</v>
      </c>
      <c r="H56" s="250" t="s">
        <v>1761</v>
      </c>
      <c r="I56" s="250" t="s">
        <v>38</v>
      </c>
      <c r="J56" s="276" t="s">
        <v>1958</v>
      </c>
      <c r="K56" s="275">
        <v>46884</v>
      </c>
      <c r="L56" s="244" t="s">
        <v>38</v>
      </c>
      <c r="M56" s="244" t="s">
        <v>38</v>
      </c>
      <c r="N56" s="343" t="s">
        <v>1958</v>
      </c>
      <c r="O56" s="249" t="s">
        <v>2565</v>
      </c>
      <c r="P56" s="249" t="s">
        <v>1009</v>
      </c>
      <c r="Q56" s="323" t="s">
        <v>2564</v>
      </c>
      <c r="S56" s="221"/>
    </row>
    <row r="57" spans="1:19" s="221" customFormat="1" x14ac:dyDescent="0.25">
      <c r="A57" s="250" t="s">
        <v>1803</v>
      </c>
      <c r="B57" s="268" t="s">
        <v>2428</v>
      </c>
      <c r="C57" s="251" t="s">
        <v>2429</v>
      </c>
      <c r="D57" s="251" t="s">
        <v>2431</v>
      </c>
      <c r="E57" s="261" t="s">
        <v>2430</v>
      </c>
      <c r="F57" s="243" t="s">
        <v>657</v>
      </c>
      <c r="G57" s="244" t="s">
        <v>1759</v>
      </c>
      <c r="H57" s="250" t="s">
        <v>1761</v>
      </c>
      <c r="I57" s="250" t="s">
        <v>38</v>
      </c>
      <c r="J57" s="276" t="s">
        <v>1958</v>
      </c>
      <c r="K57" s="245">
        <v>46884</v>
      </c>
      <c r="L57" s="276" t="s">
        <v>1958</v>
      </c>
      <c r="M57" s="245">
        <v>46884</v>
      </c>
      <c r="N57" s="343" t="s">
        <v>1958</v>
      </c>
      <c r="O57" s="249" t="s">
        <v>1009</v>
      </c>
      <c r="P57" s="249" t="s">
        <v>1009</v>
      </c>
      <c r="Q57" s="221" t="s">
        <v>2567</v>
      </c>
      <c r="R57" s="247"/>
      <c r="S57" s="247"/>
    </row>
    <row r="58" spans="1:19" s="221" customFormat="1" x14ac:dyDescent="0.25">
      <c r="A58" s="257" t="s">
        <v>2045</v>
      </c>
      <c r="B58" s="332" t="s">
        <v>2505</v>
      </c>
      <c r="C58" s="251" t="s">
        <v>2526</v>
      </c>
      <c r="D58" s="253" t="s">
        <v>2645</v>
      </c>
      <c r="E58" s="262" t="s">
        <v>2527</v>
      </c>
      <c r="F58" s="251" t="s">
        <v>934</v>
      </c>
      <c r="G58" s="250" t="s">
        <v>1759</v>
      </c>
      <c r="H58" s="250" t="s">
        <v>1761</v>
      </c>
      <c r="I58" s="250" t="s">
        <v>38</v>
      </c>
      <c r="J58" s="276" t="s">
        <v>1958</v>
      </c>
      <c r="K58" s="275">
        <v>46901</v>
      </c>
      <c r="L58" s="244" t="s">
        <v>38</v>
      </c>
      <c r="M58" s="244" t="s">
        <v>38</v>
      </c>
      <c r="N58" s="343" t="s">
        <v>1958</v>
      </c>
      <c r="O58" s="249" t="s">
        <v>1009</v>
      </c>
      <c r="P58" s="249" t="s">
        <v>1009</v>
      </c>
      <c r="Q58" s="221" t="s">
        <v>2567</v>
      </c>
    </row>
    <row r="59" spans="1:19" s="221" customFormat="1" ht="24" x14ac:dyDescent="0.25">
      <c r="A59" s="257" t="s">
        <v>2045</v>
      </c>
      <c r="B59" s="268" t="s">
        <v>2596</v>
      </c>
      <c r="C59" s="251" t="s">
        <v>2599</v>
      </c>
      <c r="D59" s="251" t="s">
        <v>2649</v>
      </c>
      <c r="E59" s="261" t="s">
        <v>2598</v>
      </c>
      <c r="F59" s="251" t="s">
        <v>934</v>
      </c>
      <c r="G59" s="250" t="s">
        <v>1759</v>
      </c>
      <c r="H59" s="250" t="s">
        <v>1761</v>
      </c>
      <c r="I59" s="250" t="s">
        <v>38</v>
      </c>
      <c r="J59" s="276" t="s">
        <v>1958</v>
      </c>
      <c r="K59" s="275">
        <v>46921</v>
      </c>
      <c r="L59" s="244" t="s">
        <v>38</v>
      </c>
      <c r="M59" s="244" t="s">
        <v>38</v>
      </c>
      <c r="N59" s="269">
        <v>46161</v>
      </c>
      <c r="O59" s="249" t="s">
        <v>2565</v>
      </c>
      <c r="P59" s="249" t="s">
        <v>1009</v>
      </c>
      <c r="Q59" s="323" t="s">
        <v>2564</v>
      </c>
      <c r="R59" s="247"/>
      <c r="S59" s="247"/>
    </row>
    <row r="60" spans="1:19" s="221" customFormat="1" ht="24" x14ac:dyDescent="0.25">
      <c r="A60" s="250" t="s">
        <v>1803</v>
      </c>
      <c r="B60" s="268" t="s">
        <v>2357</v>
      </c>
      <c r="C60" s="251" t="s">
        <v>2490</v>
      </c>
      <c r="D60" s="251" t="s">
        <v>2525</v>
      </c>
      <c r="E60" s="261" t="s">
        <v>2491</v>
      </c>
      <c r="F60" s="243" t="s">
        <v>30</v>
      </c>
      <c r="G60" s="244" t="s">
        <v>1759</v>
      </c>
      <c r="H60" s="250" t="s">
        <v>1761</v>
      </c>
      <c r="I60" s="250" t="s">
        <v>38</v>
      </c>
      <c r="J60" s="276" t="s">
        <v>1958</v>
      </c>
      <c r="K60" s="275">
        <v>46930</v>
      </c>
      <c r="L60" s="244" t="s">
        <v>38</v>
      </c>
      <c r="M60" s="244" t="s">
        <v>38</v>
      </c>
      <c r="N60" s="269" t="s">
        <v>1958</v>
      </c>
      <c r="O60" s="249" t="s">
        <v>2565</v>
      </c>
      <c r="P60" s="249" t="s">
        <v>1009</v>
      </c>
      <c r="Q60" s="323" t="s">
        <v>2564</v>
      </c>
      <c r="R60" s="247"/>
      <c r="S60" s="247"/>
    </row>
    <row r="61" spans="1:19" s="221" customFormat="1" x14ac:dyDescent="0.25">
      <c r="A61" s="259" t="s">
        <v>1803</v>
      </c>
      <c r="B61" s="268" t="s">
        <v>1360</v>
      </c>
      <c r="C61" s="251" t="s">
        <v>2124</v>
      </c>
      <c r="D61" s="251" t="s">
        <v>2125</v>
      </c>
      <c r="E61" s="262" t="s">
        <v>2123</v>
      </c>
      <c r="F61" s="251" t="s">
        <v>1229</v>
      </c>
      <c r="G61" s="250" t="s">
        <v>1760</v>
      </c>
      <c r="H61" s="250" t="s">
        <v>1761</v>
      </c>
      <c r="I61" s="250" t="s">
        <v>38</v>
      </c>
      <c r="J61" s="276" t="s">
        <v>1958</v>
      </c>
      <c r="K61" s="252">
        <v>46934</v>
      </c>
      <c r="L61" s="250" t="s">
        <v>38</v>
      </c>
      <c r="M61" s="250" t="s">
        <v>38</v>
      </c>
      <c r="N61" s="256" t="s">
        <v>1958</v>
      </c>
      <c r="O61" s="249" t="s">
        <v>2565</v>
      </c>
      <c r="P61" s="249" t="s">
        <v>1009</v>
      </c>
      <c r="Q61" s="323" t="s">
        <v>2564</v>
      </c>
      <c r="R61" s="247"/>
      <c r="S61" s="247"/>
    </row>
    <row r="62" spans="1:19" s="221" customFormat="1" x14ac:dyDescent="0.25">
      <c r="A62" s="250" t="s">
        <v>1803</v>
      </c>
      <c r="B62" s="268" t="s">
        <v>2046</v>
      </c>
      <c r="C62" s="251" t="s">
        <v>2047</v>
      </c>
      <c r="D62" s="251" t="s">
        <v>2048</v>
      </c>
      <c r="E62" s="262" t="s">
        <v>2287</v>
      </c>
      <c r="F62" s="243" t="s">
        <v>934</v>
      </c>
      <c r="G62" s="250" t="s">
        <v>1759</v>
      </c>
      <c r="H62" s="288" t="s">
        <v>1766</v>
      </c>
      <c r="I62" s="276" t="s">
        <v>1958</v>
      </c>
      <c r="J62" s="276" t="s">
        <v>1958</v>
      </c>
      <c r="K62" s="252">
        <v>46985</v>
      </c>
      <c r="L62" s="244" t="s">
        <v>38</v>
      </c>
      <c r="M62" s="244" t="s">
        <v>38</v>
      </c>
      <c r="N62" s="246" t="s">
        <v>1958</v>
      </c>
      <c r="O62" s="249" t="s">
        <v>1009</v>
      </c>
      <c r="P62" s="249" t="s">
        <v>1009</v>
      </c>
      <c r="Q62" s="221" t="s">
        <v>2567</v>
      </c>
      <c r="R62" s="247"/>
    </row>
    <row r="63" spans="1:19" ht="24" x14ac:dyDescent="0.25">
      <c r="A63" s="250" t="s">
        <v>1803</v>
      </c>
      <c r="B63" s="255" t="s">
        <v>1831</v>
      </c>
      <c r="C63" s="255" t="s">
        <v>2139</v>
      </c>
      <c r="D63" s="253" t="s">
        <v>2646</v>
      </c>
      <c r="E63" s="262" t="s">
        <v>1732</v>
      </c>
      <c r="F63" s="243" t="s">
        <v>30</v>
      </c>
      <c r="G63" s="244" t="s">
        <v>1759</v>
      </c>
      <c r="H63" s="250" t="s">
        <v>1761</v>
      </c>
      <c r="I63" s="250" t="s">
        <v>38</v>
      </c>
      <c r="J63" s="276" t="s">
        <v>1958</v>
      </c>
      <c r="K63" s="275">
        <v>47010</v>
      </c>
      <c r="L63" s="244" t="s">
        <v>38</v>
      </c>
      <c r="M63" s="244" t="s">
        <v>38</v>
      </c>
      <c r="N63" s="254" t="s">
        <v>2005</v>
      </c>
      <c r="O63" s="249" t="s">
        <v>1009</v>
      </c>
      <c r="P63" s="249" t="s">
        <v>1009</v>
      </c>
      <c r="Q63" s="221" t="s">
        <v>2567</v>
      </c>
      <c r="R63" s="221"/>
      <c r="S63" s="221"/>
    </row>
    <row r="64" spans="1:19" x14ac:dyDescent="0.25">
      <c r="A64" s="250" t="s">
        <v>1803</v>
      </c>
      <c r="B64" s="255" t="s">
        <v>1616</v>
      </c>
      <c r="C64" s="243" t="s">
        <v>2137</v>
      </c>
      <c r="D64" s="253" t="s">
        <v>2647</v>
      </c>
      <c r="E64" s="262" t="s">
        <v>1735</v>
      </c>
      <c r="F64" s="243" t="s">
        <v>30</v>
      </c>
      <c r="G64" s="244" t="s">
        <v>1759</v>
      </c>
      <c r="H64" s="250" t="s">
        <v>1761</v>
      </c>
      <c r="I64" s="250" t="s">
        <v>38</v>
      </c>
      <c r="J64" s="276" t="s">
        <v>1958</v>
      </c>
      <c r="K64" s="245">
        <v>47033</v>
      </c>
      <c r="L64" s="244" t="s">
        <v>38</v>
      </c>
      <c r="M64" s="244" t="s">
        <v>38</v>
      </c>
      <c r="N64" s="254" t="s">
        <v>2005</v>
      </c>
      <c r="O64" s="249" t="s">
        <v>1009</v>
      </c>
      <c r="P64" s="249" t="s">
        <v>1009</v>
      </c>
      <c r="Q64" s="221" t="s">
        <v>2567</v>
      </c>
      <c r="R64" s="221"/>
      <c r="S64" s="221"/>
    </row>
    <row r="65" spans="1:19" x14ac:dyDescent="0.25">
      <c r="A65" s="250" t="s">
        <v>1803</v>
      </c>
      <c r="B65" s="255" t="s">
        <v>1701</v>
      </c>
      <c r="C65" s="251" t="s">
        <v>2037</v>
      </c>
      <c r="D65" s="277" t="s">
        <v>2038</v>
      </c>
      <c r="E65" s="262" t="s">
        <v>2286</v>
      </c>
      <c r="F65" s="243" t="s">
        <v>1699</v>
      </c>
      <c r="G65" s="244" t="s">
        <v>1760</v>
      </c>
      <c r="H65" s="250" t="s">
        <v>1761</v>
      </c>
      <c r="I65" s="250" t="s">
        <v>38</v>
      </c>
      <c r="J65" s="276" t="s">
        <v>1958</v>
      </c>
      <c r="K65" s="245">
        <v>47040</v>
      </c>
      <c r="L65" s="244" t="s">
        <v>38</v>
      </c>
      <c r="M65" s="244" t="s">
        <v>38</v>
      </c>
      <c r="N65" s="246" t="s">
        <v>1958</v>
      </c>
      <c r="O65" s="249" t="s">
        <v>1009</v>
      </c>
      <c r="P65" s="249" t="s">
        <v>1009</v>
      </c>
      <c r="Q65" s="221" t="s">
        <v>2567</v>
      </c>
      <c r="R65" s="221"/>
      <c r="S65" s="221"/>
    </row>
    <row r="66" spans="1:19" x14ac:dyDescent="0.25">
      <c r="A66" s="250" t="s">
        <v>1803</v>
      </c>
      <c r="B66" s="268" t="s">
        <v>1838</v>
      </c>
      <c r="C66" s="251" t="s">
        <v>1839</v>
      </c>
      <c r="D66" s="251" t="s">
        <v>2648</v>
      </c>
      <c r="E66" s="262" t="s">
        <v>1840</v>
      </c>
      <c r="F66" s="251" t="s">
        <v>30</v>
      </c>
      <c r="G66" s="250" t="s">
        <v>1759</v>
      </c>
      <c r="H66" s="250" t="s">
        <v>1761</v>
      </c>
      <c r="I66" s="250" t="s">
        <v>38</v>
      </c>
      <c r="J66" s="276" t="s">
        <v>1958</v>
      </c>
      <c r="K66" s="252">
        <v>47049</v>
      </c>
      <c r="L66" s="244" t="s">
        <v>38</v>
      </c>
      <c r="M66" s="244" t="s">
        <v>38</v>
      </c>
      <c r="N66" s="246" t="s">
        <v>1958</v>
      </c>
      <c r="O66" s="249" t="s">
        <v>1009</v>
      </c>
      <c r="P66" s="249" t="s">
        <v>1009</v>
      </c>
      <c r="Q66" s="221" t="s">
        <v>2567</v>
      </c>
    </row>
    <row r="67" spans="1:19" x14ac:dyDescent="0.25">
      <c r="A67" s="250" t="s">
        <v>1803</v>
      </c>
      <c r="B67" s="268" t="s">
        <v>358</v>
      </c>
      <c r="C67" s="251" t="s">
        <v>2494</v>
      </c>
      <c r="D67" s="251" t="s">
        <v>2495</v>
      </c>
      <c r="E67" s="261" t="s">
        <v>2496</v>
      </c>
      <c r="F67" s="243" t="s">
        <v>657</v>
      </c>
      <c r="G67" s="244" t="s">
        <v>1759</v>
      </c>
      <c r="H67" s="250" t="s">
        <v>1761</v>
      </c>
      <c r="I67" s="250" t="s">
        <v>38</v>
      </c>
      <c r="J67" s="276" t="s">
        <v>1958</v>
      </c>
      <c r="K67" s="245">
        <v>47061</v>
      </c>
      <c r="L67" s="245" t="s">
        <v>38</v>
      </c>
      <c r="M67" s="245" t="s">
        <v>38</v>
      </c>
      <c r="N67" s="269" t="s">
        <v>1958</v>
      </c>
      <c r="O67" s="249" t="s">
        <v>2563</v>
      </c>
      <c r="P67" s="249" t="s">
        <v>2563</v>
      </c>
      <c r="Q67" s="249" t="s">
        <v>2563</v>
      </c>
      <c r="R67" s="221"/>
      <c r="S67" s="221"/>
    </row>
    <row r="68" spans="1:19" x14ac:dyDescent="0.25">
      <c r="A68" s="250" t="s">
        <v>1803</v>
      </c>
      <c r="B68" s="268" t="s">
        <v>2365</v>
      </c>
      <c r="C68" s="251" t="s">
        <v>2366</v>
      </c>
      <c r="D68" s="251" t="s">
        <v>2659</v>
      </c>
      <c r="E68" s="261" t="s">
        <v>2367</v>
      </c>
      <c r="F68" s="243" t="s">
        <v>30</v>
      </c>
      <c r="G68" s="244" t="s">
        <v>1759</v>
      </c>
      <c r="H68" s="250" t="s">
        <v>1761</v>
      </c>
      <c r="I68" s="250" t="s">
        <v>38</v>
      </c>
      <c r="J68" s="276" t="s">
        <v>1958</v>
      </c>
      <c r="K68" s="252">
        <v>47066</v>
      </c>
      <c r="L68" s="244" t="s">
        <v>38</v>
      </c>
      <c r="M68" s="244" t="s">
        <v>38</v>
      </c>
      <c r="N68" s="254" t="s">
        <v>2005</v>
      </c>
      <c r="O68" s="249" t="s">
        <v>1009</v>
      </c>
      <c r="P68" s="249" t="s">
        <v>1009</v>
      </c>
      <c r="Q68" s="221" t="s">
        <v>2567</v>
      </c>
      <c r="R68" s="221"/>
    </row>
    <row r="69" spans="1:19" ht="24" x14ac:dyDescent="0.25">
      <c r="A69" s="250" t="s">
        <v>1803</v>
      </c>
      <c r="B69" s="255" t="s">
        <v>1791</v>
      </c>
      <c r="C69" s="255" t="s">
        <v>2579</v>
      </c>
      <c r="D69" s="253">
        <v>8662553352</v>
      </c>
      <c r="E69" s="262" t="s">
        <v>2580</v>
      </c>
      <c r="F69" s="243" t="s">
        <v>30</v>
      </c>
      <c r="G69" s="244" t="s">
        <v>1759</v>
      </c>
      <c r="H69" s="288" t="s">
        <v>1766</v>
      </c>
      <c r="I69" s="276" t="s">
        <v>1958</v>
      </c>
      <c r="J69" s="276" t="s">
        <v>1958</v>
      </c>
      <c r="K69" s="245">
        <v>47072</v>
      </c>
      <c r="L69" s="244" t="s">
        <v>38</v>
      </c>
      <c r="M69" s="244" t="s">
        <v>38</v>
      </c>
      <c r="N69" s="254" t="s">
        <v>2005</v>
      </c>
      <c r="O69" s="249" t="s">
        <v>1009</v>
      </c>
      <c r="P69" s="249" t="s">
        <v>1009</v>
      </c>
      <c r="Q69" s="221" t="s">
        <v>2567</v>
      </c>
      <c r="R69" s="221"/>
      <c r="S69" s="221"/>
    </row>
    <row r="70" spans="1:19" x14ac:dyDescent="0.25">
      <c r="A70" s="250" t="s">
        <v>1803</v>
      </c>
      <c r="B70" s="255" t="s">
        <v>998</v>
      </c>
      <c r="C70" s="243" t="s">
        <v>1744</v>
      </c>
      <c r="D70" s="253" t="s">
        <v>2658</v>
      </c>
      <c r="E70" s="262" t="s">
        <v>1743</v>
      </c>
      <c r="F70" s="243" t="s">
        <v>934</v>
      </c>
      <c r="G70" s="244" t="s">
        <v>1759</v>
      </c>
      <c r="H70" s="250" t="s">
        <v>1761</v>
      </c>
      <c r="I70" s="250" t="s">
        <v>38</v>
      </c>
      <c r="J70" s="276" t="s">
        <v>1958</v>
      </c>
      <c r="K70" s="275">
        <v>47086</v>
      </c>
      <c r="L70" s="244" t="s">
        <v>38</v>
      </c>
      <c r="M70" s="244" t="s">
        <v>38</v>
      </c>
      <c r="N70" s="246" t="s">
        <v>1958</v>
      </c>
      <c r="O70" s="249" t="s">
        <v>1009</v>
      </c>
      <c r="P70" s="249" t="s">
        <v>1009</v>
      </c>
      <c r="Q70" s="221" t="s">
        <v>2567</v>
      </c>
      <c r="R70" s="221"/>
      <c r="S70" s="221"/>
    </row>
    <row r="71" spans="1:19" ht="24" x14ac:dyDescent="0.25">
      <c r="A71" s="250" t="s">
        <v>1803</v>
      </c>
      <c r="B71" s="255" t="s">
        <v>1793</v>
      </c>
      <c r="C71" s="255" t="s">
        <v>1834</v>
      </c>
      <c r="D71" s="253" t="s">
        <v>1835</v>
      </c>
      <c r="E71" s="262" t="s">
        <v>2284</v>
      </c>
      <c r="F71" s="243" t="s">
        <v>657</v>
      </c>
      <c r="G71" s="244" t="s">
        <v>1759</v>
      </c>
      <c r="H71" s="250" t="s">
        <v>1761</v>
      </c>
      <c r="I71" s="250" t="s">
        <v>38</v>
      </c>
      <c r="J71" s="276" t="s">
        <v>1958</v>
      </c>
      <c r="K71" s="275">
        <v>47125</v>
      </c>
      <c r="L71" s="244" t="s">
        <v>38</v>
      </c>
      <c r="M71" s="244" t="s">
        <v>38</v>
      </c>
      <c r="N71" s="254" t="s">
        <v>2005</v>
      </c>
      <c r="O71" s="249" t="s">
        <v>1009</v>
      </c>
      <c r="P71" s="249" t="s">
        <v>1009</v>
      </c>
      <c r="Q71" s="221" t="s">
        <v>2567</v>
      </c>
    </row>
    <row r="72" spans="1:19" ht="24" x14ac:dyDescent="0.25">
      <c r="A72" s="250" t="s">
        <v>1803</v>
      </c>
      <c r="B72" s="255" t="s">
        <v>307</v>
      </c>
      <c r="C72" s="255" t="s">
        <v>2142</v>
      </c>
      <c r="D72" s="253" t="s">
        <v>2657</v>
      </c>
      <c r="E72" s="262" t="s">
        <v>1836</v>
      </c>
      <c r="F72" s="243" t="s">
        <v>30</v>
      </c>
      <c r="G72" s="244" t="s">
        <v>1759</v>
      </c>
      <c r="H72" s="250" t="s">
        <v>1761</v>
      </c>
      <c r="I72" s="250" t="s">
        <v>38</v>
      </c>
      <c r="J72" s="276" t="s">
        <v>1958</v>
      </c>
      <c r="K72" s="275">
        <v>47141</v>
      </c>
      <c r="L72" s="244" t="s">
        <v>38</v>
      </c>
      <c r="M72" s="244" t="s">
        <v>38</v>
      </c>
      <c r="N72" s="246" t="s">
        <v>1958</v>
      </c>
      <c r="O72" s="249" t="s">
        <v>1009</v>
      </c>
      <c r="P72" s="249" t="s">
        <v>1009</v>
      </c>
      <c r="Q72" s="221" t="s">
        <v>2567</v>
      </c>
      <c r="R72" s="221"/>
    </row>
    <row r="73" spans="1:19" x14ac:dyDescent="0.25">
      <c r="A73" s="259" t="s">
        <v>1803</v>
      </c>
      <c r="B73" s="268" t="s">
        <v>2337</v>
      </c>
      <c r="C73" s="251" t="s">
        <v>2342</v>
      </c>
      <c r="D73" s="251" t="s">
        <v>2621</v>
      </c>
      <c r="E73" s="333" t="s">
        <v>2343</v>
      </c>
      <c r="F73" s="251" t="s">
        <v>30</v>
      </c>
      <c r="G73" s="250" t="s">
        <v>1759</v>
      </c>
      <c r="H73" s="250" t="s">
        <v>1761</v>
      </c>
      <c r="I73" s="250" t="s">
        <v>38</v>
      </c>
      <c r="J73" s="276" t="s">
        <v>1958</v>
      </c>
      <c r="K73" s="252">
        <v>47258</v>
      </c>
      <c r="L73" s="244" t="s">
        <v>38</v>
      </c>
      <c r="M73" s="244" t="s">
        <v>38</v>
      </c>
      <c r="N73" s="269" t="s">
        <v>1958</v>
      </c>
      <c r="O73" s="249" t="s">
        <v>1009</v>
      </c>
      <c r="P73" s="249" t="s">
        <v>1009</v>
      </c>
      <c r="Q73" s="221" t="s">
        <v>2567</v>
      </c>
    </row>
    <row r="74" spans="1:19" x14ac:dyDescent="0.25">
      <c r="A74" s="250"/>
      <c r="B74" s="268" t="s">
        <v>1843</v>
      </c>
      <c r="C74" s="251" t="s">
        <v>2135</v>
      </c>
      <c r="D74" s="251" t="s">
        <v>1952</v>
      </c>
      <c r="E74" s="262" t="s">
        <v>2278</v>
      </c>
      <c r="F74" s="251" t="s">
        <v>30</v>
      </c>
      <c r="G74" s="250" t="s">
        <v>1759</v>
      </c>
      <c r="H74" s="250" t="s">
        <v>1761</v>
      </c>
      <c r="I74" s="250" t="s">
        <v>38</v>
      </c>
      <c r="J74" s="250" t="s">
        <v>38</v>
      </c>
      <c r="K74" s="250" t="s">
        <v>38</v>
      </c>
      <c r="L74" s="276" t="s">
        <v>1958</v>
      </c>
      <c r="M74" s="252">
        <v>46289</v>
      </c>
      <c r="N74" s="246" t="s">
        <v>1958</v>
      </c>
      <c r="O74" s="249" t="s">
        <v>1009</v>
      </c>
      <c r="P74" s="249" t="s">
        <v>38</v>
      </c>
      <c r="Q74" s="221" t="s">
        <v>2567</v>
      </c>
      <c r="R74" s="221"/>
      <c r="S74" s="221"/>
    </row>
    <row r="75" spans="1:19" ht="24" x14ac:dyDescent="0.25">
      <c r="A75" s="250" t="s">
        <v>1803</v>
      </c>
      <c r="B75" s="268" t="s">
        <v>1888</v>
      </c>
      <c r="C75" s="253" t="s">
        <v>1894</v>
      </c>
      <c r="D75" s="253" t="s">
        <v>2656</v>
      </c>
      <c r="E75" s="262" t="s">
        <v>2279</v>
      </c>
      <c r="F75" s="243" t="s">
        <v>30</v>
      </c>
      <c r="G75" s="244" t="s">
        <v>1759</v>
      </c>
      <c r="H75" s="250" t="s">
        <v>1761</v>
      </c>
      <c r="I75" s="250" t="s">
        <v>38</v>
      </c>
      <c r="J75" s="250" t="s">
        <v>38</v>
      </c>
      <c r="K75" s="250" t="s">
        <v>38</v>
      </c>
      <c r="L75" s="250" t="s">
        <v>38</v>
      </c>
      <c r="M75" s="250" t="s">
        <v>38</v>
      </c>
      <c r="N75" s="246" t="s">
        <v>1958</v>
      </c>
      <c r="O75" s="249" t="s">
        <v>1009</v>
      </c>
      <c r="P75" s="249" t="s">
        <v>1009</v>
      </c>
      <c r="Q75" s="221" t="s">
        <v>2567</v>
      </c>
      <c r="R75" s="221" t="s">
        <v>2575</v>
      </c>
      <c r="S75" s="221"/>
    </row>
    <row r="76" spans="1:19" ht="24" x14ac:dyDescent="0.25">
      <c r="A76" s="250" t="s">
        <v>1803</v>
      </c>
      <c r="B76" s="255" t="s">
        <v>1545</v>
      </c>
      <c r="C76" s="243" t="s">
        <v>2138</v>
      </c>
      <c r="D76" s="253" t="s">
        <v>2655</v>
      </c>
      <c r="E76" s="262" t="s">
        <v>1546</v>
      </c>
      <c r="F76" s="243" t="s">
        <v>30</v>
      </c>
      <c r="G76" s="244" t="s">
        <v>1759</v>
      </c>
      <c r="H76" s="250" t="s">
        <v>1761</v>
      </c>
      <c r="I76" s="250" t="s">
        <v>38</v>
      </c>
      <c r="J76" s="244" t="s">
        <v>38</v>
      </c>
      <c r="K76" s="244" t="s">
        <v>38</v>
      </c>
      <c r="L76" s="244" t="s">
        <v>38</v>
      </c>
      <c r="M76" s="244" t="s">
        <v>38</v>
      </c>
      <c r="N76" s="256" t="s">
        <v>1958</v>
      </c>
      <c r="O76" s="249" t="s">
        <v>1009</v>
      </c>
      <c r="P76" s="249" t="s">
        <v>1009</v>
      </c>
      <c r="Q76" s="221" t="s">
        <v>2567</v>
      </c>
      <c r="R76" s="221"/>
      <c r="S76" s="221"/>
    </row>
    <row r="77" spans="1:19" x14ac:dyDescent="0.25">
      <c r="A77" s="250"/>
      <c r="B77" s="268" t="s">
        <v>1824</v>
      </c>
      <c r="C77" s="251" t="s">
        <v>2025</v>
      </c>
      <c r="D77" s="253" t="s">
        <v>2027</v>
      </c>
      <c r="E77" s="262" t="s">
        <v>2026</v>
      </c>
      <c r="F77" s="243" t="s">
        <v>1211</v>
      </c>
      <c r="G77" s="244" t="s">
        <v>1760</v>
      </c>
      <c r="H77" s="250" t="s">
        <v>1761</v>
      </c>
      <c r="I77" s="250" t="s">
        <v>38</v>
      </c>
      <c r="J77" s="250" t="s">
        <v>38</v>
      </c>
      <c r="K77" s="250" t="s">
        <v>38</v>
      </c>
      <c r="L77" s="250" t="s">
        <v>38</v>
      </c>
      <c r="M77" s="250" t="s">
        <v>38</v>
      </c>
      <c r="N77" s="246" t="s">
        <v>1958</v>
      </c>
      <c r="O77" s="249" t="s">
        <v>2565</v>
      </c>
      <c r="P77" s="249" t="s">
        <v>1906</v>
      </c>
      <c r="Q77" s="221" t="s">
        <v>2567</v>
      </c>
    </row>
    <row r="78" spans="1:19" x14ac:dyDescent="0.25">
      <c r="A78" s="250" t="s">
        <v>1803</v>
      </c>
      <c r="B78" s="268" t="s">
        <v>2350</v>
      </c>
      <c r="C78" s="251" t="s">
        <v>2351</v>
      </c>
      <c r="D78" s="251" t="s">
        <v>2352</v>
      </c>
      <c r="E78" s="261" t="s">
        <v>2353</v>
      </c>
      <c r="F78" s="243" t="s">
        <v>30</v>
      </c>
      <c r="G78" s="244" t="s">
        <v>1759</v>
      </c>
      <c r="H78" s="250" t="s">
        <v>1761</v>
      </c>
      <c r="I78" s="250" t="s">
        <v>38</v>
      </c>
      <c r="J78" s="250" t="s">
        <v>38</v>
      </c>
      <c r="K78" s="250" t="s">
        <v>38</v>
      </c>
      <c r="L78" s="250" t="s">
        <v>38</v>
      </c>
      <c r="M78" s="250" t="s">
        <v>38</v>
      </c>
      <c r="N78" s="269" t="s">
        <v>1958</v>
      </c>
      <c r="O78" s="249" t="s">
        <v>1009</v>
      </c>
      <c r="P78" s="249" t="s">
        <v>1009</v>
      </c>
      <c r="Q78" s="221" t="s">
        <v>2567</v>
      </c>
      <c r="R78" s="221"/>
      <c r="S78" s="221"/>
    </row>
    <row r="79" spans="1:19" ht="24" x14ac:dyDescent="0.25">
      <c r="A79" s="250" t="s">
        <v>1803</v>
      </c>
      <c r="B79" s="268" t="s">
        <v>2513</v>
      </c>
      <c r="C79" s="251" t="s">
        <v>2514</v>
      </c>
      <c r="D79" s="253" t="s">
        <v>2516</v>
      </c>
      <c r="E79" s="261" t="s">
        <v>2515</v>
      </c>
      <c r="F79" s="243" t="s">
        <v>30</v>
      </c>
      <c r="G79" s="244" t="s">
        <v>1759</v>
      </c>
      <c r="H79" s="250" t="s">
        <v>1761</v>
      </c>
      <c r="I79" s="250" t="s">
        <v>38</v>
      </c>
      <c r="J79" s="250" t="s">
        <v>38</v>
      </c>
      <c r="K79" s="250" t="s">
        <v>38</v>
      </c>
      <c r="L79" s="250" t="s">
        <v>38</v>
      </c>
      <c r="M79" s="250" t="s">
        <v>38</v>
      </c>
      <c r="N79" s="269" t="s">
        <v>1958</v>
      </c>
      <c r="O79" s="249" t="s">
        <v>2565</v>
      </c>
      <c r="P79" s="249" t="s">
        <v>1009</v>
      </c>
      <c r="Q79" s="221" t="s">
        <v>2567</v>
      </c>
      <c r="R79" s="221" t="s">
        <v>2575</v>
      </c>
      <c r="S79" s="221" t="s">
        <v>2666</v>
      </c>
    </row>
    <row r="80" spans="1:19" x14ac:dyDescent="0.25">
      <c r="A80" s="250" t="s">
        <v>1803</v>
      </c>
      <c r="B80" s="255" t="s">
        <v>1369</v>
      </c>
      <c r="C80" s="251" t="s">
        <v>2153</v>
      </c>
      <c r="D80" s="251" t="s">
        <v>2154</v>
      </c>
      <c r="E80" s="262" t="s">
        <v>2290</v>
      </c>
      <c r="F80" s="243" t="s">
        <v>1229</v>
      </c>
      <c r="G80" s="244" t="s">
        <v>1760</v>
      </c>
      <c r="H80" s="250" t="s">
        <v>1761</v>
      </c>
      <c r="I80" s="250" t="s">
        <v>38</v>
      </c>
      <c r="J80" s="250" t="s">
        <v>38</v>
      </c>
      <c r="K80" s="250" t="s">
        <v>38</v>
      </c>
      <c r="L80" s="250" t="s">
        <v>38</v>
      </c>
      <c r="M80" s="250" t="s">
        <v>38</v>
      </c>
      <c r="N80" s="246" t="s">
        <v>1958</v>
      </c>
      <c r="O80" s="249" t="s">
        <v>2565</v>
      </c>
      <c r="P80" s="249" t="s">
        <v>1906</v>
      </c>
      <c r="Q80" s="221" t="s">
        <v>2567</v>
      </c>
    </row>
    <row r="81" spans="1:19" ht="24" x14ac:dyDescent="0.25">
      <c r="A81" s="250" t="s">
        <v>1803</v>
      </c>
      <c r="B81" s="255" t="s">
        <v>1166</v>
      </c>
      <c r="C81" s="255" t="s">
        <v>2171</v>
      </c>
      <c r="D81" s="253" t="s">
        <v>2654</v>
      </c>
      <c r="E81" s="262" t="s">
        <v>2291</v>
      </c>
      <c r="F81" s="243" t="s">
        <v>934</v>
      </c>
      <c r="G81" s="244" t="s">
        <v>1759</v>
      </c>
      <c r="H81" s="250" t="s">
        <v>1761</v>
      </c>
      <c r="I81" s="250" t="s">
        <v>38</v>
      </c>
      <c r="J81" s="245" t="s">
        <v>38</v>
      </c>
      <c r="K81" s="245" t="s">
        <v>38</v>
      </c>
      <c r="L81" s="276" t="s">
        <v>1958</v>
      </c>
      <c r="M81" s="245">
        <v>46625</v>
      </c>
      <c r="N81" s="254" t="s">
        <v>2005</v>
      </c>
      <c r="O81" s="249" t="s">
        <v>1009</v>
      </c>
      <c r="P81" s="249" t="s">
        <v>1009</v>
      </c>
      <c r="Q81" s="221" t="s">
        <v>2567</v>
      </c>
    </row>
    <row r="82" spans="1:19" ht="24" x14ac:dyDescent="0.25">
      <c r="A82" s="250"/>
      <c r="B82" s="255" t="s">
        <v>33</v>
      </c>
      <c r="C82" s="255" t="s">
        <v>2145</v>
      </c>
      <c r="D82" s="253" t="s">
        <v>2653</v>
      </c>
      <c r="E82" s="262" t="s">
        <v>1974</v>
      </c>
      <c r="F82" s="243" t="s">
        <v>30</v>
      </c>
      <c r="G82" s="244" t="s">
        <v>1759</v>
      </c>
      <c r="H82" s="250" t="s">
        <v>1761</v>
      </c>
      <c r="I82" s="250" t="s">
        <v>38</v>
      </c>
      <c r="J82" s="245" t="s">
        <v>38</v>
      </c>
      <c r="K82" s="245" t="s">
        <v>38</v>
      </c>
      <c r="L82" s="244" t="s">
        <v>38</v>
      </c>
      <c r="M82" s="244" t="s">
        <v>38</v>
      </c>
      <c r="N82" s="254" t="s">
        <v>2005</v>
      </c>
      <c r="O82" s="249" t="s">
        <v>2565</v>
      </c>
      <c r="P82" s="249" t="s">
        <v>1009</v>
      </c>
      <c r="Q82" s="323" t="s">
        <v>2564</v>
      </c>
    </row>
    <row r="83" spans="1:19" x14ac:dyDescent="0.25">
      <c r="A83" s="250" t="s">
        <v>1803</v>
      </c>
      <c r="B83" s="268" t="s">
        <v>1862</v>
      </c>
      <c r="C83" s="251" t="s">
        <v>1950</v>
      </c>
      <c r="D83" s="251">
        <v>13338700182</v>
      </c>
      <c r="E83" s="262" t="s">
        <v>1951</v>
      </c>
      <c r="F83" s="251" t="s">
        <v>934</v>
      </c>
      <c r="G83" s="250" t="s">
        <v>1760</v>
      </c>
      <c r="H83" s="250" t="s">
        <v>1761</v>
      </c>
      <c r="I83" s="250" t="s">
        <v>38</v>
      </c>
      <c r="J83" s="244" t="s">
        <v>38</v>
      </c>
      <c r="K83" s="244" t="s">
        <v>38</v>
      </c>
      <c r="L83" s="276" t="s">
        <v>1958</v>
      </c>
      <c r="M83" s="252">
        <v>46519</v>
      </c>
      <c r="N83" s="246" t="s">
        <v>1958</v>
      </c>
      <c r="O83" s="249" t="s">
        <v>2566</v>
      </c>
      <c r="P83" s="249" t="s">
        <v>1009</v>
      </c>
      <c r="Q83" s="221" t="s">
        <v>2567</v>
      </c>
    </row>
    <row r="84" spans="1:19" x14ac:dyDescent="0.25">
      <c r="A84" s="250" t="s">
        <v>1803</v>
      </c>
      <c r="B84" s="255" t="s">
        <v>684</v>
      </c>
      <c r="C84" s="251" t="s">
        <v>2148</v>
      </c>
      <c r="D84" s="251" t="s">
        <v>2001</v>
      </c>
      <c r="E84" s="262" t="s">
        <v>2295</v>
      </c>
      <c r="F84" s="243" t="s">
        <v>567</v>
      </c>
      <c r="G84" s="244" t="s">
        <v>1760</v>
      </c>
      <c r="H84" s="250" t="s">
        <v>1761</v>
      </c>
      <c r="I84" s="250" t="s">
        <v>38</v>
      </c>
      <c r="J84" s="244" t="s">
        <v>38</v>
      </c>
      <c r="K84" s="244" t="s">
        <v>38</v>
      </c>
      <c r="L84" s="244" t="s">
        <v>38</v>
      </c>
      <c r="M84" s="244" t="s">
        <v>38</v>
      </c>
      <c r="N84" s="343" t="s">
        <v>1958</v>
      </c>
      <c r="O84" s="249" t="s">
        <v>1009</v>
      </c>
      <c r="P84" s="249" t="s">
        <v>1009</v>
      </c>
      <c r="Q84" s="221" t="s">
        <v>2567</v>
      </c>
    </row>
    <row r="85" spans="1:19" x14ac:dyDescent="0.25">
      <c r="A85" s="250" t="s">
        <v>1803</v>
      </c>
      <c r="B85" s="268" t="s">
        <v>36</v>
      </c>
      <c r="E85" s="262"/>
      <c r="F85" s="251" t="s">
        <v>934</v>
      </c>
      <c r="G85" s="250" t="s">
        <v>1759</v>
      </c>
      <c r="H85" s="250" t="s">
        <v>1761</v>
      </c>
      <c r="I85" s="250" t="s">
        <v>38</v>
      </c>
      <c r="J85" s="267"/>
      <c r="K85" s="267"/>
      <c r="L85" s="267"/>
      <c r="M85" s="267"/>
      <c r="N85" s="269">
        <v>46113</v>
      </c>
      <c r="O85" s="249" t="s">
        <v>2565</v>
      </c>
      <c r="P85" s="249" t="s">
        <v>38</v>
      </c>
      <c r="Q85" s="323" t="s">
        <v>2564</v>
      </c>
      <c r="R85" s="221"/>
      <c r="S85" s="221"/>
    </row>
    <row r="86" spans="1:19" x14ac:dyDescent="0.25">
      <c r="A86" s="257" t="s">
        <v>2045</v>
      </c>
      <c r="B86" s="268" t="s">
        <v>2551</v>
      </c>
      <c r="C86" s="251" t="s">
        <v>2553</v>
      </c>
      <c r="D86" s="251">
        <v>8994988997</v>
      </c>
      <c r="E86" s="261" t="s">
        <v>2552</v>
      </c>
      <c r="F86" s="251" t="s">
        <v>940</v>
      </c>
      <c r="G86" s="250" t="s">
        <v>1760</v>
      </c>
      <c r="H86" s="250" t="s">
        <v>1761</v>
      </c>
      <c r="I86" s="250" t="s">
        <v>38</v>
      </c>
      <c r="J86" s="267"/>
      <c r="K86" s="267"/>
      <c r="L86" s="267"/>
      <c r="M86" s="267"/>
      <c r="N86" s="343" t="s">
        <v>1958</v>
      </c>
      <c r="O86" s="249" t="s">
        <v>2565</v>
      </c>
      <c r="P86" s="249" t="s">
        <v>1009</v>
      </c>
      <c r="Q86" s="323" t="s">
        <v>2564</v>
      </c>
      <c r="R86" s="247" t="s">
        <v>2677</v>
      </c>
    </row>
    <row r="87" spans="1:19" x14ac:dyDescent="0.25">
      <c r="A87" s="250"/>
      <c r="B87" s="332" t="s">
        <v>2173</v>
      </c>
      <c r="E87" s="262"/>
      <c r="H87" s="250" t="s">
        <v>1761</v>
      </c>
      <c r="I87" s="250" t="s">
        <v>38</v>
      </c>
      <c r="O87" s="302"/>
      <c r="P87" s="314"/>
      <c r="Q87" s="314"/>
      <c r="S87" s="221"/>
    </row>
    <row r="88" spans="1:19" x14ac:dyDescent="0.25">
      <c r="A88" s="250" t="s">
        <v>1803</v>
      </c>
      <c r="B88" s="268" t="s">
        <v>2091</v>
      </c>
      <c r="C88" s="253" t="s">
        <v>2498</v>
      </c>
      <c r="D88" s="253"/>
      <c r="E88" s="262" t="s">
        <v>2497</v>
      </c>
      <c r="F88" s="251" t="s">
        <v>30</v>
      </c>
      <c r="G88" s="250" t="s">
        <v>1759</v>
      </c>
      <c r="H88" s="250" t="s">
        <v>1761</v>
      </c>
      <c r="I88" s="250" t="s">
        <v>38</v>
      </c>
      <c r="J88" s="267"/>
      <c r="K88" s="267"/>
      <c r="L88" s="267"/>
      <c r="M88" s="267"/>
      <c r="N88" s="269">
        <v>46113</v>
      </c>
      <c r="O88" s="249" t="s">
        <v>2565</v>
      </c>
      <c r="P88" s="249" t="s">
        <v>1009</v>
      </c>
      <c r="Q88" s="323" t="s">
        <v>2564</v>
      </c>
      <c r="R88" s="221"/>
      <c r="S88" s="221"/>
    </row>
    <row r="89" spans="1:19" x14ac:dyDescent="0.25">
      <c r="A89" s="250" t="s">
        <v>1803</v>
      </c>
      <c r="B89" s="268" t="s">
        <v>1703</v>
      </c>
      <c r="C89" s="251" t="s">
        <v>2307</v>
      </c>
      <c r="D89" s="251" t="s">
        <v>2308</v>
      </c>
      <c r="E89" s="262" t="s">
        <v>2309</v>
      </c>
      <c r="F89" s="251" t="s">
        <v>934</v>
      </c>
      <c r="G89" s="250" t="s">
        <v>1759</v>
      </c>
      <c r="H89" s="250" t="s">
        <v>1761</v>
      </c>
      <c r="I89" s="250" t="s">
        <v>38</v>
      </c>
      <c r="J89" s="267"/>
      <c r="K89" s="267"/>
      <c r="L89" s="267"/>
      <c r="M89" s="267"/>
      <c r="N89" s="269">
        <v>46113</v>
      </c>
      <c r="O89" s="249" t="s">
        <v>1009</v>
      </c>
      <c r="P89" s="249" t="s">
        <v>38</v>
      </c>
      <c r="Q89" s="221" t="s">
        <v>2567</v>
      </c>
      <c r="R89" s="221"/>
      <c r="S89" s="221"/>
    </row>
    <row r="90" spans="1:19" x14ac:dyDescent="0.25">
      <c r="A90" s="257" t="s">
        <v>2045</v>
      </c>
      <c r="B90" s="268" t="s">
        <v>2546</v>
      </c>
      <c r="C90" s="251" t="s">
        <v>2547</v>
      </c>
      <c r="D90" s="251" t="s">
        <v>2548</v>
      </c>
      <c r="E90" s="261" t="s">
        <v>2549</v>
      </c>
      <c r="F90" s="251" t="s">
        <v>934</v>
      </c>
      <c r="G90" s="250" t="s">
        <v>1759</v>
      </c>
      <c r="H90" s="250" t="s">
        <v>1761</v>
      </c>
      <c r="I90" s="250" t="s">
        <v>38</v>
      </c>
      <c r="J90" s="267"/>
      <c r="K90" s="267"/>
      <c r="L90" s="267"/>
      <c r="M90" s="267"/>
      <c r="N90" s="269">
        <v>46161</v>
      </c>
      <c r="O90" s="302"/>
      <c r="P90" s="314"/>
      <c r="Q90" s="314"/>
      <c r="R90" s="247" t="s">
        <v>2677</v>
      </c>
    </row>
  </sheetData>
  <autoFilter ref="A2:S2" xr:uid="{21DE6584-E81B-4FB9-A6B8-C9AEB3BEA8BC}">
    <sortState xmlns:xlrd2="http://schemas.microsoft.com/office/spreadsheetml/2017/richdata2" ref="A4:S90">
      <sortCondition ref="K2"/>
    </sortState>
  </autoFilter>
  <mergeCells count="14">
    <mergeCell ref="C1:C2"/>
    <mergeCell ref="G1:G2"/>
    <mergeCell ref="A1:A2"/>
    <mergeCell ref="B1:B2"/>
    <mergeCell ref="D1:D2"/>
    <mergeCell ref="E1:E2"/>
    <mergeCell ref="F1:F2"/>
    <mergeCell ref="Q1:Q2"/>
    <mergeCell ref="O1:O2"/>
    <mergeCell ref="P1:P2"/>
    <mergeCell ref="N1:N2"/>
    <mergeCell ref="H1:H2"/>
    <mergeCell ref="I1:I2"/>
    <mergeCell ref="J1:M1"/>
  </mergeCells>
  <conditionalFormatting sqref="B1 B3:B1048576">
    <cfRule type="duplicateValues" dxfId="4" priority="1"/>
    <cfRule type="duplicateValues" dxfId="3" priority="2"/>
    <cfRule type="duplicateValues" dxfId="2" priority="16"/>
  </conditionalFormatting>
  <conditionalFormatting sqref="D58">
    <cfRule type="duplicateValues" dxfId="1" priority="15"/>
  </conditionalFormatting>
  <conditionalFormatting sqref="E1">
    <cfRule type="duplicateValues" dxfId="0" priority="30"/>
  </conditionalFormatting>
  <hyperlinks>
    <hyperlink ref="E10" r:id="rId1" display="JuanManuel.Moreno@avient.com" xr:uid="{0B6F25AE-99D6-49AA-9AA6-0620E5B4C0F0}"/>
    <hyperlink ref="E76" r:id="rId2" xr:uid="{26F21CFC-4971-45A6-BD62-A86E69112E13}"/>
    <hyperlink ref="E9" r:id="rId3" display="LFertig@Entecpolymers.com" xr:uid="{F21CB237-8B9D-4DE5-8F2E-50C3EBDB311E}"/>
    <hyperlink ref="E43" r:id="rId4" display="mumanzor@kingfa.com" xr:uid="{E918EB99-6BB2-4ADC-9CF5-B47FB711A0FE}"/>
    <hyperlink ref="E39" r:id="rId5" display="dpatel@marianchicago.com" xr:uid="{D44DA17D-5130-4E12-9A49-E13C489752CF}"/>
    <hyperlink ref="E50" r:id="rId6" xr:uid="{9C07E71D-6162-4437-ABCE-665FE4E8FA36}"/>
    <hyperlink ref="E82" r:id="rId7" display="sheila.rodriguez@Sabic.com" xr:uid="{60FF3B70-51AB-43F8-AFD0-6BC0FCC1874E}"/>
    <hyperlink ref="E24" r:id="rId8" display="bwhelan@teknorapex.com" xr:uid="{E02AF62E-825E-4B7F-A401-17B7E8D9879D}"/>
    <hyperlink ref="E72" r:id="rId9" display="anna_carter@nexeoplastics.com_x000a_" xr:uid="{0C4CDD94-FCC9-4F1C-A23B-D04F087BC71C}"/>
    <hyperlink ref="E46" r:id="rId10" xr:uid="{5EC54C88-44CF-4CE1-80FB-57BA1C136214}"/>
    <hyperlink ref="E37" r:id="rId11" xr:uid="{9D7616F8-D452-43AD-8D6F-CF53CD0C683F}"/>
    <hyperlink ref="E29" r:id="rId12" display="mailto:cecilia.guo@liphing.com" xr:uid="{A1819CF7-9E77-41C0-BC76-8558BE069364}"/>
    <hyperlink ref="D51" r:id="rId13" display="Tel:+86-752-6188777_x000a_Cell:19982083314" xr:uid="{765D7F72-1A96-49D8-837F-7675CF94908E}"/>
    <hyperlink ref="E83" r:id="rId14" xr:uid="{1E70258C-8FF6-4D38-94C7-FFA310D11434}"/>
    <hyperlink ref="E8" r:id="rId15" xr:uid="{4416873F-DB6A-4FDC-A3BC-9C0848301F72}"/>
    <hyperlink ref="E61" r:id="rId16" xr:uid="{AD66A6FC-E031-4A67-BC92-DF8E57258BE3}"/>
    <hyperlink ref="E69" r:id="rId17" display="Sofia.Lopez@formerra.com" xr:uid="{7F81FBBB-2282-4A24-B643-ABCE1AD7CA04}"/>
    <hyperlink ref="E53" r:id="rId18" xr:uid="{F6D55DA9-4306-4F63-8097-EFCEEBECA41C}"/>
    <hyperlink ref="E54" r:id="rId19" xr:uid="{46685F76-F6B7-47D4-8447-7921C0994B33}"/>
    <hyperlink ref="E48" r:id="rId20" xr:uid="{248FBBE9-04A7-40E9-8D6B-D951E98EF0BE}"/>
    <hyperlink ref="E34" r:id="rId21" xr:uid="{FFE7D8EF-8D66-472E-B733-6D387E187D5E}"/>
    <hyperlink ref="E74" r:id="rId22" xr:uid="{9E1DE18C-627A-4BEF-AFC3-BF903375215F}"/>
    <hyperlink ref="E52" r:id="rId23" xr:uid="{FC50E5B9-94A2-4F96-A1B0-6AD916E7ACFF}"/>
    <hyperlink ref="E21" r:id="rId24" xr:uid="{39C71239-53DB-4CC0-A2CF-BBDDCF7CABD6}"/>
    <hyperlink ref="E36" r:id="rId25" xr:uid="{6C484ACF-020D-48E9-833F-1DEE0372C5FE}"/>
    <hyperlink ref="E22" r:id="rId26" xr:uid="{F70739DF-242B-416D-B9EF-64E1FF0DC631}"/>
    <hyperlink ref="E3" r:id="rId27" xr:uid="{2449C31A-32F9-487C-BE92-4CC0D4C104E6}"/>
    <hyperlink ref="E65" r:id="rId28" xr:uid="{152C3FAE-F866-4B88-B175-D09D2B8942A5}"/>
    <hyperlink ref="E30" r:id="rId29" display="vmora@gp-materials.com" xr:uid="{D60C4471-049F-4164-83F0-1FB98DF69B55}"/>
    <hyperlink ref="E62" r:id="rId30" xr:uid="{B1EF90C6-A692-4240-B069-8BBB6CF8BA6D}"/>
    <hyperlink ref="E12" r:id="rId31" xr:uid="{238A17CB-04B9-4369-84AF-77E8208CA2B0}"/>
    <hyperlink ref="E33" r:id="rId32" xr:uid="{001790CD-4D27-4293-8699-BC3C02071036}"/>
    <hyperlink ref="E80" r:id="rId33" xr:uid="{95C495C4-1757-4DB6-9C58-D9995E20FBD6}"/>
    <hyperlink ref="E26" r:id="rId34" xr:uid="{A6FB42CF-CA6D-470D-AF7D-A40F4D5FA52E}"/>
    <hyperlink ref="E84" r:id="rId35" xr:uid="{6E3448FC-E326-4EDF-9ADF-8621CDAAADB6}"/>
    <hyperlink ref="E35" r:id="rId36" xr:uid="{3201B128-70EB-49FB-A9E2-14A85370F0CE}"/>
    <hyperlink ref="E44" r:id="rId37" xr:uid="{8CB4B101-4DD9-4E4B-9C65-AC64AF2EC38C}"/>
    <hyperlink ref="E89" r:id="rId38" xr:uid="{695E57EE-BF97-4533-827F-D532E5AC4A01}"/>
    <hyperlink ref="E73" r:id="rId39" xr:uid="{B2291F16-545B-4CB1-A4C2-DA89048C79DD}"/>
    <hyperlink ref="E78" r:id="rId40" xr:uid="{5A14B15B-982A-48BB-BA55-66BA9F738166}"/>
    <hyperlink ref="E68" r:id="rId41" xr:uid="{FE72B596-8B70-44D9-ADAA-2344C49DF900}"/>
    <hyperlink ref="E47" r:id="rId42" xr:uid="{EE3DF541-5A99-4C37-9076-BE37642A709A}"/>
    <hyperlink ref="E15" r:id="rId43" xr:uid="{451EDC4A-7DAD-453D-A666-AD6450EC56B2}"/>
    <hyperlink ref="E17" r:id="rId44" xr:uid="{CDE2AD17-C0FA-4D20-AD82-8794119B6956}"/>
    <hyperlink ref="E32" r:id="rId45" xr:uid="{236F8D6E-BF16-4307-BACD-1C710294E4E3}"/>
    <hyperlink ref="E58" r:id="rId46" xr:uid="{A57B2240-7106-4FAC-859A-597C8D0180EF}"/>
    <hyperlink ref="E59" r:id="rId47" tooltip="mailto:cristina.arriaga@tecmaq.com.mx" display="mailto:cristina.arriaga@tecmaq.com.mx" xr:uid="{B098C9C9-1A50-4061-8AF6-F9ED87B89415}"/>
    <hyperlink ref="E20" r:id="rId48" display="emma.flores@spirol.com" xr:uid="{625B7243-A19E-4324-B719-BBBA75B4B1A8}"/>
  </hyperlinks>
  <pageMargins left="0.7" right="0.7" top="0.75" bottom="0.75" header="0.3" footer="0.3"/>
  <pageSetup orientation="portrait" r:id="rId49"/>
  <legacyDrawing r:id="rId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List (Backup Mar-16-22)</vt:lpstr>
      <vt:lpstr>Master List</vt:lpstr>
      <vt:lpstr>Contacto-Proveedor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Coolidge</dc:creator>
  <cp:lastModifiedBy>Ana.Perez</cp:lastModifiedBy>
  <cp:lastPrinted>2026-04-01T17:15:10Z</cp:lastPrinted>
  <dcterms:created xsi:type="dcterms:W3CDTF">2008-05-21T16:41:38Z</dcterms:created>
  <dcterms:modified xsi:type="dcterms:W3CDTF">2026-06-01T20:33:24Z</dcterms:modified>
</cp:coreProperties>
</file>